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nlock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Com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USD &quot;0.0000"/>
    <numFmt numFmtId="165" formatCode="&quot;USD &quot;#,##0"/>
    <numFmt numFmtId="166" formatCode="yyyy-mm-dd"/>
    <numFmt numFmtId="167" formatCode="DD MMM YYYY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  <xf numFmtId="165" fontId="0" fillId="3" borderId="0" pivotButton="0" quotePrefix="0" xfId="0"/>
    <xf numFmtId="0" fontId="4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0" customWidth="1" min="3" max="3"/>
  </cols>
  <sheetData>
    <row r="1">
      <c r="A1" s="1" t="inlineStr">
        <is>
          <t>Sell-pressure model inputs</t>
        </is>
      </c>
    </row>
    <row r="2">
      <c r="A2" s="2" t="inlineStr">
        <is>
          <t>Prices are reference scenarios, not forecasts. Volume is an input the model does not supply.</t>
        </is>
      </c>
    </row>
    <row r="4">
      <c r="A4" s="3" t="inlineStr">
        <is>
          <t>Price scenario</t>
        </is>
      </c>
      <c r="B4" s="3" t="inlineStr">
        <is>
          <t>USD per KNX</t>
        </is>
      </c>
      <c r="C4" s="3" t="inlineStr">
        <is>
          <t>Source</t>
        </is>
      </c>
    </row>
    <row r="5">
      <c r="A5" t="inlineStr">
        <is>
          <t>New round price</t>
        </is>
      </c>
      <c r="B5" s="4" t="n">
        <v>0.16</v>
      </c>
      <c r="C5" t="inlineStr">
        <is>
          <t>TRS V_04, New Round pocket, USD 0.16 (USD 160,000,000 FDV)</t>
        </is>
      </c>
    </row>
    <row r="6">
      <c r="A6" t="inlineStr">
        <is>
          <t>Effective legacy price, pre-seed</t>
        </is>
      </c>
      <c r="B6" s="4" t="n">
        <v>0.0967923486375</v>
      </c>
      <c r="C6" t="inlineStr">
        <is>
          <t>TRS V_04, InvestorInsiders Breakdown: USD 1,000,000 over 10,331,395.27 retained KNX</t>
        </is>
      </c>
    </row>
    <row r="7">
      <c r="A7" t="inlineStr">
        <is>
          <t>Effective legacy price, seed</t>
        </is>
      </c>
      <c r="B7" s="4" t="n">
        <v>0.1716450982505</v>
      </c>
      <c r="C7" t="inlineStr">
        <is>
          <t>TRS V_04, InvestorInsiders Breakdown: USD 0.0665 entry pro-rated to retained KNX</t>
        </is>
      </c>
    </row>
    <row r="8">
      <c r="A8" t="inlineStr">
        <is>
          <t>Effective legacy price, KOL round</t>
        </is>
      </c>
      <c r="B8" s="4" t="n">
        <v>0.219395990245</v>
      </c>
      <c r="C8" t="inlineStr">
        <is>
          <t>TRS V_04, InvestorInsiders Breakdown: USD 0.085 entry pro-rated to retained KNX</t>
        </is>
      </c>
    </row>
    <row r="11">
      <c r="A11" s="5" t="inlineStr">
        <is>
          <t>Projected 30-day spot volume (USD), base case</t>
        </is>
      </c>
      <c r="B11" s="6" t="n"/>
      <c r="C11" s="7" t="inlineStr">
        <is>
          <t>INPUT REQUIRED: the model carries no volume assumption of its own. Enter the projected 30-day volume in USD; the Model sheet uses it for every month unless a month is overridden there.</t>
        </is>
      </c>
    </row>
    <row r="12">
      <c r="A12" t="inlineStr">
        <is>
          <t>Total supply (KNX)</t>
        </is>
      </c>
      <c r="B12" s="8" t="n">
        <v>1000000000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4" customWidth="1" min="14" max="14"/>
  </cols>
  <sheetData>
    <row r="1">
      <c r="A1" s="1" t="inlineStr">
        <is>
          <t>Monthly unlock by class, T+0 to T+84 (KNX)</t>
        </is>
      </c>
    </row>
    <row r="2">
      <c r="A2" s="2" t="inlineStr">
        <is>
          <t>Values from TRS V_04 grid as reproduced in 2.1_unlock-grid_r1.xlsx. T+0 is the TGE working date, 15 September 2027.</t>
        </is>
      </c>
    </row>
    <row r="4">
      <c r="A4" s="3" t="inlineStr">
        <is>
          <t>Month</t>
        </is>
      </c>
      <c r="B4" s="3" t="inlineStr">
        <is>
          <t>Date</t>
        </is>
      </c>
      <c r="C4" s="3" t="inlineStr">
        <is>
          <t>Legacy investors</t>
        </is>
      </c>
      <c r="D4" s="3" t="inlineStr">
        <is>
          <t>New round</t>
        </is>
      </c>
      <c r="E4" s="3" t="inlineStr">
        <is>
          <t>Emissions</t>
        </is>
      </c>
      <c r="F4" s="3" t="inlineStr">
        <is>
          <t>Marketing</t>
        </is>
      </c>
      <c r="G4" s="3" t="inlineStr">
        <is>
          <t>Treasury</t>
        </is>
      </c>
      <c r="H4" s="3" t="inlineStr">
        <is>
          <t>Foundation</t>
        </is>
      </c>
      <c r="I4" s="3" t="inlineStr">
        <is>
          <t>Team</t>
        </is>
      </c>
      <c r="J4" s="3" t="inlineStr">
        <is>
          <t>Liquidity</t>
        </is>
      </c>
      <c r="K4" s="3" t="inlineStr">
        <is>
          <t>Airdrop</t>
        </is>
      </c>
      <c r="L4" s="3" t="inlineStr">
        <is>
          <t>Monthly total</t>
        </is>
      </c>
      <c r="M4" s="3" t="inlineStr">
        <is>
          <t>Circulating (cumulative)</t>
        </is>
      </c>
      <c r="N4" s="3" t="inlineStr">
        <is>
          <t>Circulating % of supply</t>
        </is>
      </c>
    </row>
    <row r="5">
      <c r="A5" t="n">
        <v>0</v>
      </c>
      <c r="B5" s="9">
        <f>EDATE(DATE(2027,9,15),A5)</f>
        <v/>
      </c>
      <c r="C5" s="8" t="n">
        <v>0</v>
      </c>
      <c r="D5" s="8" t="n">
        <v>0</v>
      </c>
      <c r="E5" s="8" t="n">
        <v>0</v>
      </c>
      <c r="F5" s="8" t="n">
        <v>40000000</v>
      </c>
      <c r="G5" s="8" t="n">
        <v>1000000</v>
      </c>
      <c r="H5" s="8" t="n">
        <v>1000000</v>
      </c>
      <c r="I5" s="8" t="n">
        <v>0</v>
      </c>
      <c r="J5" s="8" t="n">
        <v>30000000</v>
      </c>
      <c r="K5" s="8" t="n">
        <v>5000000</v>
      </c>
      <c r="L5" s="8">
        <f>SUM(C5:K5)</f>
        <v/>
      </c>
      <c r="M5" s="8">
        <f>L5</f>
        <v/>
      </c>
      <c r="N5" s="10">
        <f>M5/Inputs!$B$12</f>
        <v/>
      </c>
    </row>
    <row r="6">
      <c r="A6" t="n">
        <v>1</v>
      </c>
      <c r="B6" s="9">
        <f>EDATE(DATE(2027,9,15),A6)</f>
        <v/>
      </c>
      <c r="C6" s="8" t="n">
        <v>0</v>
      </c>
      <c r="D6" s="8" t="n">
        <v>0</v>
      </c>
      <c r="E6" s="8" t="n">
        <v>0</v>
      </c>
      <c r="F6" s="8" t="n">
        <v>1833333.333333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>
        <f>SUM(C6:K6)</f>
        <v/>
      </c>
      <c r="M6" s="8">
        <f>M5+L6</f>
        <v/>
      </c>
      <c r="N6" s="10">
        <f>M6/Inputs!$B$12</f>
        <v/>
      </c>
    </row>
    <row r="7">
      <c r="A7" t="n">
        <v>2</v>
      </c>
      <c r="B7" s="9">
        <f>EDATE(DATE(2027,9,15),A7)</f>
        <v/>
      </c>
      <c r="C7" s="8" t="n">
        <v>0</v>
      </c>
      <c r="D7" s="8" t="n">
        <v>0</v>
      </c>
      <c r="E7" s="8" t="n">
        <v>0</v>
      </c>
      <c r="F7" s="8" t="n">
        <v>1833333.333333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>
        <f>SUM(C7:K7)</f>
        <v/>
      </c>
      <c r="M7" s="8">
        <f>M6+L7</f>
        <v/>
      </c>
      <c r="N7" s="10">
        <f>M7/Inputs!$B$12</f>
        <v/>
      </c>
    </row>
    <row r="8">
      <c r="A8" t="n">
        <v>3</v>
      </c>
      <c r="B8" s="9">
        <f>EDATE(DATE(2027,9,15),A8)</f>
        <v/>
      </c>
      <c r="C8" s="8" t="n">
        <v>0</v>
      </c>
      <c r="D8" s="8" t="n">
        <v>0</v>
      </c>
      <c r="E8" s="8" t="n">
        <v>0</v>
      </c>
      <c r="F8" s="8" t="n">
        <v>1833333.333333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>
        <f>SUM(C8:K8)</f>
        <v/>
      </c>
      <c r="M8" s="8">
        <f>M7+L8</f>
        <v/>
      </c>
      <c r="N8" s="10">
        <f>M8/Inputs!$B$12</f>
        <v/>
      </c>
    </row>
    <row r="9">
      <c r="A9" t="n">
        <v>4</v>
      </c>
      <c r="B9" s="9">
        <f>EDATE(DATE(2027,9,15),A9)</f>
        <v/>
      </c>
      <c r="C9" s="8" t="n">
        <v>0</v>
      </c>
      <c r="D9" s="8" t="n">
        <v>0</v>
      </c>
      <c r="E9" s="8" t="n">
        <v>4000000</v>
      </c>
      <c r="F9" s="8" t="n">
        <v>1833333.333333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>
        <f>SUM(C9:K9)</f>
        <v/>
      </c>
      <c r="M9" s="8">
        <f>M8+L9</f>
        <v/>
      </c>
      <c r="N9" s="10">
        <f>M9/Inputs!$B$12</f>
        <v/>
      </c>
    </row>
    <row r="10">
      <c r="A10" t="n">
        <v>5</v>
      </c>
      <c r="B10" s="9">
        <f>EDATE(DATE(2027,9,15),A10)</f>
        <v/>
      </c>
      <c r="C10" s="8" t="n">
        <v>0</v>
      </c>
      <c r="D10" s="8" t="n">
        <v>0</v>
      </c>
      <c r="E10" s="8" t="n">
        <v>4000000</v>
      </c>
      <c r="F10" s="8" t="n">
        <v>1833333.333333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>
        <f>SUM(C10:K10)</f>
        <v/>
      </c>
      <c r="M10" s="8">
        <f>M9+L10</f>
        <v/>
      </c>
      <c r="N10" s="10">
        <f>M10/Inputs!$B$12</f>
        <v/>
      </c>
    </row>
    <row r="11">
      <c r="A11" t="n">
        <v>6</v>
      </c>
      <c r="B11" s="9">
        <f>EDATE(DATE(2027,9,15),A11)</f>
        <v/>
      </c>
      <c r="C11" s="8" t="n">
        <v>0</v>
      </c>
      <c r="D11" s="8" t="n">
        <v>0</v>
      </c>
      <c r="E11" s="8" t="n">
        <v>4000000</v>
      </c>
      <c r="F11" s="8" t="n">
        <v>1833333.333333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>
        <f>SUM(C11:K11)</f>
        <v/>
      </c>
      <c r="M11" s="8">
        <f>M10+L11</f>
        <v/>
      </c>
      <c r="N11" s="10">
        <f>M11/Inputs!$B$12</f>
        <v/>
      </c>
    </row>
    <row r="12">
      <c r="A12" t="n">
        <v>7</v>
      </c>
      <c r="B12" s="9">
        <f>EDATE(DATE(2027,9,15),A12)</f>
        <v/>
      </c>
      <c r="C12" s="8" t="n">
        <v>0</v>
      </c>
      <c r="D12" s="8" t="n">
        <v>0</v>
      </c>
      <c r="E12" s="8" t="n">
        <v>4000000</v>
      </c>
      <c r="F12" s="8" t="n">
        <v>1833333.333333</v>
      </c>
      <c r="G12" s="8" t="n">
        <v>1633333.333333</v>
      </c>
      <c r="H12" s="8" t="n">
        <v>0</v>
      </c>
      <c r="I12" s="8" t="n">
        <v>0</v>
      </c>
      <c r="J12" s="8" t="n">
        <v>0</v>
      </c>
      <c r="K12" s="8" t="n">
        <v>0</v>
      </c>
      <c r="L12" s="8">
        <f>SUM(C12:K12)</f>
        <v/>
      </c>
      <c r="M12" s="8">
        <f>M11+L12</f>
        <v/>
      </c>
      <c r="N12" s="10">
        <f>M12/Inputs!$B$12</f>
        <v/>
      </c>
    </row>
    <row r="13">
      <c r="A13" t="n">
        <v>8</v>
      </c>
      <c r="B13" s="9">
        <f>EDATE(DATE(2027,9,15),A13)</f>
        <v/>
      </c>
      <c r="C13" s="8" t="n">
        <v>0</v>
      </c>
      <c r="D13" s="8" t="n">
        <v>0</v>
      </c>
      <c r="E13" s="8" t="n">
        <v>4000000</v>
      </c>
      <c r="F13" s="8" t="n">
        <v>1833333.333333</v>
      </c>
      <c r="G13" s="8" t="n">
        <v>1633333.333333</v>
      </c>
      <c r="H13" s="8" t="n">
        <v>0</v>
      </c>
      <c r="I13" s="8" t="n">
        <v>0</v>
      </c>
      <c r="J13" s="8" t="n">
        <v>0</v>
      </c>
      <c r="K13" s="8" t="n">
        <v>0</v>
      </c>
      <c r="L13" s="8">
        <f>SUM(C13:K13)</f>
        <v/>
      </c>
      <c r="M13" s="8">
        <f>M12+L13</f>
        <v/>
      </c>
      <c r="N13" s="10">
        <f>M13/Inputs!$B$12</f>
        <v/>
      </c>
    </row>
    <row r="14">
      <c r="A14" t="n">
        <v>9</v>
      </c>
      <c r="B14" s="9">
        <f>EDATE(DATE(2027,9,15),A14)</f>
        <v/>
      </c>
      <c r="C14" s="8" t="n">
        <v>0</v>
      </c>
      <c r="D14" s="8" t="n">
        <v>0</v>
      </c>
      <c r="E14" s="8" t="n">
        <v>4000000</v>
      </c>
      <c r="F14" s="8" t="n">
        <v>1833333.333333</v>
      </c>
      <c r="G14" s="8" t="n">
        <v>1633333.333333</v>
      </c>
      <c r="H14" s="8" t="n">
        <v>0</v>
      </c>
      <c r="I14" s="8" t="n">
        <v>0</v>
      </c>
      <c r="J14" s="8" t="n">
        <v>0</v>
      </c>
      <c r="K14" s="8" t="n">
        <v>0</v>
      </c>
      <c r="L14" s="8">
        <f>SUM(C14:K14)</f>
        <v/>
      </c>
      <c r="M14" s="8">
        <f>M13+L14</f>
        <v/>
      </c>
      <c r="N14" s="10">
        <f>M14/Inputs!$B$12</f>
        <v/>
      </c>
    </row>
    <row r="15">
      <c r="A15" t="n">
        <v>10</v>
      </c>
      <c r="B15" s="9">
        <f>EDATE(DATE(2027,9,15),A15)</f>
        <v/>
      </c>
      <c r="C15" s="8" t="n">
        <v>0</v>
      </c>
      <c r="D15" s="8" t="n">
        <v>0</v>
      </c>
      <c r="E15" s="8" t="n">
        <v>4000000</v>
      </c>
      <c r="F15" s="8" t="n">
        <v>1833333.333333</v>
      </c>
      <c r="G15" s="8" t="n">
        <v>1633333.333333</v>
      </c>
      <c r="H15" s="8" t="n">
        <v>0</v>
      </c>
      <c r="I15" s="8" t="n">
        <v>0</v>
      </c>
      <c r="J15" s="8" t="n">
        <v>0</v>
      </c>
      <c r="K15" s="8" t="n">
        <v>0</v>
      </c>
      <c r="L15" s="8">
        <f>SUM(C15:K15)</f>
        <v/>
      </c>
      <c r="M15" s="8">
        <f>M14+L15</f>
        <v/>
      </c>
      <c r="N15" s="10">
        <f>M15/Inputs!$B$12</f>
        <v/>
      </c>
    </row>
    <row r="16">
      <c r="A16" t="n">
        <v>11</v>
      </c>
      <c r="B16" s="9">
        <f>EDATE(DATE(2027,9,15),A16)</f>
        <v/>
      </c>
      <c r="C16" s="8" t="n">
        <v>0</v>
      </c>
      <c r="D16" s="8" t="n">
        <v>0</v>
      </c>
      <c r="E16" s="8" t="n">
        <v>4000000</v>
      </c>
      <c r="F16" s="8" t="n">
        <v>1833333.333333</v>
      </c>
      <c r="G16" s="8" t="n">
        <v>1633333.333333</v>
      </c>
      <c r="H16" s="8" t="n">
        <v>0</v>
      </c>
      <c r="I16" s="8" t="n">
        <v>0</v>
      </c>
      <c r="J16" s="8" t="n">
        <v>0</v>
      </c>
      <c r="K16" s="8" t="n">
        <v>0</v>
      </c>
      <c r="L16" s="8">
        <f>SUM(C16:K16)</f>
        <v/>
      </c>
      <c r="M16" s="8">
        <f>M15+L16</f>
        <v/>
      </c>
      <c r="N16" s="10">
        <f>M16/Inputs!$B$12</f>
        <v/>
      </c>
    </row>
    <row r="17">
      <c r="A17" t="n">
        <v>12</v>
      </c>
      <c r="B17" s="9">
        <f>EDATE(DATE(2027,9,15),A17)</f>
        <v/>
      </c>
      <c r="C17" s="8" t="n">
        <v>0</v>
      </c>
      <c r="D17" s="8" t="n">
        <v>0</v>
      </c>
      <c r="E17" s="8" t="n">
        <v>4000000</v>
      </c>
      <c r="F17" s="8" t="n">
        <v>1833333.333333</v>
      </c>
      <c r="G17" s="8" t="n">
        <v>1633333.333333</v>
      </c>
      <c r="H17" s="8" t="n">
        <v>0</v>
      </c>
      <c r="I17" s="8" t="n">
        <v>0</v>
      </c>
      <c r="J17" s="8" t="n">
        <v>0</v>
      </c>
      <c r="K17" s="8" t="n">
        <v>0</v>
      </c>
      <c r="L17" s="8">
        <f>SUM(C17:K17)</f>
        <v/>
      </c>
      <c r="M17" s="8">
        <f>M16+L17</f>
        <v/>
      </c>
      <c r="N17" s="10">
        <f>M17/Inputs!$B$12</f>
        <v/>
      </c>
    </row>
    <row r="18">
      <c r="A18" t="n">
        <v>13</v>
      </c>
      <c r="B18" s="9">
        <f>EDATE(DATE(2027,9,15),A18)</f>
        <v/>
      </c>
      <c r="C18" s="8" t="n">
        <v>2083333.333333</v>
      </c>
      <c r="D18" s="8" t="n">
        <v>8333333.333333</v>
      </c>
      <c r="E18" s="8" t="n">
        <v>3400000</v>
      </c>
      <c r="F18" s="8" t="n">
        <v>1833333.333333</v>
      </c>
      <c r="G18" s="8" t="n">
        <v>1633333.333333</v>
      </c>
      <c r="H18" s="8" t="n">
        <v>1625000</v>
      </c>
      <c r="I18" s="8" t="n">
        <v>0</v>
      </c>
      <c r="J18" s="8" t="n">
        <v>0</v>
      </c>
      <c r="K18" s="8" t="n">
        <v>0</v>
      </c>
      <c r="L18" s="8">
        <f>SUM(C18:K18)</f>
        <v/>
      </c>
      <c r="M18" s="8">
        <f>M17+L18</f>
        <v/>
      </c>
      <c r="N18" s="10">
        <f>M18/Inputs!$B$12</f>
        <v/>
      </c>
    </row>
    <row r="19">
      <c r="A19" t="n">
        <v>14</v>
      </c>
      <c r="B19" s="9">
        <f>EDATE(DATE(2027,9,15),A19)</f>
        <v/>
      </c>
      <c r="C19" s="8" t="n">
        <v>2083333.333333</v>
      </c>
      <c r="D19" s="8" t="n">
        <v>8333333.333333</v>
      </c>
      <c r="E19" s="8" t="n">
        <v>3400000</v>
      </c>
      <c r="F19" s="8" t="n">
        <v>1833333.333333</v>
      </c>
      <c r="G19" s="8" t="n">
        <v>1633333.333333</v>
      </c>
      <c r="H19" s="8" t="n">
        <v>1625000</v>
      </c>
      <c r="I19" s="8" t="n">
        <v>2000000</v>
      </c>
      <c r="J19" s="8" t="n">
        <v>0</v>
      </c>
      <c r="K19" s="8" t="n">
        <v>0</v>
      </c>
      <c r="L19" s="8">
        <f>SUM(C19:K19)</f>
        <v/>
      </c>
      <c r="M19" s="8">
        <f>M18+L19</f>
        <v/>
      </c>
      <c r="N19" s="10">
        <f>M19/Inputs!$B$12</f>
        <v/>
      </c>
    </row>
    <row r="20">
      <c r="A20" t="n">
        <v>15</v>
      </c>
      <c r="B20" s="9">
        <f>EDATE(DATE(2027,9,15),A20)</f>
        <v/>
      </c>
      <c r="C20" s="8" t="n">
        <v>2083333.333333</v>
      </c>
      <c r="D20" s="8" t="n">
        <v>8333333.333333</v>
      </c>
      <c r="E20" s="8" t="n">
        <v>3400000</v>
      </c>
      <c r="F20" s="8" t="n">
        <v>1833333.333333</v>
      </c>
      <c r="G20" s="8" t="n">
        <v>1633333.333333</v>
      </c>
      <c r="H20" s="8" t="n">
        <v>1625000</v>
      </c>
      <c r="I20" s="8" t="n">
        <v>2000000</v>
      </c>
      <c r="J20" s="8" t="n">
        <v>0</v>
      </c>
      <c r="K20" s="8" t="n">
        <v>0</v>
      </c>
      <c r="L20" s="8">
        <f>SUM(C20:K20)</f>
        <v/>
      </c>
      <c r="M20" s="8">
        <f>M19+L20</f>
        <v/>
      </c>
      <c r="N20" s="10">
        <f>M20/Inputs!$B$12</f>
        <v/>
      </c>
    </row>
    <row r="21">
      <c r="A21" t="n">
        <v>16</v>
      </c>
      <c r="B21" s="9">
        <f>EDATE(DATE(2027,9,15),A21)</f>
        <v/>
      </c>
      <c r="C21" s="8" t="n">
        <v>2083333.333333</v>
      </c>
      <c r="D21" s="8" t="n">
        <v>8333333.333333</v>
      </c>
      <c r="E21" s="8" t="n">
        <v>3400000</v>
      </c>
      <c r="F21" s="8" t="n">
        <v>1833333.333333</v>
      </c>
      <c r="G21" s="8" t="n">
        <v>1633333.333333</v>
      </c>
      <c r="H21" s="8" t="n">
        <v>1625000</v>
      </c>
      <c r="I21" s="8" t="n">
        <v>2000000</v>
      </c>
      <c r="J21" s="8" t="n">
        <v>0</v>
      </c>
      <c r="K21" s="8" t="n">
        <v>0</v>
      </c>
      <c r="L21" s="8">
        <f>SUM(C21:K21)</f>
        <v/>
      </c>
      <c r="M21" s="8">
        <f>M20+L21</f>
        <v/>
      </c>
      <c r="N21" s="10">
        <f>M21/Inputs!$B$12</f>
        <v/>
      </c>
    </row>
    <row r="22">
      <c r="A22" t="n">
        <v>17</v>
      </c>
      <c r="B22" s="9">
        <f>EDATE(DATE(2027,9,15),A22)</f>
        <v/>
      </c>
      <c r="C22" s="8" t="n">
        <v>2083333.333333</v>
      </c>
      <c r="D22" s="8" t="n">
        <v>8333333.333333</v>
      </c>
      <c r="E22" s="8" t="n">
        <v>3400000</v>
      </c>
      <c r="F22" s="8" t="n">
        <v>1833333.333333</v>
      </c>
      <c r="G22" s="8" t="n">
        <v>1633333.333333</v>
      </c>
      <c r="H22" s="8" t="n">
        <v>1625000</v>
      </c>
      <c r="I22" s="8" t="n">
        <v>2000000</v>
      </c>
      <c r="J22" s="8" t="n">
        <v>0</v>
      </c>
      <c r="K22" s="8" t="n">
        <v>0</v>
      </c>
      <c r="L22" s="8">
        <f>SUM(C22:K22)</f>
        <v/>
      </c>
      <c r="M22" s="8">
        <f>M21+L22</f>
        <v/>
      </c>
      <c r="N22" s="10">
        <f>M22/Inputs!$B$12</f>
        <v/>
      </c>
    </row>
    <row r="23">
      <c r="A23" t="n">
        <v>18</v>
      </c>
      <c r="B23" s="9">
        <f>EDATE(DATE(2027,9,15),A23)</f>
        <v/>
      </c>
      <c r="C23" s="8" t="n">
        <v>2083333.333333</v>
      </c>
      <c r="D23" s="8" t="n">
        <v>8333333.333333</v>
      </c>
      <c r="E23" s="8" t="n">
        <v>3400000</v>
      </c>
      <c r="F23" s="8" t="n">
        <v>1833333.333333</v>
      </c>
      <c r="G23" s="8" t="n">
        <v>1633333.333333</v>
      </c>
      <c r="H23" s="8" t="n">
        <v>1625000</v>
      </c>
      <c r="I23" s="8" t="n">
        <v>2000000</v>
      </c>
      <c r="J23" s="8" t="n">
        <v>0</v>
      </c>
      <c r="K23" s="8" t="n">
        <v>0</v>
      </c>
      <c r="L23" s="8">
        <f>SUM(C23:K23)</f>
        <v/>
      </c>
      <c r="M23" s="8">
        <f>M22+L23</f>
        <v/>
      </c>
      <c r="N23" s="10">
        <f>M23/Inputs!$B$12</f>
        <v/>
      </c>
    </row>
    <row r="24">
      <c r="A24" t="n">
        <v>19</v>
      </c>
      <c r="B24" s="9">
        <f>EDATE(DATE(2027,9,15),A24)</f>
        <v/>
      </c>
      <c r="C24" s="8" t="n">
        <v>2083333.333333</v>
      </c>
      <c r="D24" s="8" t="n">
        <v>8333333.333333</v>
      </c>
      <c r="E24" s="8" t="n">
        <v>3400000</v>
      </c>
      <c r="F24" s="8" t="n">
        <v>1833333.333333</v>
      </c>
      <c r="G24" s="8" t="n">
        <v>1633333.333333</v>
      </c>
      <c r="H24" s="8" t="n">
        <v>1625000</v>
      </c>
      <c r="I24" s="8" t="n">
        <v>2000000</v>
      </c>
      <c r="J24" s="8" t="n">
        <v>0</v>
      </c>
      <c r="K24" s="8" t="n">
        <v>0</v>
      </c>
      <c r="L24" s="8">
        <f>SUM(C24:K24)</f>
        <v/>
      </c>
      <c r="M24" s="8">
        <f>M23+L24</f>
        <v/>
      </c>
      <c r="N24" s="10">
        <f>M24/Inputs!$B$12</f>
        <v/>
      </c>
    </row>
    <row r="25">
      <c r="A25" t="n">
        <v>20</v>
      </c>
      <c r="B25" s="9">
        <f>EDATE(DATE(2027,9,15),A25)</f>
        <v/>
      </c>
      <c r="C25" s="8" t="n">
        <v>2083333.333333</v>
      </c>
      <c r="D25" s="8" t="n">
        <v>8333333.333333</v>
      </c>
      <c r="E25" s="8" t="n">
        <v>3400000</v>
      </c>
      <c r="F25" s="8" t="n">
        <v>1833333.333333</v>
      </c>
      <c r="G25" s="8" t="n">
        <v>1633333.333333</v>
      </c>
      <c r="H25" s="8" t="n">
        <v>1625000</v>
      </c>
      <c r="I25" s="8" t="n">
        <v>2000000</v>
      </c>
      <c r="J25" s="8" t="n">
        <v>0</v>
      </c>
      <c r="K25" s="8" t="n">
        <v>0</v>
      </c>
      <c r="L25" s="8">
        <f>SUM(C25:K25)</f>
        <v/>
      </c>
      <c r="M25" s="8">
        <f>M24+L25</f>
        <v/>
      </c>
      <c r="N25" s="10">
        <f>M25/Inputs!$B$12</f>
        <v/>
      </c>
    </row>
    <row r="26">
      <c r="A26" t="n">
        <v>21</v>
      </c>
      <c r="B26" s="9">
        <f>EDATE(DATE(2027,9,15),A26)</f>
        <v/>
      </c>
      <c r="C26" s="8" t="n">
        <v>2083333.333333</v>
      </c>
      <c r="D26" s="8" t="n">
        <v>8333333.333333</v>
      </c>
      <c r="E26" s="8" t="n">
        <v>3400000</v>
      </c>
      <c r="F26" s="8" t="n">
        <v>1833333.333333</v>
      </c>
      <c r="G26" s="8" t="n">
        <v>1633333.333333</v>
      </c>
      <c r="H26" s="8" t="n">
        <v>1625000</v>
      </c>
      <c r="I26" s="8" t="n">
        <v>2000000</v>
      </c>
      <c r="J26" s="8" t="n">
        <v>0</v>
      </c>
      <c r="K26" s="8" t="n">
        <v>0</v>
      </c>
      <c r="L26" s="8">
        <f>SUM(C26:K26)</f>
        <v/>
      </c>
      <c r="M26" s="8">
        <f>M25+L26</f>
        <v/>
      </c>
      <c r="N26" s="10">
        <f>M26/Inputs!$B$12</f>
        <v/>
      </c>
    </row>
    <row r="27">
      <c r="A27" t="n">
        <v>22</v>
      </c>
      <c r="B27" s="9">
        <f>EDATE(DATE(2027,9,15),A27)</f>
        <v/>
      </c>
      <c r="C27" s="8" t="n">
        <v>2083333.333333</v>
      </c>
      <c r="D27" s="8" t="n">
        <v>8333333.333333</v>
      </c>
      <c r="E27" s="8" t="n">
        <v>3400000</v>
      </c>
      <c r="F27" s="8" t="n">
        <v>1833333.333333</v>
      </c>
      <c r="G27" s="8" t="n">
        <v>1633333.333333</v>
      </c>
      <c r="H27" s="8" t="n">
        <v>1625000</v>
      </c>
      <c r="I27" s="8" t="n">
        <v>2000000</v>
      </c>
      <c r="J27" s="8" t="n">
        <v>0</v>
      </c>
      <c r="K27" s="8" t="n">
        <v>0</v>
      </c>
      <c r="L27" s="8">
        <f>SUM(C27:K27)</f>
        <v/>
      </c>
      <c r="M27" s="8">
        <f>M26+L27</f>
        <v/>
      </c>
      <c r="N27" s="10">
        <f>M27/Inputs!$B$12</f>
        <v/>
      </c>
    </row>
    <row r="28">
      <c r="A28" t="n">
        <v>23</v>
      </c>
      <c r="B28" s="9">
        <f>EDATE(DATE(2027,9,15),A28)</f>
        <v/>
      </c>
      <c r="C28" s="8" t="n">
        <v>2083333.333333</v>
      </c>
      <c r="D28" s="8" t="n">
        <v>8333333.333333</v>
      </c>
      <c r="E28" s="8" t="n">
        <v>3400000</v>
      </c>
      <c r="F28" s="8" t="n">
        <v>1833333.333333</v>
      </c>
      <c r="G28" s="8" t="n">
        <v>1633333.333333</v>
      </c>
      <c r="H28" s="8" t="n">
        <v>1625000</v>
      </c>
      <c r="I28" s="8" t="n">
        <v>2000000</v>
      </c>
      <c r="J28" s="8" t="n">
        <v>0</v>
      </c>
      <c r="K28" s="8" t="n">
        <v>0</v>
      </c>
      <c r="L28" s="8">
        <f>SUM(C28:K28)</f>
        <v/>
      </c>
      <c r="M28" s="8">
        <f>M27+L28</f>
        <v/>
      </c>
      <c r="N28" s="10">
        <f>M28/Inputs!$B$12</f>
        <v/>
      </c>
    </row>
    <row r="29">
      <c r="A29" t="n">
        <v>24</v>
      </c>
      <c r="B29" s="9">
        <f>EDATE(DATE(2027,9,15),A29)</f>
        <v/>
      </c>
      <c r="C29" s="8" t="n">
        <v>2083333.333333</v>
      </c>
      <c r="D29" s="8" t="n">
        <v>8333333.333333</v>
      </c>
      <c r="E29" s="8" t="n">
        <v>3400000</v>
      </c>
      <c r="F29" s="8" t="n">
        <v>1833333.333333</v>
      </c>
      <c r="G29" s="8" t="n">
        <v>1633333.333333</v>
      </c>
      <c r="H29" s="8" t="n">
        <v>1625000</v>
      </c>
      <c r="I29" s="8" t="n">
        <v>2000000</v>
      </c>
      <c r="J29" s="8" t="n">
        <v>0</v>
      </c>
      <c r="K29" s="8" t="n">
        <v>0</v>
      </c>
      <c r="L29" s="8">
        <f>SUM(C29:K29)</f>
        <v/>
      </c>
      <c r="M29" s="8">
        <f>M28+L29</f>
        <v/>
      </c>
      <c r="N29" s="10">
        <f>M29/Inputs!$B$12</f>
        <v/>
      </c>
    </row>
    <row r="30">
      <c r="A30" t="n">
        <v>25</v>
      </c>
      <c r="B30" s="9">
        <f>EDATE(DATE(2027,9,15),A30)</f>
        <v/>
      </c>
      <c r="C30" s="8" t="n">
        <v>2083333.333333</v>
      </c>
      <c r="D30" s="8" t="n">
        <v>8333333.333333</v>
      </c>
      <c r="E30" s="8" t="n">
        <v>2890000</v>
      </c>
      <c r="F30" s="8" t="n">
        <v>1833333.333333</v>
      </c>
      <c r="G30" s="8" t="n">
        <v>1633333.333333</v>
      </c>
      <c r="H30" s="8" t="n">
        <v>1625000</v>
      </c>
      <c r="I30" s="8" t="n">
        <v>2000000</v>
      </c>
      <c r="J30" s="8" t="n">
        <v>0</v>
      </c>
      <c r="K30" s="8" t="n">
        <v>0</v>
      </c>
      <c r="L30" s="8">
        <f>SUM(C30:K30)</f>
        <v/>
      </c>
      <c r="M30" s="8">
        <f>M29+L30</f>
        <v/>
      </c>
      <c r="N30" s="10">
        <f>M30/Inputs!$B$12</f>
        <v/>
      </c>
    </row>
    <row r="31">
      <c r="A31" t="n">
        <v>26</v>
      </c>
      <c r="B31" s="9">
        <f>EDATE(DATE(2027,9,15),A31)</f>
        <v/>
      </c>
      <c r="C31" s="8" t="n">
        <v>2083333.333333</v>
      </c>
      <c r="D31" s="8" t="n">
        <v>8333333.333333</v>
      </c>
      <c r="E31" s="8" t="n">
        <v>2890000</v>
      </c>
      <c r="F31" s="8" t="n">
        <v>1833333.333333</v>
      </c>
      <c r="G31" s="8" t="n">
        <v>1633333.333333</v>
      </c>
      <c r="H31" s="8" t="n">
        <v>1625000</v>
      </c>
      <c r="I31" s="8" t="n">
        <v>2000000</v>
      </c>
      <c r="J31" s="8" t="n">
        <v>0</v>
      </c>
      <c r="K31" s="8" t="n">
        <v>0</v>
      </c>
      <c r="L31" s="8">
        <f>SUM(C31:K31)</f>
        <v/>
      </c>
      <c r="M31" s="8">
        <f>M30+L31</f>
        <v/>
      </c>
      <c r="N31" s="10">
        <f>M31/Inputs!$B$12</f>
        <v/>
      </c>
    </row>
    <row r="32">
      <c r="A32" t="n">
        <v>27</v>
      </c>
      <c r="B32" s="9">
        <f>EDATE(DATE(2027,9,15),A32)</f>
        <v/>
      </c>
      <c r="C32" s="8" t="n">
        <v>2083333.333333</v>
      </c>
      <c r="D32" s="8" t="n">
        <v>8333333.333333</v>
      </c>
      <c r="E32" s="8" t="n">
        <v>2890000</v>
      </c>
      <c r="F32" s="8" t="n">
        <v>1833333.333333</v>
      </c>
      <c r="G32" s="8" t="n">
        <v>1633333.333333</v>
      </c>
      <c r="H32" s="8" t="n">
        <v>1625000</v>
      </c>
      <c r="I32" s="8" t="n">
        <v>2000000</v>
      </c>
      <c r="J32" s="8" t="n">
        <v>0</v>
      </c>
      <c r="K32" s="8" t="n">
        <v>0</v>
      </c>
      <c r="L32" s="8">
        <f>SUM(C32:K32)</f>
        <v/>
      </c>
      <c r="M32" s="8">
        <f>M31+L32</f>
        <v/>
      </c>
      <c r="N32" s="10">
        <f>M32/Inputs!$B$12</f>
        <v/>
      </c>
    </row>
    <row r="33">
      <c r="A33" t="n">
        <v>28</v>
      </c>
      <c r="B33" s="9">
        <f>EDATE(DATE(2027,9,15),A33)</f>
        <v/>
      </c>
      <c r="C33" s="8" t="n">
        <v>2083333.333333</v>
      </c>
      <c r="D33" s="8" t="n">
        <v>8333333.333333</v>
      </c>
      <c r="E33" s="8" t="n">
        <v>2890000</v>
      </c>
      <c r="F33" s="8" t="n">
        <v>1833333.333333</v>
      </c>
      <c r="G33" s="8" t="n">
        <v>1633333.333333</v>
      </c>
      <c r="H33" s="8" t="n">
        <v>1625000</v>
      </c>
      <c r="I33" s="8" t="n">
        <v>2000000</v>
      </c>
      <c r="J33" s="8" t="n">
        <v>0</v>
      </c>
      <c r="K33" s="8" t="n">
        <v>0</v>
      </c>
      <c r="L33" s="8">
        <f>SUM(C33:K33)</f>
        <v/>
      </c>
      <c r="M33" s="8">
        <f>M32+L33</f>
        <v/>
      </c>
      <c r="N33" s="10">
        <f>M33/Inputs!$B$12</f>
        <v/>
      </c>
    </row>
    <row r="34">
      <c r="A34" t="n">
        <v>29</v>
      </c>
      <c r="B34" s="9">
        <f>EDATE(DATE(2027,9,15),A34)</f>
        <v/>
      </c>
      <c r="C34" s="8" t="n">
        <v>2083333.333333</v>
      </c>
      <c r="D34" s="8" t="n">
        <v>8333333.333333</v>
      </c>
      <c r="E34" s="8" t="n">
        <v>2890000</v>
      </c>
      <c r="F34" s="8" t="n">
        <v>1833333.333333</v>
      </c>
      <c r="G34" s="8" t="n">
        <v>1633333.333333</v>
      </c>
      <c r="H34" s="8" t="n">
        <v>1625000</v>
      </c>
      <c r="I34" s="8" t="n">
        <v>2000000</v>
      </c>
      <c r="J34" s="8" t="n">
        <v>0</v>
      </c>
      <c r="K34" s="8" t="n">
        <v>0</v>
      </c>
      <c r="L34" s="8">
        <f>SUM(C34:K34)</f>
        <v/>
      </c>
      <c r="M34" s="8">
        <f>M33+L34</f>
        <v/>
      </c>
      <c r="N34" s="10">
        <f>M34/Inputs!$B$12</f>
        <v/>
      </c>
    </row>
    <row r="35">
      <c r="A35" t="n">
        <v>30</v>
      </c>
      <c r="B35" s="9">
        <f>EDATE(DATE(2027,9,15),A35)</f>
        <v/>
      </c>
      <c r="C35" s="8" t="n">
        <v>2083333.333333</v>
      </c>
      <c r="D35" s="8" t="n">
        <v>8333333.333333</v>
      </c>
      <c r="E35" s="8" t="n">
        <v>2890000</v>
      </c>
      <c r="F35" s="8" t="n">
        <v>1833333.333333</v>
      </c>
      <c r="G35" s="8" t="n">
        <v>1633333.333333</v>
      </c>
      <c r="H35" s="8" t="n">
        <v>1625000</v>
      </c>
      <c r="I35" s="8" t="n">
        <v>2000000</v>
      </c>
      <c r="J35" s="8" t="n">
        <v>0</v>
      </c>
      <c r="K35" s="8" t="n">
        <v>0</v>
      </c>
      <c r="L35" s="8">
        <f>SUM(C35:K35)</f>
        <v/>
      </c>
      <c r="M35" s="8">
        <f>M34+L35</f>
        <v/>
      </c>
      <c r="N35" s="10">
        <f>M35/Inputs!$B$12</f>
        <v/>
      </c>
    </row>
    <row r="36">
      <c r="A36" t="n">
        <v>31</v>
      </c>
      <c r="B36" s="9">
        <f>EDATE(DATE(2027,9,15),A36)</f>
        <v/>
      </c>
      <c r="C36" s="8" t="n">
        <v>2083333.333333</v>
      </c>
      <c r="D36" s="8" t="n">
        <v>8333333.333333</v>
      </c>
      <c r="E36" s="8" t="n">
        <v>2890000</v>
      </c>
      <c r="F36" s="8" t="n">
        <v>0</v>
      </c>
      <c r="G36" s="8" t="n">
        <v>1633333.333333</v>
      </c>
      <c r="H36" s="8" t="n">
        <v>1625000</v>
      </c>
      <c r="I36" s="8" t="n">
        <v>2000000</v>
      </c>
      <c r="J36" s="8" t="n">
        <v>0</v>
      </c>
      <c r="K36" s="8" t="n">
        <v>0</v>
      </c>
      <c r="L36" s="8">
        <f>SUM(C36:K36)</f>
        <v/>
      </c>
      <c r="M36" s="8">
        <f>M35+L36</f>
        <v/>
      </c>
      <c r="N36" s="10">
        <f>M36/Inputs!$B$12</f>
        <v/>
      </c>
    </row>
    <row r="37">
      <c r="A37" t="n">
        <v>32</v>
      </c>
      <c r="B37" s="9">
        <f>EDATE(DATE(2027,9,15),A37)</f>
        <v/>
      </c>
      <c r="C37" s="8" t="n">
        <v>2083333.333333</v>
      </c>
      <c r="D37" s="8" t="n">
        <v>8333333.333333</v>
      </c>
      <c r="E37" s="8" t="n">
        <v>2890000</v>
      </c>
      <c r="F37" s="8" t="n">
        <v>0</v>
      </c>
      <c r="G37" s="8" t="n">
        <v>1633333.333333</v>
      </c>
      <c r="H37" s="8" t="n">
        <v>1625000</v>
      </c>
      <c r="I37" s="8" t="n">
        <v>2000000</v>
      </c>
      <c r="J37" s="8" t="n">
        <v>0</v>
      </c>
      <c r="K37" s="8" t="n">
        <v>0</v>
      </c>
      <c r="L37" s="8">
        <f>SUM(C37:K37)</f>
        <v/>
      </c>
      <c r="M37" s="8">
        <f>M36+L37</f>
        <v/>
      </c>
      <c r="N37" s="10">
        <f>M37/Inputs!$B$12</f>
        <v/>
      </c>
    </row>
    <row r="38">
      <c r="A38" t="n">
        <v>33</v>
      </c>
      <c r="B38" s="9">
        <f>EDATE(DATE(2027,9,15),A38)</f>
        <v/>
      </c>
      <c r="C38" s="8" t="n">
        <v>2083333.333333</v>
      </c>
      <c r="D38" s="8" t="n">
        <v>8333333.333333</v>
      </c>
      <c r="E38" s="8" t="n">
        <v>2890000</v>
      </c>
      <c r="F38" s="8" t="n">
        <v>0</v>
      </c>
      <c r="G38" s="8" t="n">
        <v>1633333.333333</v>
      </c>
      <c r="H38" s="8" t="n">
        <v>1625000</v>
      </c>
      <c r="I38" s="8" t="n">
        <v>2000000</v>
      </c>
      <c r="J38" s="8" t="n">
        <v>0</v>
      </c>
      <c r="K38" s="8" t="n">
        <v>0</v>
      </c>
      <c r="L38" s="8">
        <f>SUM(C38:K38)</f>
        <v/>
      </c>
      <c r="M38" s="8">
        <f>M37+L38</f>
        <v/>
      </c>
      <c r="N38" s="10">
        <f>M38/Inputs!$B$12</f>
        <v/>
      </c>
    </row>
    <row r="39">
      <c r="A39" t="n">
        <v>34</v>
      </c>
      <c r="B39" s="9">
        <f>EDATE(DATE(2027,9,15),A39)</f>
        <v/>
      </c>
      <c r="C39" s="8" t="n">
        <v>2083333.333333</v>
      </c>
      <c r="D39" s="8" t="n">
        <v>8333333.333333</v>
      </c>
      <c r="E39" s="8" t="n">
        <v>2890000</v>
      </c>
      <c r="F39" s="8" t="n">
        <v>0</v>
      </c>
      <c r="G39" s="8" t="n">
        <v>1633333.333333</v>
      </c>
      <c r="H39" s="8" t="n">
        <v>1625000</v>
      </c>
      <c r="I39" s="8" t="n">
        <v>2000000</v>
      </c>
      <c r="J39" s="8" t="n">
        <v>0</v>
      </c>
      <c r="K39" s="8" t="n">
        <v>0</v>
      </c>
      <c r="L39" s="8">
        <f>SUM(C39:K39)</f>
        <v/>
      </c>
      <c r="M39" s="8">
        <f>M38+L39</f>
        <v/>
      </c>
      <c r="N39" s="10">
        <f>M39/Inputs!$B$12</f>
        <v/>
      </c>
    </row>
    <row r="40">
      <c r="A40" t="n">
        <v>35</v>
      </c>
      <c r="B40" s="9">
        <f>EDATE(DATE(2027,9,15),A40)</f>
        <v/>
      </c>
      <c r="C40" s="8" t="n">
        <v>2083333.333333</v>
      </c>
      <c r="D40" s="8" t="n">
        <v>8333333.333333</v>
      </c>
      <c r="E40" s="8" t="n">
        <v>2890000</v>
      </c>
      <c r="F40" s="8" t="n">
        <v>0</v>
      </c>
      <c r="G40" s="8" t="n">
        <v>1633333.333333</v>
      </c>
      <c r="H40" s="8" t="n">
        <v>1625000</v>
      </c>
      <c r="I40" s="8" t="n">
        <v>2000000</v>
      </c>
      <c r="J40" s="8" t="n">
        <v>0</v>
      </c>
      <c r="K40" s="8" t="n">
        <v>0</v>
      </c>
      <c r="L40" s="8">
        <f>SUM(C40:K40)</f>
        <v/>
      </c>
      <c r="M40" s="8">
        <f>M39+L40</f>
        <v/>
      </c>
      <c r="N40" s="10">
        <f>M40/Inputs!$B$12</f>
        <v/>
      </c>
    </row>
    <row r="41">
      <c r="A41" t="n">
        <v>36</v>
      </c>
      <c r="B41" s="9">
        <f>EDATE(DATE(2027,9,15),A41)</f>
        <v/>
      </c>
      <c r="C41" s="8" t="n">
        <v>2083333.333333</v>
      </c>
      <c r="D41" s="8" t="n">
        <v>8333333.333333</v>
      </c>
      <c r="E41" s="8" t="n">
        <v>2890000</v>
      </c>
      <c r="F41" s="8" t="n">
        <v>0</v>
      </c>
      <c r="G41" s="8" t="n">
        <v>1633333.333333</v>
      </c>
      <c r="H41" s="8" t="n">
        <v>1625000</v>
      </c>
      <c r="I41" s="8" t="n">
        <v>2000000</v>
      </c>
      <c r="J41" s="8" t="n">
        <v>0</v>
      </c>
      <c r="K41" s="8" t="n">
        <v>0</v>
      </c>
      <c r="L41" s="8">
        <f>SUM(C41:K41)</f>
        <v/>
      </c>
      <c r="M41" s="8">
        <f>M40+L41</f>
        <v/>
      </c>
      <c r="N41" s="10">
        <f>M41/Inputs!$B$12</f>
        <v/>
      </c>
    </row>
    <row r="42">
      <c r="A42" t="n">
        <v>37</v>
      </c>
      <c r="B42" s="9">
        <f>EDATE(DATE(2027,9,15),A42)</f>
        <v/>
      </c>
      <c r="C42" s="8" t="n">
        <v>2083333.333333</v>
      </c>
      <c r="D42" s="8" t="n">
        <v>0</v>
      </c>
      <c r="E42" s="8" t="n">
        <v>2456500</v>
      </c>
      <c r="F42" s="8" t="n">
        <v>0</v>
      </c>
      <c r="G42" s="8" t="n">
        <v>0</v>
      </c>
      <c r="H42" s="8" t="n">
        <v>0</v>
      </c>
      <c r="I42" s="8" t="n">
        <v>2000000</v>
      </c>
      <c r="J42" s="8" t="n">
        <v>0</v>
      </c>
      <c r="K42" s="8" t="n">
        <v>0</v>
      </c>
      <c r="L42" s="8">
        <f>SUM(C42:K42)</f>
        <v/>
      </c>
      <c r="M42" s="8">
        <f>M41+L42</f>
        <v/>
      </c>
      <c r="N42" s="10">
        <f>M42/Inputs!$B$12</f>
        <v/>
      </c>
    </row>
    <row r="43">
      <c r="A43" t="n">
        <v>38</v>
      </c>
      <c r="B43" s="9">
        <f>EDATE(DATE(2027,9,15),A43)</f>
        <v/>
      </c>
      <c r="C43" s="8" t="n">
        <v>2083333.333333</v>
      </c>
      <c r="D43" s="8" t="n">
        <v>0</v>
      </c>
      <c r="E43" s="8" t="n">
        <v>2456500</v>
      </c>
      <c r="F43" s="8" t="n">
        <v>0</v>
      </c>
      <c r="G43" s="8" t="n">
        <v>0</v>
      </c>
      <c r="H43" s="8" t="n">
        <v>0</v>
      </c>
      <c r="I43" s="8" t="n">
        <v>2000000</v>
      </c>
      <c r="J43" s="8" t="n">
        <v>0</v>
      </c>
      <c r="K43" s="8" t="n">
        <v>0</v>
      </c>
      <c r="L43" s="8">
        <f>SUM(C43:K43)</f>
        <v/>
      </c>
      <c r="M43" s="8">
        <f>M42+L43</f>
        <v/>
      </c>
      <c r="N43" s="10">
        <f>M43/Inputs!$B$12</f>
        <v/>
      </c>
    </row>
    <row r="44">
      <c r="A44" t="n">
        <v>39</v>
      </c>
      <c r="B44" s="9">
        <f>EDATE(DATE(2027,9,15),A44)</f>
        <v/>
      </c>
      <c r="C44" s="8" t="n">
        <v>2083333.333333</v>
      </c>
      <c r="D44" s="8" t="n">
        <v>0</v>
      </c>
      <c r="E44" s="8" t="n">
        <v>2456500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>
        <f>SUM(C44:K44)</f>
        <v/>
      </c>
      <c r="M44" s="8">
        <f>M43+L44</f>
        <v/>
      </c>
      <c r="N44" s="10">
        <f>M44/Inputs!$B$12</f>
        <v/>
      </c>
    </row>
    <row r="45">
      <c r="A45" t="n">
        <v>40</v>
      </c>
      <c r="B45" s="9">
        <f>EDATE(DATE(2027,9,15),A45)</f>
        <v/>
      </c>
      <c r="C45" s="8" t="n">
        <v>2083333.333333</v>
      </c>
      <c r="D45" s="8" t="n">
        <v>0</v>
      </c>
      <c r="E45" s="8" t="n">
        <v>2456500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>
        <f>SUM(C45:K45)</f>
        <v/>
      </c>
      <c r="M45" s="8">
        <f>M44+L45</f>
        <v/>
      </c>
      <c r="N45" s="10">
        <f>M45/Inputs!$B$12</f>
        <v/>
      </c>
    </row>
    <row r="46">
      <c r="A46" t="n">
        <v>41</v>
      </c>
      <c r="B46" s="9">
        <f>EDATE(DATE(2027,9,15),A46)</f>
        <v/>
      </c>
      <c r="C46" s="8" t="n">
        <v>2083333.333333</v>
      </c>
      <c r="D46" s="8" t="n">
        <v>0</v>
      </c>
      <c r="E46" s="8" t="n">
        <v>2456500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>
        <f>SUM(C46:K46)</f>
        <v/>
      </c>
      <c r="M46" s="8">
        <f>M45+L46</f>
        <v/>
      </c>
      <c r="N46" s="10">
        <f>M46/Inputs!$B$12</f>
        <v/>
      </c>
    </row>
    <row r="47">
      <c r="A47" t="n">
        <v>42</v>
      </c>
      <c r="B47" s="9">
        <f>EDATE(DATE(2027,9,15),A47)</f>
        <v/>
      </c>
      <c r="C47" s="8" t="n">
        <v>2083333.333333</v>
      </c>
      <c r="D47" s="8" t="n">
        <v>0</v>
      </c>
      <c r="E47" s="8" t="n">
        <v>2456500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>
        <f>SUM(C47:K47)</f>
        <v/>
      </c>
      <c r="M47" s="8">
        <f>M46+L47</f>
        <v/>
      </c>
      <c r="N47" s="10">
        <f>M47/Inputs!$B$12</f>
        <v/>
      </c>
    </row>
    <row r="48">
      <c r="A48" t="n">
        <v>43</v>
      </c>
      <c r="B48" s="9">
        <f>EDATE(DATE(2027,9,15),A48)</f>
        <v/>
      </c>
      <c r="C48" s="8" t="n">
        <v>2083333.333333</v>
      </c>
      <c r="D48" s="8" t="n">
        <v>0</v>
      </c>
      <c r="E48" s="8" t="n">
        <v>2456500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>
        <f>SUM(C48:K48)</f>
        <v/>
      </c>
      <c r="M48" s="8">
        <f>M47+L48</f>
        <v/>
      </c>
      <c r="N48" s="10">
        <f>M48/Inputs!$B$12</f>
        <v/>
      </c>
    </row>
    <row r="49">
      <c r="A49" t="n">
        <v>44</v>
      </c>
      <c r="B49" s="9">
        <f>EDATE(DATE(2027,9,15),A49)</f>
        <v/>
      </c>
      <c r="C49" s="8" t="n">
        <v>2083333.333333</v>
      </c>
      <c r="D49" s="8" t="n">
        <v>0</v>
      </c>
      <c r="E49" s="8" t="n">
        <v>2456500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>
        <f>SUM(C49:K49)</f>
        <v/>
      </c>
      <c r="M49" s="8">
        <f>M48+L49</f>
        <v/>
      </c>
      <c r="N49" s="10">
        <f>M49/Inputs!$B$12</f>
        <v/>
      </c>
    </row>
    <row r="50">
      <c r="A50" t="n">
        <v>45</v>
      </c>
      <c r="B50" s="9">
        <f>EDATE(DATE(2027,9,15),A50)</f>
        <v/>
      </c>
      <c r="C50" s="8" t="n">
        <v>2083333.333333</v>
      </c>
      <c r="D50" s="8" t="n">
        <v>0</v>
      </c>
      <c r="E50" s="8" t="n">
        <v>2456500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>
        <f>SUM(C50:K50)</f>
        <v/>
      </c>
      <c r="M50" s="8">
        <f>M49+L50</f>
        <v/>
      </c>
      <c r="N50" s="10">
        <f>M50/Inputs!$B$12</f>
        <v/>
      </c>
    </row>
    <row r="51">
      <c r="A51" t="n">
        <v>46</v>
      </c>
      <c r="B51" s="9">
        <f>EDATE(DATE(2027,9,15),A51)</f>
        <v/>
      </c>
      <c r="C51" s="8" t="n">
        <v>2083333.333333</v>
      </c>
      <c r="D51" s="8" t="n">
        <v>0</v>
      </c>
      <c r="E51" s="8" t="n">
        <v>2456500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>
        <f>SUM(C51:K51)</f>
        <v/>
      </c>
      <c r="M51" s="8">
        <f>M50+L51</f>
        <v/>
      </c>
      <c r="N51" s="10">
        <f>M51/Inputs!$B$12</f>
        <v/>
      </c>
    </row>
    <row r="52">
      <c r="A52" t="n">
        <v>47</v>
      </c>
      <c r="B52" s="9">
        <f>EDATE(DATE(2027,9,15),A52)</f>
        <v/>
      </c>
      <c r="C52" s="8" t="n">
        <v>2083333.333333</v>
      </c>
      <c r="D52" s="8" t="n">
        <v>0</v>
      </c>
      <c r="E52" s="8" t="n">
        <v>2456500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>
        <f>SUM(C52:K52)</f>
        <v/>
      </c>
      <c r="M52" s="8">
        <f>M51+L52</f>
        <v/>
      </c>
      <c r="N52" s="10">
        <f>M52/Inputs!$B$12</f>
        <v/>
      </c>
    </row>
    <row r="53">
      <c r="A53" t="n">
        <v>48</v>
      </c>
      <c r="B53" s="9">
        <f>EDATE(DATE(2027,9,15),A53)</f>
        <v/>
      </c>
      <c r="C53" s="8" t="n">
        <v>2083333.333333</v>
      </c>
      <c r="D53" s="8" t="n">
        <v>0</v>
      </c>
      <c r="E53" s="8" t="n">
        <v>2456500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>
        <f>SUM(C53:K53)</f>
        <v/>
      </c>
      <c r="M53" s="8">
        <f>M52+L53</f>
        <v/>
      </c>
      <c r="N53" s="10">
        <f>M53/Inputs!$B$12</f>
        <v/>
      </c>
    </row>
    <row r="54">
      <c r="A54" t="n">
        <v>49</v>
      </c>
      <c r="B54" s="9">
        <f>EDATE(DATE(2027,9,15),A54)</f>
        <v/>
      </c>
      <c r="C54" s="8" t="n">
        <v>2083333.333333</v>
      </c>
      <c r="D54" s="8" t="n">
        <v>0</v>
      </c>
      <c r="E54" s="8" t="n">
        <v>2088025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>
        <f>SUM(C54:K54)</f>
        <v/>
      </c>
      <c r="M54" s="8">
        <f>M53+L54</f>
        <v/>
      </c>
      <c r="N54" s="10">
        <f>M54/Inputs!$B$12</f>
        <v/>
      </c>
    </row>
    <row r="55">
      <c r="A55" t="n">
        <v>50</v>
      </c>
      <c r="B55" s="9">
        <f>EDATE(DATE(2027,9,15),A55)</f>
        <v/>
      </c>
      <c r="C55" s="8" t="n">
        <v>2083333.333333</v>
      </c>
      <c r="D55" s="8" t="n">
        <v>0</v>
      </c>
      <c r="E55" s="8" t="n">
        <v>2088025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>
        <f>SUM(C55:K55)</f>
        <v/>
      </c>
      <c r="M55" s="8">
        <f>M54+L55</f>
        <v/>
      </c>
      <c r="N55" s="10">
        <f>M55/Inputs!$B$12</f>
        <v/>
      </c>
    </row>
    <row r="56">
      <c r="A56" t="n">
        <v>51</v>
      </c>
      <c r="B56" s="9">
        <f>EDATE(DATE(2027,9,15),A56)</f>
        <v/>
      </c>
      <c r="C56" s="8" t="n">
        <v>2083333.333333</v>
      </c>
      <c r="D56" s="8" t="n">
        <v>0</v>
      </c>
      <c r="E56" s="8" t="n">
        <v>2088025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>
        <f>SUM(C56:K56)</f>
        <v/>
      </c>
      <c r="M56" s="8">
        <f>M55+L56</f>
        <v/>
      </c>
      <c r="N56" s="10">
        <f>M56/Inputs!$B$12</f>
        <v/>
      </c>
    </row>
    <row r="57">
      <c r="A57" t="n">
        <v>52</v>
      </c>
      <c r="B57" s="9">
        <f>EDATE(DATE(2027,9,15),A57)</f>
        <v/>
      </c>
      <c r="C57" s="8" t="n">
        <v>2083333.333333</v>
      </c>
      <c r="D57" s="8" t="n">
        <v>0</v>
      </c>
      <c r="E57" s="8" t="n">
        <v>2088025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>
        <f>SUM(C57:K57)</f>
        <v/>
      </c>
      <c r="M57" s="8">
        <f>M56+L57</f>
        <v/>
      </c>
      <c r="N57" s="10">
        <f>M57/Inputs!$B$12</f>
        <v/>
      </c>
    </row>
    <row r="58">
      <c r="A58" t="n">
        <v>53</v>
      </c>
      <c r="B58" s="9">
        <f>EDATE(DATE(2027,9,15),A58)</f>
        <v/>
      </c>
      <c r="C58" s="8" t="n">
        <v>2083333.333333</v>
      </c>
      <c r="D58" s="8" t="n">
        <v>0</v>
      </c>
      <c r="E58" s="8" t="n">
        <v>2088025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>
        <f>SUM(C58:K58)</f>
        <v/>
      </c>
      <c r="M58" s="8">
        <f>M57+L58</f>
        <v/>
      </c>
      <c r="N58" s="10">
        <f>M58/Inputs!$B$12</f>
        <v/>
      </c>
    </row>
    <row r="59">
      <c r="A59" t="n">
        <v>54</v>
      </c>
      <c r="B59" s="9">
        <f>EDATE(DATE(2027,9,15),A59)</f>
        <v/>
      </c>
      <c r="C59" s="8" t="n">
        <v>2083333.333333</v>
      </c>
      <c r="D59" s="8" t="n">
        <v>0</v>
      </c>
      <c r="E59" s="8" t="n">
        <v>2088025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>
        <f>SUM(C59:K59)</f>
        <v/>
      </c>
      <c r="M59" s="8">
        <f>M58+L59</f>
        <v/>
      </c>
      <c r="N59" s="10">
        <f>M59/Inputs!$B$12</f>
        <v/>
      </c>
    </row>
    <row r="60">
      <c r="A60" t="n">
        <v>55</v>
      </c>
      <c r="B60" s="9">
        <f>EDATE(DATE(2027,9,15),A60)</f>
        <v/>
      </c>
      <c r="C60" s="8" t="n">
        <v>2083333.333333</v>
      </c>
      <c r="D60" s="8" t="n">
        <v>0</v>
      </c>
      <c r="E60" s="8" t="n">
        <v>2088025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>
        <f>SUM(C60:K60)</f>
        <v/>
      </c>
      <c r="M60" s="8">
        <f>M59+L60</f>
        <v/>
      </c>
      <c r="N60" s="10">
        <f>M60/Inputs!$B$12</f>
        <v/>
      </c>
    </row>
    <row r="61">
      <c r="A61" t="n">
        <v>56</v>
      </c>
      <c r="B61" s="9">
        <f>EDATE(DATE(2027,9,15),A61)</f>
        <v/>
      </c>
      <c r="C61" s="8" t="n">
        <v>2083333.333333</v>
      </c>
      <c r="D61" s="8" t="n">
        <v>0</v>
      </c>
      <c r="E61" s="8" t="n">
        <v>2088025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>
        <f>SUM(C61:K61)</f>
        <v/>
      </c>
      <c r="M61" s="8">
        <f>M60+L61</f>
        <v/>
      </c>
      <c r="N61" s="10">
        <f>M61/Inputs!$B$12</f>
        <v/>
      </c>
    </row>
    <row r="62">
      <c r="A62" t="n">
        <v>57</v>
      </c>
      <c r="B62" s="9">
        <f>EDATE(DATE(2027,9,15),A62)</f>
        <v/>
      </c>
      <c r="C62" s="8" t="n">
        <v>2083333.333333</v>
      </c>
      <c r="D62" s="8" t="n">
        <v>0</v>
      </c>
      <c r="E62" s="8" t="n">
        <v>2088025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>
        <f>SUM(C62:K62)</f>
        <v/>
      </c>
      <c r="M62" s="8">
        <f>M61+L62</f>
        <v/>
      </c>
      <c r="N62" s="10">
        <f>M62/Inputs!$B$12</f>
        <v/>
      </c>
    </row>
    <row r="63">
      <c r="A63" t="n">
        <v>58</v>
      </c>
      <c r="B63" s="9">
        <f>EDATE(DATE(2027,9,15),A63)</f>
        <v/>
      </c>
      <c r="C63" s="8" t="n">
        <v>2083333.333333</v>
      </c>
      <c r="D63" s="8" t="n">
        <v>0</v>
      </c>
      <c r="E63" s="8" t="n">
        <v>2088025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>
        <f>SUM(C63:K63)</f>
        <v/>
      </c>
      <c r="M63" s="8">
        <f>M62+L63</f>
        <v/>
      </c>
      <c r="N63" s="10">
        <f>M63/Inputs!$B$12</f>
        <v/>
      </c>
    </row>
    <row r="64">
      <c r="A64" t="n">
        <v>59</v>
      </c>
      <c r="B64" s="9">
        <f>EDATE(DATE(2027,9,15),A64)</f>
        <v/>
      </c>
      <c r="C64" s="8" t="n">
        <v>2083333.333333</v>
      </c>
      <c r="D64" s="8" t="n">
        <v>0</v>
      </c>
      <c r="E64" s="8" t="n">
        <v>2088025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>
        <f>SUM(C64:K64)</f>
        <v/>
      </c>
      <c r="M64" s="8">
        <f>M63+L64</f>
        <v/>
      </c>
      <c r="N64" s="10">
        <f>M64/Inputs!$B$12</f>
        <v/>
      </c>
    </row>
    <row r="65">
      <c r="A65" t="n">
        <v>60</v>
      </c>
      <c r="B65" s="9">
        <f>EDATE(DATE(2027,9,15),A65)</f>
        <v/>
      </c>
      <c r="C65" s="8" t="n">
        <v>2083333.333333</v>
      </c>
      <c r="D65" s="8" t="n">
        <v>0</v>
      </c>
      <c r="E65" s="8" t="n">
        <v>2088025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>
        <f>SUM(C65:K65)</f>
        <v/>
      </c>
      <c r="M65" s="8">
        <f>M64+L65</f>
        <v/>
      </c>
      <c r="N65" s="10">
        <f>M65/Inputs!$B$12</f>
        <v/>
      </c>
    </row>
    <row r="66">
      <c r="A66" t="n">
        <v>61</v>
      </c>
      <c r="B66" s="9">
        <f>EDATE(DATE(2027,9,15),A66)</f>
        <v/>
      </c>
      <c r="C66" s="8" t="n">
        <v>0</v>
      </c>
      <c r="D66" s="8" t="n">
        <v>0</v>
      </c>
      <c r="E66" s="8" t="n">
        <v>1774821.25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>
        <f>SUM(C66:K66)</f>
        <v/>
      </c>
      <c r="M66" s="8">
        <f>M65+L66</f>
        <v/>
      </c>
      <c r="N66" s="10">
        <f>M66/Inputs!$B$12</f>
        <v/>
      </c>
    </row>
    <row r="67">
      <c r="A67" t="n">
        <v>62</v>
      </c>
      <c r="B67" s="9">
        <f>EDATE(DATE(2027,9,15),A67)</f>
        <v/>
      </c>
      <c r="C67" s="8" t="n">
        <v>0</v>
      </c>
      <c r="D67" s="8" t="n">
        <v>0</v>
      </c>
      <c r="E67" s="8" t="n">
        <v>1774821.25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>
        <f>SUM(C67:K67)</f>
        <v/>
      </c>
      <c r="M67" s="8">
        <f>M66+L67</f>
        <v/>
      </c>
      <c r="N67" s="10">
        <f>M67/Inputs!$B$12</f>
        <v/>
      </c>
    </row>
    <row r="68">
      <c r="A68" t="n">
        <v>63</v>
      </c>
      <c r="B68" s="9">
        <f>EDATE(DATE(2027,9,15),A68)</f>
        <v/>
      </c>
      <c r="C68" s="8" t="n">
        <v>0</v>
      </c>
      <c r="D68" s="8" t="n">
        <v>0</v>
      </c>
      <c r="E68" s="8" t="n">
        <v>1774821.25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>
        <f>SUM(C68:K68)</f>
        <v/>
      </c>
      <c r="M68" s="8">
        <f>M67+L68</f>
        <v/>
      </c>
      <c r="N68" s="10">
        <f>M68/Inputs!$B$12</f>
        <v/>
      </c>
    </row>
    <row r="69">
      <c r="A69" t="n">
        <v>64</v>
      </c>
      <c r="B69" s="9">
        <f>EDATE(DATE(2027,9,15),A69)</f>
        <v/>
      </c>
      <c r="C69" s="8" t="n">
        <v>0</v>
      </c>
      <c r="D69" s="8" t="n">
        <v>0</v>
      </c>
      <c r="E69" s="8" t="n">
        <v>1774821.25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>
        <f>SUM(C69:K69)</f>
        <v/>
      </c>
      <c r="M69" s="8">
        <f>M68+L69</f>
        <v/>
      </c>
      <c r="N69" s="10">
        <f>M69/Inputs!$B$12</f>
        <v/>
      </c>
    </row>
    <row r="70">
      <c r="A70" t="n">
        <v>65</v>
      </c>
      <c r="B70" s="9">
        <f>EDATE(DATE(2027,9,15),A70)</f>
        <v/>
      </c>
      <c r="C70" s="8" t="n">
        <v>0</v>
      </c>
      <c r="D70" s="8" t="n">
        <v>0</v>
      </c>
      <c r="E70" s="8" t="n">
        <v>1774821.25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>
        <f>SUM(C70:K70)</f>
        <v/>
      </c>
      <c r="M70" s="8">
        <f>M69+L70</f>
        <v/>
      </c>
      <c r="N70" s="10">
        <f>M70/Inputs!$B$12</f>
        <v/>
      </c>
    </row>
    <row r="71">
      <c r="A71" t="n">
        <v>66</v>
      </c>
      <c r="B71" s="9">
        <f>EDATE(DATE(2027,9,15),A71)</f>
        <v/>
      </c>
      <c r="C71" s="8" t="n">
        <v>0</v>
      </c>
      <c r="D71" s="8" t="n">
        <v>0</v>
      </c>
      <c r="E71" s="8" t="n">
        <v>1774821.25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>
        <f>SUM(C71:K71)</f>
        <v/>
      </c>
      <c r="M71" s="8">
        <f>M70+L71</f>
        <v/>
      </c>
      <c r="N71" s="10">
        <f>M71/Inputs!$B$12</f>
        <v/>
      </c>
    </row>
    <row r="72">
      <c r="A72" t="n">
        <v>67</v>
      </c>
      <c r="B72" s="9">
        <f>EDATE(DATE(2027,9,15),A72)</f>
        <v/>
      </c>
      <c r="C72" s="8" t="n">
        <v>0</v>
      </c>
      <c r="D72" s="8" t="n">
        <v>0</v>
      </c>
      <c r="E72" s="8" t="n">
        <v>1774821.25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>
        <f>SUM(C72:K72)</f>
        <v/>
      </c>
      <c r="M72" s="8">
        <f>M71+L72</f>
        <v/>
      </c>
      <c r="N72" s="10">
        <f>M72/Inputs!$B$12</f>
        <v/>
      </c>
    </row>
    <row r="73">
      <c r="A73" t="n">
        <v>68</v>
      </c>
      <c r="B73" s="9">
        <f>EDATE(DATE(2027,9,15),A73)</f>
        <v/>
      </c>
      <c r="C73" s="8" t="n">
        <v>0</v>
      </c>
      <c r="D73" s="8" t="n">
        <v>0</v>
      </c>
      <c r="E73" s="8" t="n">
        <v>1774821.25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>
        <f>SUM(C73:K73)</f>
        <v/>
      </c>
      <c r="M73" s="8">
        <f>M72+L73</f>
        <v/>
      </c>
      <c r="N73" s="10">
        <f>M73/Inputs!$B$12</f>
        <v/>
      </c>
    </row>
    <row r="74">
      <c r="A74" t="n">
        <v>69</v>
      </c>
      <c r="B74" s="9">
        <f>EDATE(DATE(2027,9,15),A74)</f>
        <v/>
      </c>
      <c r="C74" s="8" t="n">
        <v>0</v>
      </c>
      <c r="D74" s="8" t="n">
        <v>0</v>
      </c>
      <c r="E74" s="8" t="n">
        <v>1774821.25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>
        <f>SUM(C74:K74)</f>
        <v/>
      </c>
      <c r="M74" s="8">
        <f>M73+L74</f>
        <v/>
      </c>
      <c r="N74" s="10">
        <f>M74/Inputs!$B$12</f>
        <v/>
      </c>
    </row>
    <row r="75">
      <c r="A75" t="n">
        <v>70</v>
      </c>
      <c r="B75" s="9">
        <f>EDATE(DATE(2027,9,15),A75)</f>
        <v/>
      </c>
      <c r="C75" s="8" t="n">
        <v>0</v>
      </c>
      <c r="D75" s="8" t="n">
        <v>0</v>
      </c>
      <c r="E75" s="8" t="n">
        <v>1774821.25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>
        <f>SUM(C75:K75)</f>
        <v/>
      </c>
      <c r="M75" s="8">
        <f>M74+L75</f>
        <v/>
      </c>
      <c r="N75" s="10">
        <f>M75/Inputs!$B$12</f>
        <v/>
      </c>
    </row>
    <row r="76">
      <c r="A76" t="n">
        <v>71</v>
      </c>
      <c r="B76" s="9">
        <f>EDATE(DATE(2027,9,15),A76)</f>
        <v/>
      </c>
      <c r="C76" s="8" t="n">
        <v>0</v>
      </c>
      <c r="D76" s="8" t="n">
        <v>0</v>
      </c>
      <c r="E76" s="8" t="n">
        <v>1774821.25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>
        <f>SUM(C76:K76)</f>
        <v/>
      </c>
      <c r="M76" s="8">
        <f>M75+L76</f>
        <v/>
      </c>
      <c r="N76" s="10">
        <f>M76/Inputs!$B$12</f>
        <v/>
      </c>
    </row>
    <row r="77">
      <c r="A77" t="n">
        <v>72</v>
      </c>
      <c r="B77" s="9">
        <f>EDATE(DATE(2027,9,15),A77)</f>
        <v/>
      </c>
      <c r="C77" s="8" t="n">
        <v>0</v>
      </c>
      <c r="D77" s="8" t="n">
        <v>0</v>
      </c>
      <c r="E77" s="8" t="n">
        <v>1774821.25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>
        <f>SUM(C77:K77)</f>
        <v/>
      </c>
      <c r="M77" s="8">
        <f>M76+L77</f>
        <v/>
      </c>
      <c r="N77" s="10">
        <f>M77/Inputs!$B$12</f>
        <v/>
      </c>
    </row>
    <row r="78">
      <c r="A78" t="n">
        <v>73</v>
      </c>
      <c r="B78" s="9">
        <f>EDATE(DATE(2027,9,15),A78)</f>
        <v/>
      </c>
      <c r="C78" s="8" t="n">
        <v>0</v>
      </c>
      <c r="D78" s="8" t="n">
        <v>0</v>
      </c>
      <c r="E78" s="8" t="n">
        <v>1508598.0625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>
        <f>SUM(C78:K78)</f>
        <v/>
      </c>
      <c r="M78" s="8">
        <f>M77+L78</f>
        <v/>
      </c>
      <c r="N78" s="10">
        <f>M78/Inputs!$B$12</f>
        <v/>
      </c>
    </row>
    <row r="79">
      <c r="A79" t="n">
        <v>74</v>
      </c>
      <c r="B79" s="9">
        <f>EDATE(DATE(2027,9,15),A79)</f>
        <v/>
      </c>
      <c r="C79" s="8" t="n">
        <v>0</v>
      </c>
      <c r="D79" s="8" t="n">
        <v>0</v>
      </c>
      <c r="E79" s="8" t="n">
        <v>1508598.0625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>
        <f>SUM(C79:K79)</f>
        <v/>
      </c>
      <c r="M79" s="8">
        <f>M78+L79</f>
        <v/>
      </c>
      <c r="N79" s="10">
        <f>M79/Inputs!$B$12</f>
        <v/>
      </c>
    </row>
    <row r="80">
      <c r="A80" t="n">
        <v>75</v>
      </c>
      <c r="B80" s="9">
        <f>EDATE(DATE(2027,9,15),A80)</f>
        <v/>
      </c>
      <c r="C80" s="8" t="n">
        <v>0</v>
      </c>
      <c r="D80" s="8" t="n">
        <v>0</v>
      </c>
      <c r="E80" s="8" t="n">
        <v>1508598.0625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>
        <f>SUM(C80:K80)</f>
        <v/>
      </c>
      <c r="M80" s="8">
        <f>M79+L80</f>
        <v/>
      </c>
      <c r="N80" s="10">
        <f>M80/Inputs!$B$12</f>
        <v/>
      </c>
    </row>
    <row r="81">
      <c r="A81" t="n">
        <v>76</v>
      </c>
      <c r="B81" s="9">
        <f>EDATE(DATE(2027,9,15),A81)</f>
        <v/>
      </c>
      <c r="C81" s="8" t="n">
        <v>0</v>
      </c>
      <c r="D81" s="8" t="n">
        <v>0</v>
      </c>
      <c r="E81" s="8" t="n">
        <v>1508598.0625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>
        <f>SUM(C81:K81)</f>
        <v/>
      </c>
      <c r="M81" s="8">
        <f>M80+L81</f>
        <v/>
      </c>
      <c r="N81" s="10">
        <f>M81/Inputs!$B$12</f>
        <v/>
      </c>
    </row>
    <row r="82">
      <c r="A82" t="n">
        <v>77</v>
      </c>
      <c r="B82" s="9">
        <f>EDATE(DATE(2027,9,15),A82)</f>
        <v/>
      </c>
      <c r="C82" s="8" t="n">
        <v>0</v>
      </c>
      <c r="D82" s="8" t="n">
        <v>0</v>
      </c>
      <c r="E82" s="8" t="n">
        <v>1508598.0625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>
        <f>SUM(C82:K82)</f>
        <v/>
      </c>
      <c r="M82" s="8">
        <f>M81+L82</f>
        <v/>
      </c>
      <c r="N82" s="10">
        <f>M82/Inputs!$B$12</f>
        <v/>
      </c>
    </row>
    <row r="83">
      <c r="A83" t="n">
        <v>78</v>
      </c>
      <c r="B83" s="9">
        <f>EDATE(DATE(2027,9,15),A83)</f>
        <v/>
      </c>
      <c r="C83" s="8" t="n">
        <v>0</v>
      </c>
      <c r="D83" s="8" t="n">
        <v>0</v>
      </c>
      <c r="E83" s="8" t="n">
        <v>1508598.0625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>
        <f>SUM(C83:K83)</f>
        <v/>
      </c>
      <c r="M83" s="8">
        <f>M82+L83</f>
        <v/>
      </c>
      <c r="N83" s="10">
        <f>M83/Inputs!$B$12</f>
        <v/>
      </c>
    </row>
    <row r="84">
      <c r="A84" t="n">
        <v>79</v>
      </c>
      <c r="B84" s="9">
        <f>EDATE(DATE(2027,9,15),A84)</f>
        <v/>
      </c>
      <c r="C84" s="8" t="n">
        <v>0</v>
      </c>
      <c r="D84" s="8" t="n">
        <v>0</v>
      </c>
      <c r="E84" s="8" t="n">
        <v>1508598.0625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>
        <f>SUM(C84:K84)</f>
        <v/>
      </c>
      <c r="M84" s="8">
        <f>M83+L84</f>
        <v/>
      </c>
      <c r="N84" s="10">
        <f>M84/Inputs!$B$12</f>
        <v/>
      </c>
    </row>
    <row r="85">
      <c r="A85" t="n">
        <v>80</v>
      </c>
      <c r="B85" s="9">
        <f>EDATE(DATE(2027,9,15),A85)</f>
        <v/>
      </c>
      <c r="C85" s="8" t="n">
        <v>0</v>
      </c>
      <c r="D85" s="8" t="n">
        <v>0</v>
      </c>
      <c r="E85" s="8" t="n">
        <v>1508598.0625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>
        <f>SUM(C85:K85)</f>
        <v/>
      </c>
      <c r="M85" s="8">
        <f>M84+L85</f>
        <v/>
      </c>
      <c r="N85" s="10">
        <f>M85/Inputs!$B$12</f>
        <v/>
      </c>
    </row>
    <row r="86">
      <c r="A86" t="n">
        <v>81</v>
      </c>
      <c r="B86" s="9">
        <f>EDATE(DATE(2027,9,15),A86)</f>
        <v/>
      </c>
      <c r="C86" s="8" t="n">
        <v>0</v>
      </c>
      <c r="D86" s="8" t="n">
        <v>0</v>
      </c>
      <c r="E86" s="8" t="n">
        <v>1508598.0625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>
        <f>SUM(C86:K86)</f>
        <v/>
      </c>
      <c r="M86" s="8">
        <f>M85+L86</f>
        <v/>
      </c>
      <c r="N86" s="10">
        <f>M86/Inputs!$B$12</f>
        <v/>
      </c>
    </row>
    <row r="87">
      <c r="A87" t="n">
        <v>82</v>
      </c>
      <c r="B87" s="9">
        <f>EDATE(DATE(2027,9,15),A87)</f>
        <v/>
      </c>
      <c r="C87" s="8" t="n">
        <v>0</v>
      </c>
      <c r="D87" s="8" t="n">
        <v>0</v>
      </c>
      <c r="E87" s="8" t="n">
        <v>1508598.0625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>
        <f>SUM(C87:K87)</f>
        <v/>
      </c>
      <c r="M87" s="8">
        <f>M86+L87</f>
        <v/>
      </c>
      <c r="N87" s="10">
        <f>M87/Inputs!$B$12</f>
        <v/>
      </c>
    </row>
    <row r="88">
      <c r="A88" t="n">
        <v>83</v>
      </c>
      <c r="B88" s="9">
        <f>EDATE(DATE(2027,9,15),A88)</f>
        <v/>
      </c>
      <c r="C88" s="8" t="n">
        <v>0</v>
      </c>
      <c r="D88" s="8" t="n">
        <v>0</v>
      </c>
      <c r="E88" s="8" t="n">
        <v>1508598.0625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>
        <f>SUM(C88:K88)</f>
        <v/>
      </c>
      <c r="M88" s="8">
        <f>M87+L88</f>
        <v/>
      </c>
      <c r="N88" s="10">
        <f>M88/Inputs!$B$12</f>
        <v/>
      </c>
    </row>
    <row r="89">
      <c r="A89" t="n">
        <v>84</v>
      </c>
      <c r="B89" s="9">
        <f>EDATE(DATE(2027,9,15),A89)</f>
        <v/>
      </c>
      <c r="C89" s="8" t="n">
        <v>0</v>
      </c>
      <c r="D89" s="8" t="n">
        <v>0</v>
      </c>
      <c r="E89" s="8" t="n">
        <v>1508598.0625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>
        <f>SUM(C89:K89)</f>
        <v/>
      </c>
      <c r="M89" s="8">
        <f>M88+L89</f>
        <v/>
      </c>
      <c r="N89" s="10">
        <f>M89/Inputs!$B$12</f>
        <v/>
      </c>
    </row>
    <row r="90">
      <c r="A90" s="5" t="inlineStr">
        <is>
          <t>Total</t>
        </is>
      </c>
      <c r="C90" s="8">
        <f>SUM(C5:C89)</f>
        <v/>
      </c>
      <c r="D90" s="8">
        <f>SUM(D5:D89)</f>
        <v/>
      </c>
      <c r="E90" s="8">
        <f>SUM(E5:E89)</f>
        <v/>
      </c>
      <c r="F90" s="8">
        <f>SUM(F5:F89)</f>
        <v/>
      </c>
      <c r="G90" s="8">
        <f>SUM(G5:G89)</f>
        <v/>
      </c>
      <c r="H90" s="8">
        <f>SUM(H5:H89)</f>
        <v/>
      </c>
      <c r="I90" s="8">
        <f>SUM(I5:I89)</f>
        <v/>
      </c>
      <c r="J90" s="8">
        <f>SUM(J5:J89)</f>
        <v/>
      </c>
      <c r="K90" s="8">
        <f>SUM(K5:K89)</f>
        <v/>
      </c>
      <c r="L90" s="8">
        <f>SUM(L5:L89)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22" customWidth="1" min="4" max="4"/>
    <col width="24" customWidth="1" min="5" max="5"/>
    <col width="22" customWidth="1" min="6" max="6"/>
    <col width="22" customWidth="1" min="7" max="7"/>
    <col width="18" customWidth="1" min="8" max="8"/>
    <col width="20" customWidth="1" min="9" max="9"/>
    <col width="22" customWidth="1" min="10" max="10"/>
  </cols>
  <sheetData>
    <row r="1">
      <c r="A1" s="1" t="inlineStr">
        <is>
          <t>Unlock value and unlock-to-volume ratio by month</t>
        </is>
      </c>
    </row>
    <row r="2">
      <c r="A2" s="2" t="inlineStr">
        <is>
          <t>Unlock value = monthly unlock KNX x price scenario. Ratio = unlock value at the new round price / 30-day volume. Blank volume shows INPUT REQUIRED.</t>
        </is>
      </c>
    </row>
    <row r="4">
      <c r="A4" s="3" t="inlineStr">
        <is>
          <t>Month</t>
        </is>
      </c>
      <c r="B4" s="3" t="inlineStr">
        <is>
          <t>Date</t>
        </is>
      </c>
      <c r="C4" s="3" t="inlineStr">
        <is>
          <t>Monthly unlock (KNX)</t>
        </is>
      </c>
      <c r="D4" s="3" t="inlineStr">
        <is>
          <t>Value at new round price (USD)</t>
        </is>
      </c>
      <c r="E4" s="3" t="inlineStr">
        <is>
          <t>Value at pre-seed effective price (USD)</t>
        </is>
      </c>
      <c r="F4" s="3" t="inlineStr">
        <is>
          <t>Value at seed effective price (USD)</t>
        </is>
      </c>
      <c r="G4" s="3" t="inlineStr">
        <is>
          <t>Value at KOL effective price (USD)</t>
        </is>
      </c>
      <c r="H4" s="3" t="inlineStr">
        <is>
          <t>30-day volume (USD)</t>
        </is>
      </c>
      <c r="I4" s="3" t="inlineStr">
        <is>
          <t>Unlock / volume at USD 0.16</t>
        </is>
      </c>
      <c r="J4" s="3" t="inlineStr">
        <is>
          <t>Unlock / volume at seed effective price</t>
        </is>
      </c>
    </row>
    <row r="5">
      <c r="A5" t="n">
        <v>0</v>
      </c>
      <c r="B5" s="9">
        <f>Unlocks!B5</f>
        <v/>
      </c>
      <c r="C5" s="8">
        <f>Unlocks!L5</f>
        <v/>
      </c>
      <c r="D5" s="11">
        <f>C5*Inputs!$B$5</f>
        <v/>
      </c>
      <c r="E5" s="11">
        <f>C5*Inputs!$B$6</f>
        <v/>
      </c>
      <c r="F5" s="11">
        <f>C5*Inputs!$B$7</f>
        <v/>
      </c>
      <c r="G5" s="11">
        <f>C5*Inputs!$B$8</f>
        <v/>
      </c>
      <c r="H5" s="6">
        <f>IF(Inputs!$B$11="","",Inputs!$B$11)</f>
        <v/>
      </c>
      <c r="I5" s="10">
        <f>IF(OR(H5="",H5=0),"INPUT REQUIRED",D5/H5)</f>
        <v/>
      </c>
      <c r="J5" s="10">
        <f>IF(OR(H5="",H5=0),"INPUT REQUIRED",F5/H5)</f>
        <v/>
      </c>
    </row>
    <row r="6">
      <c r="A6" t="n">
        <v>1</v>
      </c>
      <c r="B6" s="9">
        <f>Unlocks!B6</f>
        <v/>
      </c>
      <c r="C6" s="8">
        <f>Unlocks!L6</f>
        <v/>
      </c>
      <c r="D6" s="11">
        <f>C6*Inputs!$B$5</f>
        <v/>
      </c>
      <c r="E6" s="11">
        <f>C6*Inputs!$B$6</f>
        <v/>
      </c>
      <c r="F6" s="11">
        <f>C6*Inputs!$B$7</f>
        <v/>
      </c>
      <c r="G6" s="11">
        <f>C6*Inputs!$B$8</f>
        <v/>
      </c>
      <c r="H6" s="6">
        <f>IF(Inputs!$B$11="","",Inputs!$B$11)</f>
        <v/>
      </c>
      <c r="I6" s="10">
        <f>IF(OR(H6="",H6=0),"INPUT REQUIRED",D6/H6)</f>
        <v/>
      </c>
      <c r="J6" s="10">
        <f>IF(OR(H6="",H6=0),"INPUT REQUIRED",F6/H6)</f>
        <v/>
      </c>
    </row>
    <row r="7">
      <c r="A7" t="n">
        <v>2</v>
      </c>
      <c r="B7" s="9">
        <f>Unlocks!B7</f>
        <v/>
      </c>
      <c r="C7" s="8">
        <f>Unlocks!L7</f>
        <v/>
      </c>
      <c r="D7" s="11">
        <f>C7*Inputs!$B$5</f>
        <v/>
      </c>
      <c r="E7" s="11">
        <f>C7*Inputs!$B$6</f>
        <v/>
      </c>
      <c r="F7" s="11">
        <f>C7*Inputs!$B$7</f>
        <v/>
      </c>
      <c r="G7" s="11">
        <f>C7*Inputs!$B$8</f>
        <v/>
      </c>
      <c r="H7" s="6">
        <f>IF(Inputs!$B$11="","",Inputs!$B$11)</f>
        <v/>
      </c>
      <c r="I7" s="10">
        <f>IF(OR(H7="",H7=0),"INPUT REQUIRED",D7/H7)</f>
        <v/>
      </c>
      <c r="J7" s="10">
        <f>IF(OR(H7="",H7=0),"INPUT REQUIRED",F7/H7)</f>
        <v/>
      </c>
    </row>
    <row r="8">
      <c r="A8" t="n">
        <v>3</v>
      </c>
      <c r="B8" s="9">
        <f>Unlocks!B8</f>
        <v/>
      </c>
      <c r="C8" s="8">
        <f>Unlocks!L8</f>
        <v/>
      </c>
      <c r="D8" s="11">
        <f>C8*Inputs!$B$5</f>
        <v/>
      </c>
      <c r="E8" s="11">
        <f>C8*Inputs!$B$6</f>
        <v/>
      </c>
      <c r="F8" s="11">
        <f>C8*Inputs!$B$7</f>
        <v/>
      </c>
      <c r="G8" s="11">
        <f>C8*Inputs!$B$8</f>
        <v/>
      </c>
      <c r="H8" s="6">
        <f>IF(Inputs!$B$11="","",Inputs!$B$11)</f>
        <v/>
      </c>
      <c r="I8" s="10">
        <f>IF(OR(H8="",H8=0),"INPUT REQUIRED",D8/H8)</f>
        <v/>
      </c>
      <c r="J8" s="10">
        <f>IF(OR(H8="",H8=0),"INPUT REQUIRED",F8/H8)</f>
        <v/>
      </c>
    </row>
    <row r="9">
      <c r="A9" t="n">
        <v>4</v>
      </c>
      <c r="B9" s="9">
        <f>Unlocks!B9</f>
        <v/>
      </c>
      <c r="C9" s="8">
        <f>Unlocks!L9</f>
        <v/>
      </c>
      <c r="D9" s="11">
        <f>C9*Inputs!$B$5</f>
        <v/>
      </c>
      <c r="E9" s="11">
        <f>C9*Inputs!$B$6</f>
        <v/>
      </c>
      <c r="F9" s="11">
        <f>C9*Inputs!$B$7</f>
        <v/>
      </c>
      <c r="G9" s="11">
        <f>C9*Inputs!$B$8</f>
        <v/>
      </c>
      <c r="H9" s="6">
        <f>IF(Inputs!$B$11="","",Inputs!$B$11)</f>
        <v/>
      </c>
      <c r="I9" s="10">
        <f>IF(OR(H9="",H9=0),"INPUT REQUIRED",D9/H9)</f>
        <v/>
      </c>
      <c r="J9" s="10">
        <f>IF(OR(H9="",H9=0),"INPUT REQUIRED",F9/H9)</f>
        <v/>
      </c>
    </row>
    <row r="10">
      <c r="A10" t="n">
        <v>5</v>
      </c>
      <c r="B10" s="9">
        <f>Unlocks!B10</f>
        <v/>
      </c>
      <c r="C10" s="8">
        <f>Unlocks!L10</f>
        <v/>
      </c>
      <c r="D10" s="11">
        <f>C10*Inputs!$B$5</f>
        <v/>
      </c>
      <c r="E10" s="11">
        <f>C10*Inputs!$B$6</f>
        <v/>
      </c>
      <c r="F10" s="11">
        <f>C10*Inputs!$B$7</f>
        <v/>
      </c>
      <c r="G10" s="11">
        <f>C10*Inputs!$B$8</f>
        <v/>
      </c>
      <c r="H10" s="6">
        <f>IF(Inputs!$B$11="","",Inputs!$B$11)</f>
        <v/>
      </c>
      <c r="I10" s="10">
        <f>IF(OR(H10="",H10=0),"INPUT REQUIRED",D10/H10)</f>
        <v/>
      </c>
      <c r="J10" s="10">
        <f>IF(OR(H10="",H10=0),"INPUT REQUIRED",F10/H10)</f>
        <v/>
      </c>
    </row>
    <row r="11">
      <c r="A11" t="n">
        <v>6</v>
      </c>
      <c r="B11" s="9">
        <f>Unlocks!B11</f>
        <v/>
      </c>
      <c r="C11" s="8">
        <f>Unlocks!L11</f>
        <v/>
      </c>
      <c r="D11" s="11">
        <f>C11*Inputs!$B$5</f>
        <v/>
      </c>
      <c r="E11" s="11">
        <f>C11*Inputs!$B$6</f>
        <v/>
      </c>
      <c r="F11" s="11">
        <f>C11*Inputs!$B$7</f>
        <v/>
      </c>
      <c r="G11" s="11">
        <f>C11*Inputs!$B$8</f>
        <v/>
      </c>
      <c r="H11" s="6">
        <f>IF(Inputs!$B$11="","",Inputs!$B$11)</f>
        <v/>
      </c>
      <c r="I11" s="10">
        <f>IF(OR(H11="",H11=0),"INPUT REQUIRED",D11/H11)</f>
        <v/>
      </c>
      <c r="J11" s="10">
        <f>IF(OR(H11="",H11=0),"INPUT REQUIRED",F11/H11)</f>
        <v/>
      </c>
    </row>
    <row r="12">
      <c r="A12" t="n">
        <v>7</v>
      </c>
      <c r="B12" s="9">
        <f>Unlocks!B12</f>
        <v/>
      </c>
      <c r="C12" s="8">
        <f>Unlocks!L12</f>
        <v/>
      </c>
      <c r="D12" s="11">
        <f>C12*Inputs!$B$5</f>
        <v/>
      </c>
      <c r="E12" s="11">
        <f>C12*Inputs!$B$6</f>
        <v/>
      </c>
      <c r="F12" s="11">
        <f>C12*Inputs!$B$7</f>
        <v/>
      </c>
      <c r="G12" s="11">
        <f>C12*Inputs!$B$8</f>
        <v/>
      </c>
      <c r="H12" s="6">
        <f>IF(Inputs!$B$11="","",Inputs!$B$11)</f>
        <v/>
      </c>
      <c r="I12" s="10">
        <f>IF(OR(H12="",H12=0),"INPUT REQUIRED",D12/H12)</f>
        <v/>
      </c>
      <c r="J12" s="10">
        <f>IF(OR(H12="",H12=0),"INPUT REQUIRED",F12/H12)</f>
        <v/>
      </c>
    </row>
    <row r="13">
      <c r="A13" t="n">
        <v>8</v>
      </c>
      <c r="B13" s="9">
        <f>Unlocks!B13</f>
        <v/>
      </c>
      <c r="C13" s="8">
        <f>Unlocks!L13</f>
        <v/>
      </c>
      <c r="D13" s="11">
        <f>C13*Inputs!$B$5</f>
        <v/>
      </c>
      <c r="E13" s="11">
        <f>C13*Inputs!$B$6</f>
        <v/>
      </c>
      <c r="F13" s="11">
        <f>C13*Inputs!$B$7</f>
        <v/>
      </c>
      <c r="G13" s="11">
        <f>C13*Inputs!$B$8</f>
        <v/>
      </c>
      <c r="H13" s="6">
        <f>IF(Inputs!$B$11="","",Inputs!$B$11)</f>
        <v/>
      </c>
      <c r="I13" s="10">
        <f>IF(OR(H13="",H13=0),"INPUT REQUIRED",D13/H13)</f>
        <v/>
      </c>
      <c r="J13" s="10">
        <f>IF(OR(H13="",H13=0),"INPUT REQUIRED",F13/H13)</f>
        <v/>
      </c>
    </row>
    <row r="14">
      <c r="A14" t="n">
        <v>9</v>
      </c>
      <c r="B14" s="9">
        <f>Unlocks!B14</f>
        <v/>
      </c>
      <c r="C14" s="8">
        <f>Unlocks!L14</f>
        <v/>
      </c>
      <c r="D14" s="11">
        <f>C14*Inputs!$B$5</f>
        <v/>
      </c>
      <c r="E14" s="11">
        <f>C14*Inputs!$B$6</f>
        <v/>
      </c>
      <c r="F14" s="11">
        <f>C14*Inputs!$B$7</f>
        <v/>
      </c>
      <c r="G14" s="11">
        <f>C14*Inputs!$B$8</f>
        <v/>
      </c>
      <c r="H14" s="6">
        <f>IF(Inputs!$B$11="","",Inputs!$B$11)</f>
        <v/>
      </c>
      <c r="I14" s="10">
        <f>IF(OR(H14="",H14=0),"INPUT REQUIRED",D14/H14)</f>
        <v/>
      </c>
      <c r="J14" s="10">
        <f>IF(OR(H14="",H14=0),"INPUT REQUIRED",F14/H14)</f>
        <v/>
      </c>
    </row>
    <row r="15">
      <c r="A15" t="n">
        <v>10</v>
      </c>
      <c r="B15" s="9">
        <f>Unlocks!B15</f>
        <v/>
      </c>
      <c r="C15" s="8">
        <f>Unlocks!L15</f>
        <v/>
      </c>
      <c r="D15" s="11">
        <f>C15*Inputs!$B$5</f>
        <v/>
      </c>
      <c r="E15" s="11">
        <f>C15*Inputs!$B$6</f>
        <v/>
      </c>
      <c r="F15" s="11">
        <f>C15*Inputs!$B$7</f>
        <v/>
      </c>
      <c r="G15" s="11">
        <f>C15*Inputs!$B$8</f>
        <v/>
      </c>
      <c r="H15" s="6">
        <f>IF(Inputs!$B$11="","",Inputs!$B$11)</f>
        <v/>
      </c>
      <c r="I15" s="10">
        <f>IF(OR(H15="",H15=0),"INPUT REQUIRED",D15/H15)</f>
        <v/>
      </c>
      <c r="J15" s="10">
        <f>IF(OR(H15="",H15=0),"INPUT REQUIRED",F15/H15)</f>
        <v/>
      </c>
    </row>
    <row r="16">
      <c r="A16" t="n">
        <v>11</v>
      </c>
      <c r="B16" s="9">
        <f>Unlocks!B16</f>
        <v/>
      </c>
      <c r="C16" s="8">
        <f>Unlocks!L16</f>
        <v/>
      </c>
      <c r="D16" s="11">
        <f>C16*Inputs!$B$5</f>
        <v/>
      </c>
      <c r="E16" s="11">
        <f>C16*Inputs!$B$6</f>
        <v/>
      </c>
      <c r="F16" s="11">
        <f>C16*Inputs!$B$7</f>
        <v/>
      </c>
      <c r="G16" s="11">
        <f>C16*Inputs!$B$8</f>
        <v/>
      </c>
      <c r="H16" s="6">
        <f>IF(Inputs!$B$11="","",Inputs!$B$11)</f>
        <v/>
      </c>
      <c r="I16" s="10">
        <f>IF(OR(H16="",H16=0),"INPUT REQUIRED",D16/H16)</f>
        <v/>
      </c>
      <c r="J16" s="10">
        <f>IF(OR(H16="",H16=0),"INPUT REQUIRED",F16/H16)</f>
        <v/>
      </c>
    </row>
    <row r="17">
      <c r="A17" t="n">
        <v>12</v>
      </c>
      <c r="B17" s="9">
        <f>Unlocks!B17</f>
        <v/>
      </c>
      <c r="C17" s="8">
        <f>Unlocks!L17</f>
        <v/>
      </c>
      <c r="D17" s="11">
        <f>C17*Inputs!$B$5</f>
        <v/>
      </c>
      <c r="E17" s="11">
        <f>C17*Inputs!$B$6</f>
        <v/>
      </c>
      <c r="F17" s="11">
        <f>C17*Inputs!$B$7</f>
        <v/>
      </c>
      <c r="G17" s="11">
        <f>C17*Inputs!$B$8</f>
        <v/>
      </c>
      <c r="H17" s="6">
        <f>IF(Inputs!$B$11="","",Inputs!$B$11)</f>
        <v/>
      </c>
      <c r="I17" s="10">
        <f>IF(OR(H17="",H17=0),"INPUT REQUIRED",D17/H17)</f>
        <v/>
      </c>
      <c r="J17" s="10">
        <f>IF(OR(H17="",H17=0),"INPUT REQUIRED",F17/H17)</f>
        <v/>
      </c>
    </row>
    <row r="18">
      <c r="A18" t="n">
        <v>13</v>
      </c>
      <c r="B18" s="9">
        <f>Unlocks!B18</f>
        <v/>
      </c>
      <c r="C18" s="8">
        <f>Unlocks!L18</f>
        <v/>
      </c>
      <c r="D18" s="11">
        <f>C18*Inputs!$B$5</f>
        <v/>
      </c>
      <c r="E18" s="11">
        <f>C18*Inputs!$B$6</f>
        <v/>
      </c>
      <c r="F18" s="11">
        <f>C18*Inputs!$B$7</f>
        <v/>
      </c>
      <c r="G18" s="11">
        <f>C18*Inputs!$B$8</f>
        <v/>
      </c>
      <c r="H18" s="6">
        <f>IF(Inputs!$B$11="","",Inputs!$B$11)</f>
        <v/>
      </c>
      <c r="I18" s="10">
        <f>IF(OR(H18="",H18=0),"INPUT REQUIRED",D18/H18)</f>
        <v/>
      </c>
      <c r="J18" s="10">
        <f>IF(OR(H18="",H18=0),"INPUT REQUIRED",F18/H18)</f>
        <v/>
      </c>
    </row>
    <row r="19">
      <c r="A19" t="n">
        <v>14</v>
      </c>
      <c r="B19" s="9">
        <f>Unlocks!B19</f>
        <v/>
      </c>
      <c r="C19" s="8">
        <f>Unlocks!L19</f>
        <v/>
      </c>
      <c r="D19" s="11">
        <f>C19*Inputs!$B$5</f>
        <v/>
      </c>
      <c r="E19" s="11">
        <f>C19*Inputs!$B$6</f>
        <v/>
      </c>
      <c r="F19" s="11">
        <f>C19*Inputs!$B$7</f>
        <v/>
      </c>
      <c r="G19" s="11">
        <f>C19*Inputs!$B$8</f>
        <v/>
      </c>
      <c r="H19" s="6">
        <f>IF(Inputs!$B$11="","",Inputs!$B$11)</f>
        <v/>
      </c>
      <c r="I19" s="10">
        <f>IF(OR(H19="",H19=0),"INPUT REQUIRED",D19/H19)</f>
        <v/>
      </c>
      <c r="J19" s="10">
        <f>IF(OR(H19="",H19=0),"INPUT REQUIRED",F19/H19)</f>
        <v/>
      </c>
    </row>
    <row r="20">
      <c r="A20" t="n">
        <v>15</v>
      </c>
      <c r="B20" s="9">
        <f>Unlocks!B20</f>
        <v/>
      </c>
      <c r="C20" s="8">
        <f>Unlocks!L20</f>
        <v/>
      </c>
      <c r="D20" s="11">
        <f>C20*Inputs!$B$5</f>
        <v/>
      </c>
      <c r="E20" s="11">
        <f>C20*Inputs!$B$6</f>
        <v/>
      </c>
      <c r="F20" s="11">
        <f>C20*Inputs!$B$7</f>
        <v/>
      </c>
      <c r="G20" s="11">
        <f>C20*Inputs!$B$8</f>
        <v/>
      </c>
      <c r="H20" s="6">
        <f>IF(Inputs!$B$11="","",Inputs!$B$11)</f>
        <v/>
      </c>
      <c r="I20" s="10">
        <f>IF(OR(H20="",H20=0),"INPUT REQUIRED",D20/H20)</f>
        <v/>
      </c>
      <c r="J20" s="10">
        <f>IF(OR(H20="",H20=0),"INPUT REQUIRED",F20/H20)</f>
        <v/>
      </c>
    </row>
    <row r="21">
      <c r="A21" t="n">
        <v>16</v>
      </c>
      <c r="B21" s="9">
        <f>Unlocks!B21</f>
        <v/>
      </c>
      <c r="C21" s="8">
        <f>Unlocks!L21</f>
        <v/>
      </c>
      <c r="D21" s="11">
        <f>C21*Inputs!$B$5</f>
        <v/>
      </c>
      <c r="E21" s="11">
        <f>C21*Inputs!$B$6</f>
        <v/>
      </c>
      <c r="F21" s="11">
        <f>C21*Inputs!$B$7</f>
        <v/>
      </c>
      <c r="G21" s="11">
        <f>C21*Inputs!$B$8</f>
        <v/>
      </c>
      <c r="H21" s="6">
        <f>IF(Inputs!$B$11="","",Inputs!$B$11)</f>
        <v/>
      </c>
      <c r="I21" s="10">
        <f>IF(OR(H21="",H21=0),"INPUT REQUIRED",D21/H21)</f>
        <v/>
      </c>
      <c r="J21" s="10">
        <f>IF(OR(H21="",H21=0),"INPUT REQUIRED",F21/H21)</f>
        <v/>
      </c>
    </row>
    <row r="22">
      <c r="A22" t="n">
        <v>17</v>
      </c>
      <c r="B22" s="9">
        <f>Unlocks!B22</f>
        <v/>
      </c>
      <c r="C22" s="8">
        <f>Unlocks!L22</f>
        <v/>
      </c>
      <c r="D22" s="11">
        <f>C22*Inputs!$B$5</f>
        <v/>
      </c>
      <c r="E22" s="11">
        <f>C22*Inputs!$B$6</f>
        <v/>
      </c>
      <c r="F22" s="11">
        <f>C22*Inputs!$B$7</f>
        <v/>
      </c>
      <c r="G22" s="11">
        <f>C22*Inputs!$B$8</f>
        <v/>
      </c>
      <c r="H22" s="6">
        <f>IF(Inputs!$B$11="","",Inputs!$B$11)</f>
        <v/>
      </c>
      <c r="I22" s="10">
        <f>IF(OR(H22="",H22=0),"INPUT REQUIRED",D22/H22)</f>
        <v/>
      </c>
      <c r="J22" s="10">
        <f>IF(OR(H22="",H22=0),"INPUT REQUIRED",F22/H22)</f>
        <v/>
      </c>
    </row>
    <row r="23">
      <c r="A23" t="n">
        <v>18</v>
      </c>
      <c r="B23" s="9">
        <f>Unlocks!B23</f>
        <v/>
      </c>
      <c r="C23" s="8">
        <f>Unlocks!L23</f>
        <v/>
      </c>
      <c r="D23" s="11">
        <f>C23*Inputs!$B$5</f>
        <v/>
      </c>
      <c r="E23" s="11">
        <f>C23*Inputs!$B$6</f>
        <v/>
      </c>
      <c r="F23" s="11">
        <f>C23*Inputs!$B$7</f>
        <v/>
      </c>
      <c r="G23" s="11">
        <f>C23*Inputs!$B$8</f>
        <v/>
      </c>
      <c r="H23" s="6">
        <f>IF(Inputs!$B$11="","",Inputs!$B$11)</f>
        <v/>
      </c>
      <c r="I23" s="10">
        <f>IF(OR(H23="",H23=0),"INPUT REQUIRED",D23/H23)</f>
        <v/>
      </c>
      <c r="J23" s="10">
        <f>IF(OR(H23="",H23=0),"INPUT REQUIRED",F23/H23)</f>
        <v/>
      </c>
    </row>
    <row r="24">
      <c r="A24" t="n">
        <v>19</v>
      </c>
      <c r="B24" s="9">
        <f>Unlocks!B24</f>
        <v/>
      </c>
      <c r="C24" s="8">
        <f>Unlocks!L24</f>
        <v/>
      </c>
      <c r="D24" s="11">
        <f>C24*Inputs!$B$5</f>
        <v/>
      </c>
      <c r="E24" s="11">
        <f>C24*Inputs!$B$6</f>
        <v/>
      </c>
      <c r="F24" s="11">
        <f>C24*Inputs!$B$7</f>
        <v/>
      </c>
      <c r="G24" s="11">
        <f>C24*Inputs!$B$8</f>
        <v/>
      </c>
      <c r="H24" s="6">
        <f>IF(Inputs!$B$11="","",Inputs!$B$11)</f>
        <v/>
      </c>
      <c r="I24" s="10">
        <f>IF(OR(H24="",H24=0),"INPUT REQUIRED",D24/H24)</f>
        <v/>
      </c>
      <c r="J24" s="10">
        <f>IF(OR(H24="",H24=0),"INPUT REQUIRED",F24/H24)</f>
        <v/>
      </c>
    </row>
    <row r="25">
      <c r="A25" t="n">
        <v>20</v>
      </c>
      <c r="B25" s="9">
        <f>Unlocks!B25</f>
        <v/>
      </c>
      <c r="C25" s="8">
        <f>Unlocks!L25</f>
        <v/>
      </c>
      <c r="D25" s="11">
        <f>C25*Inputs!$B$5</f>
        <v/>
      </c>
      <c r="E25" s="11">
        <f>C25*Inputs!$B$6</f>
        <v/>
      </c>
      <c r="F25" s="11">
        <f>C25*Inputs!$B$7</f>
        <v/>
      </c>
      <c r="G25" s="11">
        <f>C25*Inputs!$B$8</f>
        <v/>
      </c>
      <c r="H25" s="6">
        <f>IF(Inputs!$B$11="","",Inputs!$B$11)</f>
        <v/>
      </c>
      <c r="I25" s="10">
        <f>IF(OR(H25="",H25=0),"INPUT REQUIRED",D25/H25)</f>
        <v/>
      </c>
      <c r="J25" s="10">
        <f>IF(OR(H25="",H25=0),"INPUT REQUIRED",F25/H25)</f>
        <v/>
      </c>
    </row>
    <row r="26">
      <c r="A26" t="n">
        <v>21</v>
      </c>
      <c r="B26" s="9">
        <f>Unlocks!B26</f>
        <v/>
      </c>
      <c r="C26" s="8">
        <f>Unlocks!L26</f>
        <v/>
      </c>
      <c r="D26" s="11">
        <f>C26*Inputs!$B$5</f>
        <v/>
      </c>
      <c r="E26" s="11">
        <f>C26*Inputs!$B$6</f>
        <v/>
      </c>
      <c r="F26" s="11">
        <f>C26*Inputs!$B$7</f>
        <v/>
      </c>
      <c r="G26" s="11">
        <f>C26*Inputs!$B$8</f>
        <v/>
      </c>
      <c r="H26" s="6">
        <f>IF(Inputs!$B$11="","",Inputs!$B$11)</f>
        <v/>
      </c>
      <c r="I26" s="10">
        <f>IF(OR(H26="",H26=0),"INPUT REQUIRED",D26/H26)</f>
        <v/>
      </c>
      <c r="J26" s="10">
        <f>IF(OR(H26="",H26=0),"INPUT REQUIRED",F26/H26)</f>
        <v/>
      </c>
    </row>
    <row r="27">
      <c r="A27" t="n">
        <v>22</v>
      </c>
      <c r="B27" s="9">
        <f>Unlocks!B27</f>
        <v/>
      </c>
      <c r="C27" s="8">
        <f>Unlocks!L27</f>
        <v/>
      </c>
      <c r="D27" s="11">
        <f>C27*Inputs!$B$5</f>
        <v/>
      </c>
      <c r="E27" s="11">
        <f>C27*Inputs!$B$6</f>
        <v/>
      </c>
      <c r="F27" s="11">
        <f>C27*Inputs!$B$7</f>
        <v/>
      </c>
      <c r="G27" s="11">
        <f>C27*Inputs!$B$8</f>
        <v/>
      </c>
      <c r="H27" s="6">
        <f>IF(Inputs!$B$11="","",Inputs!$B$11)</f>
        <v/>
      </c>
      <c r="I27" s="10">
        <f>IF(OR(H27="",H27=0),"INPUT REQUIRED",D27/H27)</f>
        <v/>
      </c>
      <c r="J27" s="10">
        <f>IF(OR(H27="",H27=0),"INPUT REQUIRED",F27/H27)</f>
        <v/>
      </c>
    </row>
    <row r="28">
      <c r="A28" t="n">
        <v>23</v>
      </c>
      <c r="B28" s="9">
        <f>Unlocks!B28</f>
        <v/>
      </c>
      <c r="C28" s="8">
        <f>Unlocks!L28</f>
        <v/>
      </c>
      <c r="D28" s="11">
        <f>C28*Inputs!$B$5</f>
        <v/>
      </c>
      <c r="E28" s="11">
        <f>C28*Inputs!$B$6</f>
        <v/>
      </c>
      <c r="F28" s="11">
        <f>C28*Inputs!$B$7</f>
        <v/>
      </c>
      <c r="G28" s="11">
        <f>C28*Inputs!$B$8</f>
        <v/>
      </c>
      <c r="H28" s="6">
        <f>IF(Inputs!$B$11="","",Inputs!$B$11)</f>
        <v/>
      </c>
      <c r="I28" s="10">
        <f>IF(OR(H28="",H28=0),"INPUT REQUIRED",D28/H28)</f>
        <v/>
      </c>
      <c r="J28" s="10">
        <f>IF(OR(H28="",H28=0),"INPUT REQUIRED",F28/H28)</f>
        <v/>
      </c>
    </row>
    <row r="29">
      <c r="A29" t="n">
        <v>24</v>
      </c>
      <c r="B29" s="9">
        <f>Unlocks!B29</f>
        <v/>
      </c>
      <c r="C29" s="8">
        <f>Unlocks!L29</f>
        <v/>
      </c>
      <c r="D29" s="11">
        <f>C29*Inputs!$B$5</f>
        <v/>
      </c>
      <c r="E29" s="11">
        <f>C29*Inputs!$B$6</f>
        <v/>
      </c>
      <c r="F29" s="11">
        <f>C29*Inputs!$B$7</f>
        <v/>
      </c>
      <c r="G29" s="11">
        <f>C29*Inputs!$B$8</f>
        <v/>
      </c>
      <c r="H29" s="6">
        <f>IF(Inputs!$B$11="","",Inputs!$B$11)</f>
        <v/>
      </c>
      <c r="I29" s="10">
        <f>IF(OR(H29="",H29=0),"INPUT REQUIRED",D29/H29)</f>
        <v/>
      </c>
      <c r="J29" s="10">
        <f>IF(OR(H29="",H29=0),"INPUT REQUIRED",F29/H29)</f>
        <v/>
      </c>
    </row>
    <row r="30">
      <c r="A30" t="n">
        <v>25</v>
      </c>
      <c r="B30" s="9">
        <f>Unlocks!B30</f>
        <v/>
      </c>
      <c r="C30" s="8">
        <f>Unlocks!L30</f>
        <v/>
      </c>
      <c r="D30" s="11">
        <f>C30*Inputs!$B$5</f>
        <v/>
      </c>
      <c r="E30" s="11">
        <f>C30*Inputs!$B$6</f>
        <v/>
      </c>
      <c r="F30" s="11">
        <f>C30*Inputs!$B$7</f>
        <v/>
      </c>
      <c r="G30" s="11">
        <f>C30*Inputs!$B$8</f>
        <v/>
      </c>
      <c r="H30" s="6">
        <f>IF(Inputs!$B$11="","",Inputs!$B$11)</f>
        <v/>
      </c>
      <c r="I30" s="10">
        <f>IF(OR(H30="",H30=0),"INPUT REQUIRED",D30/H30)</f>
        <v/>
      </c>
      <c r="J30" s="10">
        <f>IF(OR(H30="",H30=0),"INPUT REQUIRED",F30/H30)</f>
        <v/>
      </c>
    </row>
    <row r="31">
      <c r="A31" t="n">
        <v>26</v>
      </c>
      <c r="B31" s="9">
        <f>Unlocks!B31</f>
        <v/>
      </c>
      <c r="C31" s="8">
        <f>Unlocks!L31</f>
        <v/>
      </c>
      <c r="D31" s="11">
        <f>C31*Inputs!$B$5</f>
        <v/>
      </c>
      <c r="E31" s="11">
        <f>C31*Inputs!$B$6</f>
        <v/>
      </c>
      <c r="F31" s="11">
        <f>C31*Inputs!$B$7</f>
        <v/>
      </c>
      <c r="G31" s="11">
        <f>C31*Inputs!$B$8</f>
        <v/>
      </c>
      <c r="H31" s="6">
        <f>IF(Inputs!$B$11="","",Inputs!$B$11)</f>
        <v/>
      </c>
      <c r="I31" s="10">
        <f>IF(OR(H31="",H31=0),"INPUT REQUIRED",D31/H31)</f>
        <v/>
      </c>
      <c r="J31" s="10">
        <f>IF(OR(H31="",H31=0),"INPUT REQUIRED",F31/H31)</f>
        <v/>
      </c>
    </row>
    <row r="32">
      <c r="A32" t="n">
        <v>27</v>
      </c>
      <c r="B32" s="9">
        <f>Unlocks!B32</f>
        <v/>
      </c>
      <c r="C32" s="8">
        <f>Unlocks!L32</f>
        <v/>
      </c>
      <c r="D32" s="11">
        <f>C32*Inputs!$B$5</f>
        <v/>
      </c>
      <c r="E32" s="11">
        <f>C32*Inputs!$B$6</f>
        <v/>
      </c>
      <c r="F32" s="11">
        <f>C32*Inputs!$B$7</f>
        <v/>
      </c>
      <c r="G32" s="11">
        <f>C32*Inputs!$B$8</f>
        <v/>
      </c>
      <c r="H32" s="6">
        <f>IF(Inputs!$B$11="","",Inputs!$B$11)</f>
        <v/>
      </c>
      <c r="I32" s="10">
        <f>IF(OR(H32="",H32=0),"INPUT REQUIRED",D32/H32)</f>
        <v/>
      </c>
      <c r="J32" s="10">
        <f>IF(OR(H32="",H32=0),"INPUT REQUIRED",F32/H32)</f>
        <v/>
      </c>
    </row>
    <row r="33">
      <c r="A33" t="n">
        <v>28</v>
      </c>
      <c r="B33" s="9">
        <f>Unlocks!B33</f>
        <v/>
      </c>
      <c r="C33" s="8">
        <f>Unlocks!L33</f>
        <v/>
      </c>
      <c r="D33" s="11">
        <f>C33*Inputs!$B$5</f>
        <v/>
      </c>
      <c r="E33" s="11">
        <f>C33*Inputs!$B$6</f>
        <v/>
      </c>
      <c r="F33" s="11">
        <f>C33*Inputs!$B$7</f>
        <v/>
      </c>
      <c r="G33" s="11">
        <f>C33*Inputs!$B$8</f>
        <v/>
      </c>
      <c r="H33" s="6">
        <f>IF(Inputs!$B$11="","",Inputs!$B$11)</f>
        <v/>
      </c>
      <c r="I33" s="10">
        <f>IF(OR(H33="",H33=0),"INPUT REQUIRED",D33/H33)</f>
        <v/>
      </c>
      <c r="J33" s="10">
        <f>IF(OR(H33="",H33=0),"INPUT REQUIRED",F33/H33)</f>
        <v/>
      </c>
    </row>
    <row r="34">
      <c r="A34" t="n">
        <v>29</v>
      </c>
      <c r="B34" s="9">
        <f>Unlocks!B34</f>
        <v/>
      </c>
      <c r="C34" s="8">
        <f>Unlocks!L34</f>
        <v/>
      </c>
      <c r="D34" s="11">
        <f>C34*Inputs!$B$5</f>
        <v/>
      </c>
      <c r="E34" s="11">
        <f>C34*Inputs!$B$6</f>
        <v/>
      </c>
      <c r="F34" s="11">
        <f>C34*Inputs!$B$7</f>
        <v/>
      </c>
      <c r="G34" s="11">
        <f>C34*Inputs!$B$8</f>
        <v/>
      </c>
      <c r="H34" s="6">
        <f>IF(Inputs!$B$11="","",Inputs!$B$11)</f>
        <v/>
      </c>
      <c r="I34" s="10">
        <f>IF(OR(H34="",H34=0),"INPUT REQUIRED",D34/H34)</f>
        <v/>
      </c>
      <c r="J34" s="10">
        <f>IF(OR(H34="",H34=0),"INPUT REQUIRED",F34/H34)</f>
        <v/>
      </c>
    </row>
    <row r="35">
      <c r="A35" t="n">
        <v>30</v>
      </c>
      <c r="B35" s="9">
        <f>Unlocks!B35</f>
        <v/>
      </c>
      <c r="C35" s="8">
        <f>Unlocks!L35</f>
        <v/>
      </c>
      <c r="D35" s="11">
        <f>C35*Inputs!$B$5</f>
        <v/>
      </c>
      <c r="E35" s="11">
        <f>C35*Inputs!$B$6</f>
        <v/>
      </c>
      <c r="F35" s="11">
        <f>C35*Inputs!$B$7</f>
        <v/>
      </c>
      <c r="G35" s="11">
        <f>C35*Inputs!$B$8</f>
        <v/>
      </c>
      <c r="H35" s="6">
        <f>IF(Inputs!$B$11="","",Inputs!$B$11)</f>
        <v/>
      </c>
      <c r="I35" s="10">
        <f>IF(OR(H35="",H35=0),"INPUT REQUIRED",D35/H35)</f>
        <v/>
      </c>
      <c r="J35" s="10">
        <f>IF(OR(H35="",H35=0),"INPUT REQUIRED",F35/H35)</f>
        <v/>
      </c>
    </row>
    <row r="36">
      <c r="A36" t="n">
        <v>31</v>
      </c>
      <c r="B36" s="9">
        <f>Unlocks!B36</f>
        <v/>
      </c>
      <c r="C36" s="8">
        <f>Unlocks!L36</f>
        <v/>
      </c>
      <c r="D36" s="11">
        <f>C36*Inputs!$B$5</f>
        <v/>
      </c>
      <c r="E36" s="11">
        <f>C36*Inputs!$B$6</f>
        <v/>
      </c>
      <c r="F36" s="11">
        <f>C36*Inputs!$B$7</f>
        <v/>
      </c>
      <c r="G36" s="11">
        <f>C36*Inputs!$B$8</f>
        <v/>
      </c>
      <c r="H36" s="6">
        <f>IF(Inputs!$B$11="","",Inputs!$B$11)</f>
        <v/>
      </c>
      <c r="I36" s="10">
        <f>IF(OR(H36="",H36=0),"INPUT REQUIRED",D36/H36)</f>
        <v/>
      </c>
      <c r="J36" s="10">
        <f>IF(OR(H36="",H36=0),"INPUT REQUIRED",F36/H36)</f>
        <v/>
      </c>
    </row>
    <row r="37">
      <c r="A37" t="n">
        <v>32</v>
      </c>
      <c r="B37" s="9">
        <f>Unlocks!B37</f>
        <v/>
      </c>
      <c r="C37" s="8">
        <f>Unlocks!L37</f>
        <v/>
      </c>
      <c r="D37" s="11">
        <f>C37*Inputs!$B$5</f>
        <v/>
      </c>
      <c r="E37" s="11">
        <f>C37*Inputs!$B$6</f>
        <v/>
      </c>
      <c r="F37" s="11">
        <f>C37*Inputs!$B$7</f>
        <v/>
      </c>
      <c r="G37" s="11">
        <f>C37*Inputs!$B$8</f>
        <v/>
      </c>
      <c r="H37" s="6">
        <f>IF(Inputs!$B$11="","",Inputs!$B$11)</f>
        <v/>
      </c>
      <c r="I37" s="10">
        <f>IF(OR(H37="",H37=0),"INPUT REQUIRED",D37/H37)</f>
        <v/>
      </c>
      <c r="J37" s="10">
        <f>IF(OR(H37="",H37=0),"INPUT REQUIRED",F37/H37)</f>
        <v/>
      </c>
    </row>
    <row r="38">
      <c r="A38" t="n">
        <v>33</v>
      </c>
      <c r="B38" s="9">
        <f>Unlocks!B38</f>
        <v/>
      </c>
      <c r="C38" s="8">
        <f>Unlocks!L38</f>
        <v/>
      </c>
      <c r="D38" s="11">
        <f>C38*Inputs!$B$5</f>
        <v/>
      </c>
      <c r="E38" s="11">
        <f>C38*Inputs!$B$6</f>
        <v/>
      </c>
      <c r="F38" s="11">
        <f>C38*Inputs!$B$7</f>
        <v/>
      </c>
      <c r="G38" s="11">
        <f>C38*Inputs!$B$8</f>
        <v/>
      </c>
      <c r="H38" s="6">
        <f>IF(Inputs!$B$11="","",Inputs!$B$11)</f>
        <v/>
      </c>
      <c r="I38" s="10">
        <f>IF(OR(H38="",H38=0),"INPUT REQUIRED",D38/H38)</f>
        <v/>
      </c>
      <c r="J38" s="10">
        <f>IF(OR(H38="",H38=0),"INPUT REQUIRED",F38/H38)</f>
        <v/>
      </c>
    </row>
    <row r="39">
      <c r="A39" t="n">
        <v>34</v>
      </c>
      <c r="B39" s="9">
        <f>Unlocks!B39</f>
        <v/>
      </c>
      <c r="C39" s="8">
        <f>Unlocks!L39</f>
        <v/>
      </c>
      <c r="D39" s="11">
        <f>C39*Inputs!$B$5</f>
        <v/>
      </c>
      <c r="E39" s="11">
        <f>C39*Inputs!$B$6</f>
        <v/>
      </c>
      <c r="F39" s="11">
        <f>C39*Inputs!$B$7</f>
        <v/>
      </c>
      <c r="G39" s="11">
        <f>C39*Inputs!$B$8</f>
        <v/>
      </c>
      <c r="H39" s="6">
        <f>IF(Inputs!$B$11="","",Inputs!$B$11)</f>
        <v/>
      </c>
      <c r="I39" s="10">
        <f>IF(OR(H39="",H39=0),"INPUT REQUIRED",D39/H39)</f>
        <v/>
      </c>
      <c r="J39" s="10">
        <f>IF(OR(H39="",H39=0),"INPUT REQUIRED",F39/H39)</f>
        <v/>
      </c>
    </row>
    <row r="40">
      <c r="A40" t="n">
        <v>35</v>
      </c>
      <c r="B40" s="9">
        <f>Unlocks!B40</f>
        <v/>
      </c>
      <c r="C40" s="8">
        <f>Unlocks!L40</f>
        <v/>
      </c>
      <c r="D40" s="11">
        <f>C40*Inputs!$B$5</f>
        <v/>
      </c>
      <c r="E40" s="11">
        <f>C40*Inputs!$B$6</f>
        <v/>
      </c>
      <c r="F40" s="11">
        <f>C40*Inputs!$B$7</f>
        <v/>
      </c>
      <c r="G40" s="11">
        <f>C40*Inputs!$B$8</f>
        <v/>
      </c>
      <c r="H40" s="6">
        <f>IF(Inputs!$B$11="","",Inputs!$B$11)</f>
        <v/>
      </c>
      <c r="I40" s="10">
        <f>IF(OR(H40="",H40=0),"INPUT REQUIRED",D40/H40)</f>
        <v/>
      </c>
      <c r="J40" s="10">
        <f>IF(OR(H40="",H40=0),"INPUT REQUIRED",F40/H40)</f>
        <v/>
      </c>
    </row>
    <row r="41">
      <c r="A41" t="n">
        <v>36</v>
      </c>
      <c r="B41" s="9">
        <f>Unlocks!B41</f>
        <v/>
      </c>
      <c r="C41" s="8">
        <f>Unlocks!L41</f>
        <v/>
      </c>
      <c r="D41" s="11">
        <f>C41*Inputs!$B$5</f>
        <v/>
      </c>
      <c r="E41" s="11">
        <f>C41*Inputs!$B$6</f>
        <v/>
      </c>
      <c r="F41" s="11">
        <f>C41*Inputs!$B$7</f>
        <v/>
      </c>
      <c r="G41" s="11">
        <f>C41*Inputs!$B$8</f>
        <v/>
      </c>
      <c r="H41" s="6">
        <f>IF(Inputs!$B$11="","",Inputs!$B$11)</f>
        <v/>
      </c>
      <c r="I41" s="10">
        <f>IF(OR(H41="",H41=0),"INPUT REQUIRED",D41/H41)</f>
        <v/>
      </c>
      <c r="J41" s="10">
        <f>IF(OR(H41="",H41=0),"INPUT REQUIRED",F41/H41)</f>
        <v/>
      </c>
    </row>
    <row r="42">
      <c r="A42" t="n">
        <v>37</v>
      </c>
      <c r="B42" s="9">
        <f>Unlocks!B42</f>
        <v/>
      </c>
      <c r="C42" s="8">
        <f>Unlocks!L42</f>
        <v/>
      </c>
      <c r="D42" s="11">
        <f>C42*Inputs!$B$5</f>
        <v/>
      </c>
      <c r="E42" s="11">
        <f>C42*Inputs!$B$6</f>
        <v/>
      </c>
      <c r="F42" s="11">
        <f>C42*Inputs!$B$7</f>
        <v/>
      </c>
      <c r="G42" s="11">
        <f>C42*Inputs!$B$8</f>
        <v/>
      </c>
      <c r="H42" s="6">
        <f>IF(Inputs!$B$11="","",Inputs!$B$11)</f>
        <v/>
      </c>
      <c r="I42" s="10">
        <f>IF(OR(H42="",H42=0),"INPUT REQUIRED",D42/H42)</f>
        <v/>
      </c>
      <c r="J42" s="10">
        <f>IF(OR(H42="",H42=0),"INPUT REQUIRED",F42/H42)</f>
        <v/>
      </c>
    </row>
    <row r="43">
      <c r="A43" t="n">
        <v>38</v>
      </c>
      <c r="B43" s="9">
        <f>Unlocks!B43</f>
        <v/>
      </c>
      <c r="C43" s="8">
        <f>Unlocks!L43</f>
        <v/>
      </c>
      <c r="D43" s="11">
        <f>C43*Inputs!$B$5</f>
        <v/>
      </c>
      <c r="E43" s="11">
        <f>C43*Inputs!$B$6</f>
        <v/>
      </c>
      <c r="F43" s="11">
        <f>C43*Inputs!$B$7</f>
        <v/>
      </c>
      <c r="G43" s="11">
        <f>C43*Inputs!$B$8</f>
        <v/>
      </c>
      <c r="H43" s="6">
        <f>IF(Inputs!$B$11="","",Inputs!$B$11)</f>
        <v/>
      </c>
      <c r="I43" s="10">
        <f>IF(OR(H43="",H43=0),"INPUT REQUIRED",D43/H43)</f>
        <v/>
      </c>
      <c r="J43" s="10">
        <f>IF(OR(H43="",H43=0),"INPUT REQUIRED",F43/H43)</f>
        <v/>
      </c>
    </row>
    <row r="44">
      <c r="A44" t="n">
        <v>39</v>
      </c>
      <c r="B44" s="9">
        <f>Unlocks!B44</f>
        <v/>
      </c>
      <c r="C44" s="8">
        <f>Unlocks!L44</f>
        <v/>
      </c>
      <c r="D44" s="11">
        <f>C44*Inputs!$B$5</f>
        <v/>
      </c>
      <c r="E44" s="11">
        <f>C44*Inputs!$B$6</f>
        <v/>
      </c>
      <c r="F44" s="11">
        <f>C44*Inputs!$B$7</f>
        <v/>
      </c>
      <c r="G44" s="11">
        <f>C44*Inputs!$B$8</f>
        <v/>
      </c>
      <c r="H44" s="6">
        <f>IF(Inputs!$B$11="","",Inputs!$B$11)</f>
        <v/>
      </c>
      <c r="I44" s="10">
        <f>IF(OR(H44="",H44=0),"INPUT REQUIRED",D44/H44)</f>
        <v/>
      </c>
      <c r="J44" s="10">
        <f>IF(OR(H44="",H44=0),"INPUT REQUIRED",F44/H44)</f>
        <v/>
      </c>
    </row>
    <row r="45">
      <c r="A45" t="n">
        <v>40</v>
      </c>
      <c r="B45" s="9">
        <f>Unlocks!B45</f>
        <v/>
      </c>
      <c r="C45" s="8">
        <f>Unlocks!L45</f>
        <v/>
      </c>
      <c r="D45" s="11">
        <f>C45*Inputs!$B$5</f>
        <v/>
      </c>
      <c r="E45" s="11">
        <f>C45*Inputs!$B$6</f>
        <v/>
      </c>
      <c r="F45" s="11">
        <f>C45*Inputs!$B$7</f>
        <v/>
      </c>
      <c r="G45" s="11">
        <f>C45*Inputs!$B$8</f>
        <v/>
      </c>
      <c r="H45" s="6">
        <f>IF(Inputs!$B$11="","",Inputs!$B$11)</f>
        <v/>
      </c>
      <c r="I45" s="10">
        <f>IF(OR(H45="",H45=0),"INPUT REQUIRED",D45/H45)</f>
        <v/>
      </c>
      <c r="J45" s="10">
        <f>IF(OR(H45="",H45=0),"INPUT REQUIRED",F45/H45)</f>
        <v/>
      </c>
    </row>
    <row r="46">
      <c r="A46" t="n">
        <v>41</v>
      </c>
      <c r="B46" s="9">
        <f>Unlocks!B46</f>
        <v/>
      </c>
      <c r="C46" s="8">
        <f>Unlocks!L46</f>
        <v/>
      </c>
      <c r="D46" s="11">
        <f>C46*Inputs!$B$5</f>
        <v/>
      </c>
      <c r="E46" s="11">
        <f>C46*Inputs!$B$6</f>
        <v/>
      </c>
      <c r="F46" s="11">
        <f>C46*Inputs!$B$7</f>
        <v/>
      </c>
      <c r="G46" s="11">
        <f>C46*Inputs!$B$8</f>
        <v/>
      </c>
      <c r="H46" s="6">
        <f>IF(Inputs!$B$11="","",Inputs!$B$11)</f>
        <v/>
      </c>
      <c r="I46" s="10">
        <f>IF(OR(H46="",H46=0),"INPUT REQUIRED",D46/H46)</f>
        <v/>
      </c>
      <c r="J46" s="10">
        <f>IF(OR(H46="",H46=0),"INPUT REQUIRED",F46/H46)</f>
        <v/>
      </c>
    </row>
    <row r="47">
      <c r="A47" t="n">
        <v>42</v>
      </c>
      <c r="B47" s="9">
        <f>Unlocks!B47</f>
        <v/>
      </c>
      <c r="C47" s="8">
        <f>Unlocks!L47</f>
        <v/>
      </c>
      <c r="D47" s="11">
        <f>C47*Inputs!$B$5</f>
        <v/>
      </c>
      <c r="E47" s="11">
        <f>C47*Inputs!$B$6</f>
        <v/>
      </c>
      <c r="F47" s="11">
        <f>C47*Inputs!$B$7</f>
        <v/>
      </c>
      <c r="G47" s="11">
        <f>C47*Inputs!$B$8</f>
        <v/>
      </c>
      <c r="H47" s="6">
        <f>IF(Inputs!$B$11="","",Inputs!$B$11)</f>
        <v/>
      </c>
      <c r="I47" s="10">
        <f>IF(OR(H47="",H47=0),"INPUT REQUIRED",D47/H47)</f>
        <v/>
      </c>
      <c r="J47" s="10">
        <f>IF(OR(H47="",H47=0),"INPUT REQUIRED",F47/H47)</f>
        <v/>
      </c>
    </row>
    <row r="48">
      <c r="A48" t="n">
        <v>43</v>
      </c>
      <c r="B48" s="9">
        <f>Unlocks!B48</f>
        <v/>
      </c>
      <c r="C48" s="8">
        <f>Unlocks!L48</f>
        <v/>
      </c>
      <c r="D48" s="11">
        <f>C48*Inputs!$B$5</f>
        <v/>
      </c>
      <c r="E48" s="11">
        <f>C48*Inputs!$B$6</f>
        <v/>
      </c>
      <c r="F48" s="11">
        <f>C48*Inputs!$B$7</f>
        <v/>
      </c>
      <c r="G48" s="11">
        <f>C48*Inputs!$B$8</f>
        <v/>
      </c>
      <c r="H48" s="6">
        <f>IF(Inputs!$B$11="","",Inputs!$B$11)</f>
        <v/>
      </c>
      <c r="I48" s="10">
        <f>IF(OR(H48="",H48=0),"INPUT REQUIRED",D48/H48)</f>
        <v/>
      </c>
      <c r="J48" s="10">
        <f>IF(OR(H48="",H48=0),"INPUT REQUIRED",F48/H48)</f>
        <v/>
      </c>
    </row>
    <row r="49">
      <c r="A49" t="n">
        <v>44</v>
      </c>
      <c r="B49" s="9">
        <f>Unlocks!B49</f>
        <v/>
      </c>
      <c r="C49" s="8">
        <f>Unlocks!L49</f>
        <v/>
      </c>
      <c r="D49" s="11">
        <f>C49*Inputs!$B$5</f>
        <v/>
      </c>
      <c r="E49" s="11">
        <f>C49*Inputs!$B$6</f>
        <v/>
      </c>
      <c r="F49" s="11">
        <f>C49*Inputs!$B$7</f>
        <v/>
      </c>
      <c r="G49" s="11">
        <f>C49*Inputs!$B$8</f>
        <v/>
      </c>
      <c r="H49" s="6">
        <f>IF(Inputs!$B$11="","",Inputs!$B$11)</f>
        <v/>
      </c>
      <c r="I49" s="10">
        <f>IF(OR(H49="",H49=0),"INPUT REQUIRED",D49/H49)</f>
        <v/>
      </c>
      <c r="J49" s="10">
        <f>IF(OR(H49="",H49=0),"INPUT REQUIRED",F49/H49)</f>
        <v/>
      </c>
    </row>
    <row r="50">
      <c r="A50" t="n">
        <v>45</v>
      </c>
      <c r="B50" s="9">
        <f>Unlocks!B50</f>
        <v/>
      </c>
      <c r="C50" s="8">
        <f>Unlocks!L50</f>
        <v/>
      </c>
      <c r="D50" s="11">
        <f>C50*Inputs!$B$5</f>
        <v/>
      </c>
      <c r="E50" s="11">
        <f>C50*Inputs!$B$6</f>
        <v/>
      </c>
      <c r="F50" s="11">
        <f>C50*Inputs!$B$7</f>
        <v/>
      </c>
      <c r="G50" s="11">
        <f>C50*Inputs!$B$8</f>
        <v/>
      </c>
      <c r="H50" s="6">
        <f>IF(Inputs!$B$11="","",Inputs!$B$11)</f>
        <v/>
      </c>
      <c r="I50" s="10">
        <f>IF(OR(H50="",H50=0),"INPUT REQUIRED",D50/H50)</f>
        <v/>
      </c>
      <c r="J50" s="10">
        <f>IF(OR(H50="",H50=0),"INPUT REQUIRED",F50/H50)</f>
        <v/>
      </c>
    </row>
    <row r="51">
      <c r="A51" t="n">
        <v>46</v>
      </c>
      <c r="B51" s="9">
        <f>Unlocks!B51</f>
        <v/>
      </c>
      <c r="C51" s="8">
        <f>Unlocks!L51</f>
        <v/>
      </c>
      <c r="D51" s="11">
        <f>C51*Inputs!$B$5</f>
        <v/>
      </c>
      <c r="E51" s="11">
        <f>C51*Inputs!$B$6</f>
        <v/>
      </c>
      <c r="F51" s="11">
        <f>C51*Inputs!$B$7</f>
        <v/>
      </c>
      <c r="G51" s="11">
        <f>C51*Inputs!$B$8</f>
        <v/>
      </c>
      <c r="H51" s="6">
        <f>IF(Inputs!$B$11="","",Inputs!$B$11)</f>
        <v/>
      </c>
      <c r="I51" s="10">
        <f>IF(OR(H51="",H51=0),"INPUT REQUIRED",D51/H51)</f>
        <v/>
      </c>
      <c r="J51" s="10">
        <f>IF(OR(H51="",H51=0),"INPUT REQUIRED",F51/H51)</f>
        <v/>
      </c>
    </row>
    <row r="52">
      <c r="A52" t="n">
        <v>47</v>
      </c>
      <c r="B52" s="9">
        <f>Unlocks!B52</f>
        <v/>
      </c>
      <c r="C52" s="8">
        <f>Unlocks!L52</f>
        <v/>
      </c>
      <c r="D52" s="11">
        <f>C52*Inputs!$B$5</f>
        <v/>
      </c>
      <c r="E52" s="11">
        <f>C52*Inputs!$B$6</f>
        <v/>
      </c>
      <c r="F52" s="11">
        <f>C52*Inputs!$B$7</f>
        <v/>
      </c>
      <c r="G52" s="11">
        <f>C52*Inputs!$B$8</f>
        <v/>
      </c>
      <c r="H52" s="6">
        <f>IF(Inputs!$B$11="","",Inputs!$B$11)</f>
        <v/>
      </c>
      <c r="I52" s="10">
        <f>IF(OR(H52="",H52=0),"INPUT REQUIRED",D52/H52)</f>
        <v/>
      </c>
      <c r="J52" s="10">
        <f>IF(OR(H52="",H52=0),"INPUT REQUIRED",F52/H52)</f>
        <v/>
      </c>
    </row>
    <row r="53">
      <c r="A53" t="n">
        <v>48</v>
      </c>
      <c r="B53" s="9">
        <f>Unlocks!B53</f>
        <v/>
      </c>
      <c r="C53" s="8">
        <f>Unlocks!L53</f>
        <v/>
      </c>
      <c r="D53" s="11">
        <f>C53*Inputs!$B$5</f>
        <v/>
      </c>
      <c r="E53" s="11">
        <f>C53*Inputs!$B$6</f>
        <v/>
      </c>
      <c r="F53" s="11">
        <f>C53*Inputs!$B$7</f>
        <v/>
      </c>
      <c r="G53" s="11">
        <f>C53*Inputs!$B$8</f>
        <v/>
      </c>
      <c r="H53" s="6">
        <f>IF(Inputs!$B$11="","",Inputs!$B$11)</f>
        <v/>
      </c>
      <c r="I53" s="10">
        <f>IF(OR(H53="",H53=0),"INPUT REQUIRED",D53/H53)</f>
        <v/>
      </c>
      <c r="J53" s="10">
        <f>IF(OR(H53="",H53=0),"INPUT REQUIRED",F53/H53)</f>
        <v/>
      </c>
    </row>
    <row r="54">
      <c r="A54" t="n">
        <v>49</v>
      </c>
      <c r="B54" s="9">
        <f>Unlocks!B54</f>
        <v/>
      </c>
      <c r="C54" s="8">
        <f>Unlocks!L54</f>
        <v/>
      </c>
      <c r="D54" s="11">
        <f>C54*Inputs!$B$5</f>
        <v/>
      </c>
      <c r="E54" s="11">
        <f>C54*Inputs!$B$6</f>
        <v/>
      </c>
      <c r="F54" s="11">
        <f>C54*Inputs!$B$7</f>
        <v/>
      </c>
      <c r="G54" s="11">
        <f>C54*Inputs!$B$8</f>
        <v/>
      </c>
      <c r="H54" s="6">
        <f>IF(Inputs!$B$11="","",Inputs!$B$11)</f>
        <v/>
      </c>
      <c r="I54" s="10">
        <f>IF(OR(H54="",H54=0),"INPUT REQUIRED",D54/H54)</f>
        <v/>
      </c>
      <c r="J54" s="10">
        <f>IF(OR(H54="",H54=0),"INPUT REQUIRED",F54/H54)</f>
        <v/>
      </c>
    </row>
    <row r="55">
      <c r="A55" t="n">
        <v>50</v>
      </c>
      <c r="B55" s="9">
        <f>Unlocks!B55</f>
        <v/>
      </c>
      <c r="C55" s="8">
        <f>Unlocks!L55</f>
        <v/>
      </c>
      <c r="D55" s="11">
        <f>C55*Inputs!$B$5</f>
        <v/>
      </c>
      <c r="E55" s="11">
        <f>C55*Inputs!$B$6</f>
        <v/>
      </c>
      <c r="F55" s="11">
        <f>C55*Inputs!$B$7</f>
        <v/>
      </c>
      <c r="G55" s="11">
        <f>C55*Inputs!$B$8</f>
        <v/>
      </c>
      <c r="H55" s="6">
        <f>IF(Inputs!$B$11="","",Inputs!$B$11)</f>
        <v/>
      </c>
      <c r="I55" s="10">
        <f>IF(OR(H55="",H55=0),"INPUT REQUIRED",D55/H55)</f>
        <v/>
      </c>
      <c r="J55" s="10">
        <f>IF(OR(H55="",H55=0),"INPUT REQUIRED",F55/H55)</f>
        <v/>
      </c>
    </row>
    <row r="56">
      <c r="A56" t="n">
        <v>51</v>
      </c>
      <c r="B56" s="9">
        <f>Unlocks!B56</f>
        <v/>
      </c>
      <c r="C56" s="8">
        <f>Unlocks!L56</f>
        <v/>
      </c>
      <c r="D56" s="11">
        <f>C56*Inputs!$B$5</f>
        <v/>
      </c>
      <c r="E56" s="11">
        <f>C56*Inputs!$B$6</f>
        <v/>
      </c>
      <c r="F56" s="11">
        <f>C56*Inputs!$B$7</f>
        <v/>
      </c>
      <c r="G56" s="11">
        <f>C56*Inputs!$B$8</f>
        <v/>
      </c>
      <c r="H56" s="6">
        <f>IF(Inputs!$B$11="","",Inputs!$B$11)</f>
        <v/>
      </c>
      <c r="I56" s="10">
        <f>IF(OR(H56="",H56=0),"INPUT REQUIRED",D56/H56)</f>
        <v/>
      </c>
      <c r="J56" s="10">
        <f>IF(OR(H56="",H56=0),"INPUT REQUIRED",F56/H56)</f>
        <v/>
      </c>
    </row>
    <row r="57">
      <c r="A57" t="n">
        <v>52</v>
      </c>
      <c r="B57" s="9">
        <f>Unlocks!B57</f>
        <v/>
      </c>
      <c r="C57" s="8">
        <f>Unlocks!L57</f>
        <v/>
      </c>
      <c r="D57" s="11">
        <f>C57*Inputs!$B$5</f>
        <v/>
      </c>
      <c r="E57" s="11">
        <f>C57*Inputs!$B$6</f>
        <v/>
      </c>
      <c r="F57" s="11">
        <f>C57*Inputs!$B$7</f>
        <v/>
      </c>
      <c r="G57" s="11">
        <f>C57*Inputs!$B$8</f>
        <v/>
      </c>
      <c r="H57" s="6">
        <f>IF(Inputs!$B$11="","",Inputs!$B$11)</f>
        <v/>
      </c>
      <c r="I57" s="10">
        <f>IF(OR(H57="",H57=0),"INPUT REQUIRED",D57/H57)</f>
        <v/>
      </c>
      <c r="J57" s="10">
        <f>IF(OR(H57="",H57=0),"INPUT REQUIRED",F57/H57)</f>
        <v/>
      </c>
    </row>
    <row r="58">
      <c r="A58" t="n">
        <v>53</v>
      </c>
      <c r="B58" s="9">
        <f>Unlocks!B58</f>
        <v/>
      </c>
      <c r="C58" s="8">
        <f>Unlocks!L58</f>
        <v/>
      </c>
      <c r="D58" s="11">
        <f>C58*Inputs!$B$5</f>
        <v/>
      </c>
      <c r="E58" s="11">
        <f>C58*Inputs!$B$6</f>
        <v/>
      </c>
      <c r="F58" s="11">
        <f>C58*Inputs!$B$7</f>
        <v/>
      </c>
      <c r="G58" s="11">
        <f>C58*Inputs!$B$8</f>
        <v/>
      </c>
      <c r="H58" s="6">
        <f>IF(Inputs!$B$11="","",Inputs!$B$11)</f>
        <v/>
      </c>
      <c r="I58" s="10">
        <f>IF(OR(H58="",H58=0),"INPUT REQUIRED",D58/H58)</f>
        <v/>
      </c>
      <c r="J58" s="10">
        <f>IF(OR(H58="",H58=0),"INPUT REQUIRED",F58/H58)</f>
        <v/>
      </c>
    </row>
    <row r="59">
      <c r="A59" t="n">
        <v>54</v>
      </c>
      <c r="B59" s="9">
        <f>Unlocks!B59</f>
        <v/>
      </c>
      <c r="C59" s="8">
        <f>Unlocks!L59</f>
        <v/>
      </c>
      <c r="D59" s="11">
        <f>C59*Inputs!$B$5</f>
        <v/>
      </c>
      <c r="E59" s="11">
        <f>C59*Inputs!$B$6</f>
        <v/>
      </c>
      <c r="F59" s="11">
        <f>C59*Inputs!$B$7</f>
        <v/>
      </c>
      <c r="G59" s="11">
        <f>C59*Inputs!$B$8</f>
        <v/>
      </c>
      <c r="H59" s="6">
        <f>IF(Inputs!$B$11="","",Inputs!$B$11)</f>
        <v/>
      </c>
      <c r="I59" s="10">
        <f>IF(OR(H59="",H59=0),"INPUT REQUIRED",D59/H59)</f>
        <v/>
      </c>
      <c r="J59" s="10">
        <f>IF(OR(H59="",H59=0),"INPUT REQUIRED",F59/H59)</f>
        <v/>
      </c>
    </row>
    <row r="60">
      <c r="A60" t="n">
        <v>55</v>
      </c>
      <c r="B60" s="9">
        <f>Unlocks!B60</f>
        <v/>
      </c>
      <c r="C60" s="8">
        <f>Unlocks!L60</f>
        <v/>
      </c>
      <c r="D60" s="11">
        <f>C60*Inputs!$B$5</f>
        <v/>
      </c>
      <c r="E60" s="11">
        <f>C60*Inputs!$B$6</f>
        <v/>
      </c>
      <c r="F60" s="11">
        <f>C60*Inputs!$B$7</f>
        <v/>
      </c>
      <c r="G60" s="11">
        <f>C60*Inputs!$B$8</f>
        <v/>
      </c>
      <c r="H60" s="6">
        <f>IF(Inputs!$B$11="","",Inputs!$B$11)</f>
        <v/>
      </c>
      <c r="I60" s="10">
        <f>IF(OR(H60="",H60=0),"INPUT REQUIRED",D60/H60)</f>
        <v/>
      </c>
      <c r="J60" s="10">
        <f>IF(OR(H60="",H60=0),"INPUT REQUIRED",F60/H60)</f>
        <v/>
      </c>
    </row>
    <row r="61">
      <c r="A61" t="n">
        <v>56</v>
      </c>
      <c r="B61" s="9">
        <f>Unlocks!B61</f>
        <v/>
      </c>
      <c r="C61" s="8">
        <f>Unlocks!L61</f>
        <v/>
      </c>
      <c r="D61" s="11">
        <f>C61*Inputs!$B$5</f>
        <v/>
      </c>
      <c r="E61" s="11">
        <f>C61*Inputs!$B$6</f>
        <v/>
      </c>
      <c r="F61" s="11">
        <f>C61*Inputs!$B$7</f>
        <v/>
      </c>
      <c r="G61" s="11">
        <f>C61*Inputs!$B$8</f>
        <v/>
      </c>
      <c r="H61" s="6">
        <f>IF(Inputs!$B$11="","",Inputs!$B$11)</f>
        <v/>
      </c>
      <c r="I61" s="10">
        <f>IF(OR(H61="",H61=0),"INPUT REQUIRED",D61/H61)</f>
        <v/>
      </c>
      <c r="J61" s="10">
        <f>IF(OR(H61="",H61=0),"INPUT REQUIRED",F61/H61)</f>
        <v/>
      </c>
    </row>
    <row r="62">
      <c r="A62" t="n">
        <v>57</v>
      </c>
      <c r="B62" s="9">
        <f>Unlocks!B62</f>
        <v/>
      </c>
      <c r="C62" s="8">
        <f>Unlocks!L62</f>
        <v/>
      </c>
      <c r="D62" s="11">
        <f>C62*Inputs!$B$5</f>
        <v/>
      </c>
      <c r="E62" s="11">
        <f>C62*Inputs!$B$6</f>
        <v/>
      </c>
      <c r="F62" s="11">
        <f>C62*Inputs!$B$7</f>
        <v/>
      </c>
      <c r="G62" s="11">
        <f>C62*Inputs!$B$8</f>
        <v/>
      </c>
      <c r="H62" s="6">
        <f>IF(Inputs!$B$11="","",Inputs!$B$11)</f>
        <v/>
      </c>
      <c r="I62" s="10">
        <f>IF(OR(H62="",H62=0),"INPUT REQUIRED",D62/H62)</f>
        <v/>
      </c>
      <c r="J62" s="10">
        <f>IF(OR(H62="",H62=0),"INPUT REQUIRED",F62/H62)</f>
        <v/>
      </c>
    </row>
    <row r="63">
      <c r="A63" t="n">
        <v>58</v>
      </c>
      <c r="B63" s="9">
        <f>Unlocks!B63</f>
        <v/>
      </c>
      <c r="C63" s="8">
        <f>Unlocks!L63</f>
        <v/>
      </c>
      <c r="D63" s="11">
        <f>C63*Inputs!$B$5</f>
        <v/>
      </c>
      <c r="E63" s="11">
        <f>C63*Inputs!$B$6</f>
        <v/>
      </c>
      <c r="F63" s="11">
        <f>C63*Inputs!$B$7</f>
        <v/>
      </c>
      <c r="G63" s="11">
        <f>C63*Inputs!$B$8</f>
        <v/>
      </c>
      <c r="H63" s="6">
        <f>IF(Inputs!$B$11="","",Inputs!$B$11)</f>
        <v/>
      </c>
      <c r="I63" s="10">
        <f>IF(OR(H63="",H63=0),"INPUT REQUIRED",D63/H63)</f>
        <v/>
      </c>
      <c r="J63" s="10">
        <f>IF(OR(H63="",H63=0),"INPUT REQUIRED",F63/H63)</f>
        <v/>
      </c>
    </row>
    <row r="64">
      <c r="A64" t="n">
        <v>59</v>
      </c>
      <c r="B64" s="9">
        <f>Unlocks!B64</f>
        <v/>
      </c>
      <c r="C64" s="8">
        <f>Unlocks!L64</f>
        <v/>
      </c>
      <c r="D64" s="11">
        <f>C64*Inputs!$B$5</f>
        <v/>
      </c>
      <c r="E64" s="11">
        <f>C64*Inputs!$B$6</f>
        <v/>
      </c>
      <c r="F64" s="11">
        <f>C64*Inputs!$B$7</f>
        <v/>
      </c>
      <c r="G64" s="11">
        <f>C64*Inputs!$B$8</f>
        <v/>
      </c>
      <c r="H64" s="6">
        <f>IF(Inputs!$B$11="","",Inputs!$B$11)</f>
        <v/>
      </c>
      <c r="I64" s="10">
        <f>IF(OR(H64="",H64=0),"INPUT REQUIRED",D64/H64)</f>
        <v/>
      </c>
      <c r="J64" s="10">
        <f>IF(OR(H64="",H64=0),"INPUT REQUIRED",F64/H64)</f>
        <v/>
      </c>
    </row>
    <row r="65">
      <c r="A65" t="n">
        <v>60</v>
      </c>
      <c r="B65" s="9">
        <f>Unlocks!B65</f>
        <v/>
      </c>
      <c r="C65" s="8">
        <f>Unlocks!L65</f>
        <v/>
      </c>
      <c r="D65" s="11">
        <f>C65*Inputs!$B$5</f>
        <v/>
      </c>
      <c r="E65" s="11">
        <f>C65*Inputs!$B$6</f>
        <v/>
      </c>
      <c r="F65" s="11">
        <f>C65*Inputs!$B$7</f>
        <v/>
      </c>
      <c r="G65" s="11">
        <f>C65*Inputs!$B$8</f>
        <v/>
      </c>
      <c r="H65" s="6">
        <f>IF(Inputs!$B$11="","",Inputs!$B$11)</f>
        <v/>
      </c>
      <c r="I65" s="10">
        <f>IF(OR(H65="",H65=0),"INPUT REQUIRED",D65/H65)</f>
        <v/>
      </c>
      <c r="J65" s="10">
        <f>IF(OR(H65="",H65=0),"INPUT REQUIRED",F65/H65)</f>
        <v/>
      </c>
    </row>
    <row r="66">
      <c r="A66" t="n">
        <v>61</v>
      </c>
      <c r="B66" s="9">
        <f>Unlocks!B66</f>
        <v/>
      </c>
      <c r="C66" s="8">
        <f>Unlocks!L66</f>
        <v/>
      </c>
      <c r="D66" s="11">
        <f>C66*Inputs!$B$5</f>
        <v/>
      </c>
      <c r="E66" s="11">
        <f>C66*Inputs!$B$6</f>
        <v/>
      </c>
      <c r="F66" s="11">
        <f>C66*Inputs!$B$7</f>
        <v/>
      </c>
      <c r="G66" s="11">
        <f>C66*Inputs!$B$8</f>
        <v/>
      </c>
      <c r="H66" s="6">
        <f>IF(Inputs!$B$11="","",Inputs!$B$11)</f>
        <v/>
      </c>
      <c r="I66" s="10">
        <f>IF(OR(H66="",H66=0),"INPUT REQUIRED",D66/H66)</f>
        <v/>
      </c>
      <c r="J66" s="10">
        <f>IF(OR(H66="",H66=0),"INPUT REQUIRED",F66/H66)</f>
        <v/>
      </c>
    </row>
    <row r="67">
      <c r="A67" t="n">
        <v>62</v>
      </c>
      <c r="B67" s="9">
        <f>Unlocks!B67</f>
        <v/>
      </c>
      <c r="C67" s="8">
        <f>Unlocks!L67</f>
        <v/>
      </c>
      <c r="D67" s="11">
        <f>C67*Inputs!$B$5</f>
        <v/>
      </c>
      <c r="E67" s="11">
        <f>C67*Inputs!$B$6</f>
        <v/>
      </c>
      <c r="F67" s="11">
        <f>C67*Inputs!$B$7</f>
        <v/>
      </c>
      <c r="G67" s="11">
        <f>C67*Inputs!$B$8</f>
        <v/>
      </c>
      <c r="H67" s="6">
        <f>IF(Inputs!$B$11="","",Inputs!$B$11)</f>
        <v/>
      </c>
      <c r="I67" s="10">
        <f>IF(OR(H67="",H67=0),"INPUT REQUIRED",D67/H67)</f>
        <v/>
      </c>
      <c r="J67" s="10">
        <f>IF(OR(H67="",H67=0),"INPUT REQUIRED",F67/H67)</f>
        <v/>
      </c>
    </row>
    <row r="68">
      <c r="A68" t="n">
        <v>63</v>
      </c>
      <c r="B68" s="9">
        <f>Unlocks!B68</f>
        <v/>
      </c>
      <c r="C68" s="8">
        <f>Unlocks!L68</f>
        <v/>
      </c>
      <c r="D68" s="11">
        <f>C68*Inputs!$B$5</f>
        <v/>
      </c>
      <c r="E68" s="11">
        <f>C68*Inputs!$B$6</f>
        <v/>
      </c>
      <c r="F68" s="11">
        <f>C68*Inputs!$B$7</f>
        <v/>
      </c>
      <c r="G68" s="11">
        <f>C68*Inputs!$B$8</f>
        <v/>
      </c>
      <c r="H68" s="6">
        <f>IF(Inputs!$B$11="","",Inputs!$B$11)</f>
        <v/>
      </c>
      <c r="I68" s="10">
        <f>IF(OR(H68="",H68=0),"INPUT REQUIRED",D68/H68)</f>
        <v/>
      </c>
      <c r="J68" s="10">
        <f>IF(OR(H68="",H68=0),"INPUT REQUIRED",F68/H68)</f>
        <v/>
      </c>
    </row>
    <row r="69">
      <c r="A69" t="n">
        <v>64</v>
      </c>
      <c r="B69" s="9">
        <f>Unlocks!B69</f>
        <v/>
      </c>
      <c r="C69" s="8">
        <f>Unlocks!L69</f>
        <v/>
      </c>
      <c r="D69" s="11">
        <f>C69*Inputs!$B$5</f>
        <v/>
      </c>
      <c r="E69" s="11">
        <f>C69*Inputs!$B$6</f>
        <v/>
      </c>
      <c r="F69" s="11">
        <f>C69*Inputs!$B$7</f>
        <v/>
      </c>
      <c r="G69" s="11">
        <f>C69*Inputs!$B$8</f>
        <v/>
      </c>
      <c r="H69" s="6">
        <f>IF(Inputs!$B$11="","",Inputs!$B$11)</f>
        <v/>
      </c>
      <c r="I69" s="10">
        <f>IF(OR(H69="",H69=0),"INPUT REQUIRED",D69/H69)</f>
        <v/>
      </c>
      <c r="J69" s="10">
        <f>IF(OR(H69="",H69=0),"INPUT REQUIRED",F69/H69)</f>
        <v/>
      </c>
    </row>
    <row r="70">
      <c r="A70" t="n">
        <v>65</v>
      </c>
      <c r="B70" s="9">
        <f>Unlocks!B70</f>
        <v/>
      </c>
      <c r="C70" s="8">
        <f>Unlocks!L70</f>
        <v/>
      </c>
      <c r="D70" s="11">
        <f>C70*Inputs!$B$5</f>
        <v/>
      </c>
      <c r="E70" s="11">
        <f>C70*Inputs!$B$6</f>
        <v/>
      </c>
      <c r="F70" s="11">
        <f>C70*Inputs!$B$7</f>
        <v/>
      </c>
      <c r="G70" s="11">
        <f>C70*Inputs!$B$8</f>
        <v/>
      </c>
      <c r="H70" s="6">
        <f>IF(Inputs!$B$11="","",Inputs!$B$11)</f>
        <v/>
      </c>
      <c r="I70" s="10">
        <f>IF(OR(H70="",H70=0),"INPUT REQUIRED",D70/H70)</f>
        <v/>
      </c>
      <c r="J70" s="10">
        <f>IF(OR(H70="",H70=0),"INPUT REQUIRED",F70/H70)</f>
        <v/>
      </c>
    </row>
    <row r="71">
      <c r="A71" t="n">
        <v>66</v>
      </c>
      <c r="B71" s="9">
        <f>Unlocks!B71</f>
        <v/>
      </c>
      <c r="C71" s="8">
        <f>Unlocks!L71</f>
        <v/>
      </c>
      <c r="D71" s="11">
        <f>C71*Inputs!$B$5</f>
        <v/>
      </c>
      <c r="E71" s="11">
        <f>C71*Inputs!$B$6</f>
        <v/>
      </c>
      <c r="F71" s="11">
        <f>C71*Inputs!$B$7</f>
        <v/>
      </c>
      <c r="G71" s="11">
        <f>C71*Inputs!$B$8</f>
        <v/>
      </c>
      <c r="H71" s="6">
        <f>IF(Inputs!$B$11="","",Inputs!$B$11)</f>
        <v/>
      </c>
      <c r="I71" s="10">
        <f>IF(OR(H71="",H71=0),"INPUT REQUIRED",D71/H71)</f>
        <v/>
      </c>
      <c r="J71" s="10">
        <f>IF(OR(H71="",H71=0),"INPUT REQUIRED",F71/H71)</f>
        <v/>
      </c>
    </row>
    <row r="72">
      <c r="A72" t="n">
        <v>67</v>
      </c>
      <c r="B72" s="9">
        <f>Unlocks!B72</f>
        <v/>
      </c>
      <c r="C72" s="8">
        <f>Unlocks!L72</f>
        <v/>
      </c>
      <c r="D72" s="11">
        <f>C72*Inputs!$B$5</f>
        <v/>
      </c>
      <c r="E72" s="11">
        <f>C72*Inputs!$B$6</f>
        <v/>
      </c>
      <c r="F72" s="11">
        <f>C72*Inputs!$B$7</f>
        <v/>
      </c>
      <c r="G72" s="11">
        <f>C72*Inputs!$B$8</f>
        <v/>
      </c>
      <c r="H72" s="6">
        <f>IF(Inputs!$B$11="","",Inputs!$B$11)</f>
        <v/>
      </c>
      <c r="I72" s="10">
        <f>IF(OR(H72="",H72=0),"INPUT REQUIRED",D72/H72)</f>
        <v/>
      </c>
      <c r="J72" s="10">
        <f>IF(OR(H72="",H72=0),"INPUT REQUIRED",F72/H72)</f>
        <v/>
      </c>
    </row>
    <row r="73">
      <c r="A73" t="n">
        <v>68</v>
      </c>
      <c r="B73" s="9">
        <f>Unlocks!B73</f>
        <v/>
      </c>
      <c r="C73" s="8">
        <f>Unlocks!L73</f>
        <v/>
      </c>
      <c r="D73" s="11">
        <f>C73*Inputs!$B$5</f>
        <v/>
      </c>
      <c r="E73" s="11">
        <f>C73*Inputs!$B$6</f>
        <v/>
      </c>
      <c r="F73" s="11">
        <f>C73*Inputs!$B$7</f>
        <v/>
      </c>
      <c r="G73" s="11">
        <f>C73*Inputs!$B$8</f>
        <v/>
      </c>
      <c r="H73" s="6">
        <f>IF(Inputs!$B$11="","",Inputs!$B$11)</f>
        <v/>
      </c>
      <c r="I73" s="10">
        <f>IF(OR(H73="",H73=0),"INPUT REQUIRED",D73/H73)</f>
        <v/>
      </c>
      <c r="J73" s="10">
        <f>IF(OR(H73="",H73=0),"INPUT REQUIRED",F73/H73)</f>
        <v/>
      </c>
    </row>
    <row r="74">
      <c r="A74" t="n">
        <v>69</v>
      </c>
      <c r="B74" s="9">
        <f>Unlocks!B74</f>
        <v/>
      </c>
      <c r="C74" s="8">
        <f>Unlocks!L74</f>
        <v/>
      </c>
      <c r="D74" s="11">
        <f>C74*Inputs!$B$5</f>
        <v/>
      </c>
      <c r="E74" s="11">
        <f>C74*Inputs!$B$6</f>
        <v/>
      </c>
      <c r="F74" s="11">
        <f>C74*Inputs!$B$7</f>
        <v/>
      </c>
      <c r="G74" s="11">
        <f>C74*Inputs!$B$8</f>
        <v/>
      </c>
      <c r="H74" s="6">
        <f>IF(Inputs!$B$11="","",Inputs!$B$11)</f>
        <v/>
      </c>
      <c r="I74" s="10">
        <f>IF(OR(H74="",H74=0),"INPUT REQUIRED",D74/H74)</f>
        <v/>
      </c>
      <c r="J74" s="10">
        <f>IF(OR(H74="",H74=0),"INPUT REQUIRED",F74/H74)</f>
        <v/>
      </c>
    </row>
    <row r="75">
      <c r="A75" t="n">
        <v>70</v>
      </c>
      <c r="B75" s="9">
        <f>Unlocks!B75</f>
        <v/>
      </c>
      <c r="C75" s="8">
        <f>Unlocks!L75</f>
        <v/>
      </c>
      <c r="D75" s="11">
        <f>C75*Inputs!$B$5</f>
        <v/>
      </c>
      <c r="E75" s="11">
        <f>C75*Inputs!$B$6</f>
        <v/>
      </c>
      <c r="F75" s="11">
        <f>C75*Inputs!$B$7</f>
        <v/>
      </c>
      <c r="G75" s="11">
        <f>C75*Inputs!$B$8</f>
        <v/>
      </c>
      <c r="H75" s="6">
        <f>IF(Inputs!$B$11="","",Inputs!$B$11)</f>
        <v/>
      </c>
      <c r="I75" s="10">
        <f>IF(OR(H75="",H75=0),"INPUT REQUIRED",D75/H75)</f>
        <v/>
      </c>
      <c r="J75" s="10">
        <f>IF(OR(H75="",H75=0),"INPUT REQUIRED",F75/H75)</f>
        <v/>
      </c>
    </row>
    <row r="76">
      <c r="A76" t="n">
        <v>71</v>
      </c>
      <c r="B76" s="9">
        <f>Unlocks!B76</f>
        <v/>
      </c>
      <c r="C76" s="8">
        <f>Unlocks!L76</f>
        <v/>
      </c>
      <c r="D76" s="11">
        <f>C76*Inputs!$B$5</f>
        <v/>
      </c>
      <c r="E76" s="11">
        <f>C76*Inputs!$B$6</f>
        <v/>
      </c>
      <c r="F76" s="11">
        <f>C76*Inputs!$B$7</f>
        <v/>
      </c>
      <c r="G76" s="11">
        <f>C76*Inputs!$B$8</f>
        <v/>
      </c>
      <c r="H76" s="6">
        <f>IF(Inputs!$B$11="","",Inputs!$B$11)</f>
        <v/>
      </c>
      <c r="I76" s="10">
        <f>IF(OR(H76="",H76=0),"INPUT REQUIRED",D76/H76)</f>
        <v/>
      </c>
      <c r="J76" s="10">
        <f>IF(OR(H76="",H76=0),"INPUT REQUIRED",F76/H76)</f>
        <v/>
      </c>
    </row>
    <row r="77">
      <c r="A77" t="n">
        <v>72</v>
      </c>
      <c r="B77" s="9">
        <f>Unlocks!B77</f>
        <v/>
      </c>
      <c r="C77" s="8">
        <f>Unlocks!L77</f>
        <v/>
      </c>
      <c r="D77" s="11">
        <f>C77*Inputs!$B$5</f>
        <v/>
      </c>
      <c r="E77" s="11">
        <f>C77*Inputs!$B$6</f>
        <v/>
      </c>
      <c r="F77" s="11">
        <f>C77*Inputs!$B$7</f>
        <v/>
      </c>
      <c r="G77" s="11">
        <f>C77*Inputs!$B$8</f>
        <v/>
      </c>
      <c r="H77" s="6">
        <f>IF(Inputs!$B$11="","",Inputs!$B$11)</f>
        <v/>
      </c>
      <c r="I77" s="10">
        <f>IF(OR(H77="",H77=0),"INPUT REQUIRED",D77/H77)</f>
        <v/>
      </c>
      <c r="J77" s="10">
        <f>IF(OR(H77="",H77=0),"INPUT REQUIRED",F77/H77)</f>
        <v/>
      </c>
    </row>
    <row r="78">
      <c r="A78" t="n">
        <v>73</v>
      </c>
      <c r="B78" s="9">
        <f>Unlocks!B78</f>
        <v/>
      </c>
      <c r="C78" s="8">
        <f>Unlocks!L78</f>
        <v/>
      </c>
      <c r="D78" s="11">
        <f>C78*Inputs!$B$5</f>
        <v/>
      </c>
      <c r="E78" s="11">
        <f>C78*Inputs!$B$6</f>
        <v/>
      </c>
      <c r="F78" s="11">
        <f>C78*Inputs!$B$7</f>
        <v/>
      </c>
      <c r="G78" s="11">
        <f>C78*Inputs!$B$8</f>
        <v/>
      </c>
      <c r="H78" s="6">
        <f>IF(Inputs!$B$11="","",Inputs!$B$11)</f>
        <v/>
      </c>
      <c r="I78" s="10">
        <f>IF(OR(H78="",H78=0),"INPUT REQUIRED",D78/H78)</f>
        <v/>
      </c>
      <c r="J78" s="10">
        <f>IF(OR(H78="",H78=0),"INPUT REQUIRED",F78/H78)</f>
        <v/>
      </c>
    </row>
    <row r="79">
      <c r="A79" t="n">
        <v>74</v>
      </c>
      <c r="B79" s="9">
        <f>Unlocks!B79</f>
        <v/>
      </c>
      <c r="C79" s="8">
        <f>Unlocks!L79</f>
        <v/>
      </c>
      <c r="D79" s="11">
        <f>C79*Inputs!$B$5</f>
        <v/>
      </c>
      <c r="E79" s="11">
        <f>C79*Inputs!$B$6</f>
        <v/>
      </c>
      <c r="F79" s="11">
        <f>C79*Inputs!$B$7</f>
        <v/>
      </c>
      <c r="G79" s="11">
        <f>C79*Inputs!$B$8</f>
        <v/>
      </c>
      <c r="H79" s="6">
        <f>IF(Inputs!$B$11="","",Inputs!$B$11)</f>
        <v/>
      </c>
      <c r="I79" s="10">
        <f>IF(OR(H79="",H79=0),"INPUT REQUIRED",D79/H79)</f>
        <v/>
      </c>
      <c r="J79" s="10">
        <f>IF(OR(H79="",H79=0),"INPUT REQUIRED",F79/H79)</f>
        <v/>
      </c>
    </row>
    <row r="80">
      <c r="A80" t="n">
        <v>75</v>
      </c>
      <c r="B80" s="9">
        <f>Unlocks!B80</f>
        <v/>
      </c>
      <c r="C80" s="8">
        <f>Unlocks!L80</f>
        <v/>
      </c>
      <c r="D80" s="11">
        <f>C80*Inputs!$B$5</f>
        <v/>
      </c>
      <c r="E80" s="11">
        <f>C80*Inputs!$B$6</f>
        <v/>
      </c>
      <c r="F80" s="11">
        <f>C80*Inputs!$B$7</f>
        <v/>
      </c>
      <c r="G80" s="11">
        <f>C80*Inputs!$B$8</f>
        <v/>
      </c>
      <c r="H80" s="6">
        <f>IF(Inputs!$B$11="","",Inputs!$B$11)</f>
        <v/>
      </c>
      <c r="I80" s="10">
        <f>IF(OR(H80="",H80=0),"INPUT REQUIRED",D80/H80)</f>
        <v/>
      </c>
      <c r="J80" s="10">
        <f>IF(OR(H80="",H80=0),"INPUT REQUIRED",F80/H80)</f>
        <v/>
      </c>
    </row>
    <row r="81">
      <c r="A81" t="n">
        <v>76</v>
      </c>
      <c r="B81" s="9">
        <f>Unlocks!B81</f>
        <v/>
      </c>
      <c r="C81" s="8">
        <f>Unlocks!L81</f>
        <v/>
      </c>
      <c r="D81" s="11">
        <f>C81*Inputs!$B$5</f>
        <v/>
      </c>
      <c r="E81" s="11">
        <f>C81*Inputs!$B$6</f>
        <v/>
      </c>
      <c r="F81" s="11">
        <f>C81*Inputs!$B$7</f>
        <v/>
      </c>
      <c r="G81" s="11">
        <f>C81*Inputs!$B$8</f>
        <v/>
      </c>
      <c r="H81" s="6">
        <f>IF(Inputs!$B$11="","",Inputs!$B$11)</f>
        <v/>
      </c>
      <c r="I81" s="10">
        <f>IF(OR(H81="",H81=0),"INPUT REQUIRED",D81/H81)</f>
        <v/>
      </c>
      <c r="J81" s="10">
        <f>IF(OR(H81="",H81=0),"INPUT REQUIRED",F81/H81)</f>
        <v/>
      </c>
    </row>
    <row r="82">
      <c r="A82" t="n">
        <v>77</v>
      </c>
      <c r="B82" s="9">
        <f>Unlocks!B82</f>
        <v/>
      </c>
      <c r="C82" s="8">
        <f>Unlocks!L82</f>
        <v/>
      </c>
      <c r="D82" s="11">
        <f>C82*Inputs!$B$5</f>
        <v/>
      </c>
      <c r="E82" s="11">
        <f>C82*Inputs!$B$6</f>
        <v/>
      </c>
      <c r="F82" s="11">
        <f>C82*Inputs!$B$7</f>
        <v/>
      </c>
      <c r="G82" s="11">
        <f>C82*Inputs!$B$8</f>
        <v/>
      </c>
      <c r="H82" s="6">
        <f>IF(Inputs!$B$11="","",Inputs!$B$11)</f>
        <v/>
      </c>
      <c r="I82" s="10">
        <f>IF(OR(H82="",H82=0),"INPUT REQUIRED",D82/H82)</f>
        <v/>
      </c>
      <c r="J82" s="10">
        <f>IF(OR(H82="",H82=0),"INPUT REQUIRED",F82/H82)</f>
        <v/>
      </c>
    </row>
    <row r="83">
      <c r="A83" t="n">
        <v>78</v>
      </c>
      <c r="B83" s="9">
        <f>Unlocks!B83</f>
        <v/>
      </c>
      <c r="C83" s="8">
        <f>Unlocks!L83</f>
        <v/>
      </c>
      <c r="D83" s="11">
        <f>C83*Inputs!$B$5</f>
        <v/>
      </c>
      <c r="E83" s="11">
        <f>C83*Inputs!$B$6</f>
        <v/>
      </c>
      <c r="F83" s="11">
        <f>C83*Inputs!$B$7</f>
        <v/>
      </c>
      <c r="G83" s="11">
        <f>C83*Inputs!$B$8</f>
        <v/>
      </c>
      <c r="H83" s="6">
        <f>IF(Inputs!$B$11="","",Inputs!$B$11)</f>
        <v/>
      </c>
      <c r="I83" s="10">
        <f>IF(OR(H83="",H83=0),"INPUT REQUIRED",D83/H83)</f>
        <v/>
      </c>
      <c r="J83" s="10">
        <f>IF(OR(H83="",H83=0),"INPUT REQUIRED",F83/H83)</f>
        <v/>
      </c>
    </row>
    <row r="84">
      <c r="A84" t="n">
        <v>79</v>
      </c>
      <c r="B84" s="9">
        <f>Unlocks!B84</f>
        <v/>
      </c>
      <c r="C84" s="8">
        <f>Unlocks!L84</f>
        <v/>
      </c>
      <c r="D84" s="11">
        <f>C84*Inputs!$B$5</f>
        <v/>
      </c>
      <c r="E84" s="11">
        <f>C84*Inputs!$B$6</f>
        <v/>
      </c>
      <c r="F84" s="11">
        <f>C84*Inputs!$B$7</f>
        <v/>
      </c>
      <c r="G84" s="11">
        <f>C84*Inputs!$B$8</f>
        <v/>
      </c>
      <c r="H84" s="6">
        <f>IF(Inputs!$B$11="","",Inputs!$B$11)</f>
        <v/>
      </c>
      <c r="I84" s="10">
        <f>IF(OR(H84="",H84=0),"INPUT REQUIRED",D84/H84)</f>
        <v/>
      </c>
      <c r="J84" s="10">
        <f>IF(OR(H84="",H84=0),"INPUT REQUIRED",F84/H84)</f>
        <v/>
      </c>
    </row>
    <row r="85">
      <c r="A85" t="n">
        <v>80</v>
      </c>
      <c r="B85" s="9">
        <f>Unlocks!B85</f>
        <v/>
      </c>
      <c r="C85" s="8">
        <f>Unlocks!L85</f>
        <v/>
      </c>
      <c r="D85" s="11">
        <f>C85*Inputs!$B$5</f>
        <v/>
      </c>
      <c r="E85" s="11">
        <f>C85*Inputs!$B$6</f>
        <v/>
      </c>
      <c r="F85" s="11">
        <f>C85*Inputs!$B$7</f>
        <v/>
      </c>
      <c r="G85" s="11">
        <f>C85*Inputs!$B$8</f>
        <v/>
      </c>
      <c r="H85" s="6">
        <f>IF(Inputs!$B$11="","",Inputs!$B$11)</f>
        <v/>
      </c>
      <c r="I85" s="10">
        <f>IF(OR(H85="",H85=0),"INPUT REQUIRED",D85/H85)</f>
        <v/>
      </c>
      <c r="J85" s="10">
        <f>IF(OR(H85="",H85=0),"INPUT REQUIRED",F85/H85)</f>
        <v/>
      </c>
    </row>
    <row r="86">
      <c r="A86" t="n">
        <v>81</v>
      </c>
      <c r="B86" s="9">
        <f>Unlocks!B86</f>
        <v/>
      </c>
      <c r="C86" s="8">
        <f>Unlocks!L86</f>
        <v/>
      </c>
      <c r="D86" s="11">
        <f>C86*Inputs!$B$5</f>
        <v/>
      </c>
      <c r="E86" s="11">
        <f>C86*Inputs!$B$6</f>
        <v/>
      </c>
      <c r="F86" s="11">
        <f>C86*Inputs!$B$7</f>
        <v/>
      </c>
      <c r="G86" s="11">
        <f>C86*Inputs!$B$8</f>
        <v/>
      </c>
      <c r="H86" s="6">
        <f>IF(Inputs!$B$11="","",Inputs!$B$11)</f>
        <v/>
      </c>
      <c r="I86" s="10">
        <f>IF(OR(H86="",H86=0),"INPUT REQUIRED",D86/H86)</f>
        <v/>
      </c>
      <c r="J86" s="10">
        <f>IF(OR(H86="",H86=0),"INPUT REQUIRED",F86/H86)</f>
        <v/>
      </c>
    </row>
    <row r="87">
      <c r="A87" t="n">
        <v>82</v>
      </c>
      <c r="B87" s="9">
        <f>Unlocks!B87</f>
        <v/>
      </c>
      <c r="C87" s="8">
        <f>Unlocks!L87</f>
        <v/>
      </c>
      <c r="D87" s="11">
        <f>C87*Inputs!$B$5</f>
        <v/>
      </c>
      <c r="E87" s="11">
        <f>C87*Inputs!$B$6</f>
        <v/>
      </c>
      <c r="F87" s="11">
        <f>C87*Inputs!$B$7</f>
        <v/>
      </c>
      <c r="G87" s="11">
        <f>C87*Inputs!$B$8</f>
        <v/>
      </c>
      <c r="H87" s="6">
        <f>IF(Inputs!$B$11="","",Inputs!$B$11)</f>
        <v/>
      </c>
      <c r="I87" s="10">
        <f>IF(OR(H87="",H87=0),"INPUT REQUIRED",D87/H87)</f>
        <v/>
      </c>
      <c r="J87" s="10">
        <f>IF(OR(H87="",H87=0),"INPUT REQUIRED",F87/H87)</f>
        <v/>
      </c>
    </row>
    <row r="88">
      <c r="A88" t="n">
        <v>83</v>
      </c>
      <c r="B88" s="9">
        <f>Unlocks!B88</f>
        <v/>
      </c>
      <c r="C88" s="8">
        <f>Unlocks!L88</f>
        <v/>
      </c>
      <c r="D88" s="11">
        <f>C88*Inputs!$B$5</f>
        <v/>
      </c>
      <c r="E88" s="11">
        <f>C88*Inputs!$B$6</f>
        <v/>
      </c>
      <c r="F88" s="11">
        <f>C88*Inputs!$B$7</f>
        <v/>
      </c>
      <c r="G88" s="11">
        <f>C88*Inputs!$B$8</f>
        <v/>
      </c>
      <c r="H88" s="6">
        <f>IF(Inputs!$B$11="","",Inputs!$B$11)</f>
        <v/>
      </c>
      <c r="I88" s="10">
        <f>IF(OR(H88="",H88=0),"INPUT REQUIRED",D88/H88)</f>
        <v/>
      </c>
      <c r="J88" s="10">
        <f>IF(OR(H88="",H88=0),"INPUT REQUIRED",F88/H88)</f>
        <v/>
      </c>
    </row>
    <row r="89">
      <c r="A89" t="n">
        <v>84</v>
      </c>
      <c r="B89" s="9">
        <f>Unlocks!B89</f>
        <v/>
      </c>
      <c r="C89" s="8">
        <f>Unlocks!L89</f>
        <v/>
      </c>
      <c r="D89" s="11">
        <f>C89*Inputs!$B$5</f>
        <v/>
      </c>
      <c r="E89" s="11">
        <f>C89*Inputs!$B$6</f>
        <v/>
      </c>
      <c r="F89" s="11">
        <f>C89*Inputs!$B$7</f>
        <v/>
      </c>
      <c r="G89" s="11">
        <f>C89*Inputs!$B$8</f>
        <v/>
      </c>
      <c r="H89" s="6">
        <f>IF(Inputs!$B$11="","",Inputs!$B$11)</f>
        <v/>
      </c>
      <c r="I89" s="10">
        <f>IF(OR(H89="",H89=0),"INPUT REQUIRED",D89/H89)</f>
        <v/>
      </c>
      <c r="J89" s="10">
        <f>IF(OR(H89="",H89=0),"INPUT REQUIRED",F89/H89)</f>
        <v/>
      </c>
    </row>
    <row r="91">
      <c r="A91" s="5" t="inlineStr">
        <is>
          <t>Month 13 (first investor unlock)</t>
        </is>
      </c>
      <c r="C91" s="8">
        <f>C18</f>
        <v/>
      </c>
      <c r="D91" s="11">
        <f>D18</f>
        <v/>
      </c>
      <c r="F91" s="11">
        <f>F18</f>
        <v/>
      </c>
    </row>
    <row r="92">
      <c r="A92" t="inlineStr">
        <is>
          <t>Column H may be overridden month by month with a specific volume figure; the yellow cells otherwise take the base case from Inputs.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6" customWidth="1" min="4" max="4"/>
  </cols>
  <sheetData>
    <row r="1">
      <c r="A1" s="1" t="inlineStr">
        <is>
          <t>Composition of the month-13 unlock and of the TGE float (KNX)</t>
        </is>
      </c>
    </row>
    <row r="4">
      <c r="A4" s="3" t="inlineStr">
        <is>
          <t>Class</t>
        </is>
      </c>
      <c r="B4" s="3" t="inlineStr">
        <is>
          <t>Unlocked at TGE (T+0)</t>
        </is>
      </c>
      <c r="C4" s="3" t="inlineStr">
        <is>
          <t>Unlock at T+13</t>
        </is>
      </c>
      <c r="D4" s="3" t="inlineStr">
        <is>
          <t>Value of T+13 unlock at USD 0.16</t>
        </is>
      </c>
    </row>
    <row r="5">
      <c r="A5" t="inlineStr">
        <is>
          <t>Legacy investors</t>
        </is>
      </c>
      <c r="B5" s="8">
        <f>Unlocks!C5</f>
        <v/>
      </c>
      <c r="C5" s="8">
        <f>Unlocks!C18</f>
        <v/>
      </c>
      <c r="D5" s="11">
        <f>C5*Inputs!$B$5</f>
        <v/>
      </c>
    </row>
    <row r="6">
      <c r="A6" t="inlineStr">
        <is>
          <t>New round</t>
        </is>
      </c>
      <c r="B6" s="8">
        <f>Unlocks!D5</f>
        <v/>
      </c>
      <c r="C6" s="8">
        <f>Unlocks!D18</f>
        <v/>
      </c>
      <c r="D6" s="11">
        <f>C6*Inputs!$B$5</f>
        <v/>
      </c>
    </row>
    <row r="7">
      <c r="A7" t="inlineStr">
        <is>
          <t>Emissions</t>
        </is>
      </c>
      <c r="B7" s="8">
        <f>Unlocks!E5</f>
        <v/>
      </c>
      <c r="C7" s="8">
        <f>Unlocks!E18</f>
        <v/>
      </c>
      <c r="D7" s="11">
        <f>C7*Inputs!$B$5</f>
        <v/>
      </c>
    </row>
    <row r="8">
      <c r="A8" t="inlineStr">
        <is>
          <t>Marketing</t>
        </is>
      </c>
      <c r="B8" s="8">
        <f>Unlocks!F5</f>
        <v/>
      </c>
      <c r="C8" s="8">
        <f>Unlocks!F18</f>
        <v/>
      </c>
      <c r="D8" s="11">
        <f>C8*Inputs!$B$5</f>
        <v/>
      </c>
    </row>
    <row r="9">
      <c r="A9" t="inlineStr">
        <is>
          <t>Treasury</t>
        </is>
      </c>
      <c r="B9" s="8">
        <f>Unlocks!G5</f>
        <v/>
      </c>
      <c r="C9" s="8">
        <f>Unlocks!G18</f>
        <v/>
      </c>
      <c r="D9" s="11">
        <f>C9*Inputs!$B$5</f>
        <v/>
      </c>
    </row>
    <row r="10">
      <c r="A10" t="inlineStr">
        <is>
          <t>Foundation</t>
        </is>
      </c>
      <c r="B10" s="8">
        <f>Unlocks!H5</f>
        <v/>
      </c>
      <c r="C10" s="8">
        <f>Unlocks!H18</f>
        <v/>
      </c>
      <c r="D10" s="11">
        <f>C10*Inputs!$B$5</f>
        <v/>
      </c>
    </row>
    <row r="11">
      <c r="A11" t="inlineStr">
        <is>
          <t>Team</t>
        </is>
      </c>
      <c r="B11" s="8">
        <f>Unlocks!I5</f>
        <v/>
      </c>
      <c r="C11" s="8">
        <f>Unlocks!I18</f>
        <v/>
      </c>
      <c r="D11" s="11">
        <f>C11*Inputs!$B$5</f>
        <v/>
      </c>
    </row>
    <row r="12">
      <c r="A12" t="inlineStr">
        <is>
          <t>Liquidity</t>
        </is>
      </c>
      <c r="B12" s="8">
        <f>Unlocks!J5</f>
        <v/>
      </c>
      <c r="C12" s="8">
        <f>Unlocks!J18</f>
        <v/>
      </c>
      <c r="D12" s="11">
        <f>C12*Inputs!$B$5</f>
        <v/>
      </c>
    </row>
    <row r="13">
      <c r="A13" t="inlineStr">
        <is>
          <t>Airdrop</t>
        </is>
      </c>
      <c r="B13" s="8">
        <f>Unlocks!K5</f>
        <v/>
      </c>
      <c r="C13" s="8">
        <f>Unlocks!K18</f>
        <v/>
      </c>
      <c r="D13" s="11">
        <f>C13*Inputs!$B$5</f>
        <v/>
      </c>
    </row>
    <row r="14">
      <c r="A14" s="5" t="inlineStr">
        <is>
          <t>Total</t>
        </is>
      </c>
      <c r="B14" s="8">
        <f>SUM(B5:B13)</f>
        <v/>
      </c>
      <c r="C14" s="8">
        <f>SUM(C5:C13)</f>
        <v/>
      </c>
      <c r="D14" s="11">
        <f>SUM(D5:D13)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2026-09-17T11:08:53Z</dcterms:created>
  <dcterms:modified xmlns:dcterms="http://purl.org/dc/terms/" xmlns:xsi="http://www.w3.org/2001/XMLSchema-instance" xsi:type="dcterms:W3CDTF">2026-09-17T11:08:53Z</dcterms:modified>
</cp:coreProperties>
</file>