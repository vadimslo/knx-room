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ers" sheetId="1" state="visible" r:id="rId1"/>
    <sheet xmlns:r="http://schemas.openxmlformats.org/officeDocument/2006/relationships" name="Bucket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Holder</t>
        </is>
      </c>
      <c r="B1" s="1" t="inlineStr">
        <is>
          <t>Round</t>
        </is>
      </c>
      <c r="C1" s="1" t="inlineStr">
        <is>
          <t>Date</t>
        </is>
      </c>
      <c r="D1" s="1" t="inlineStr">
        <is>
          <t>USD committed</t>
        </is>
      </c>
      <c r="E1" s="1" t="inlineStr">
        <is>
          <t>KNX</t>
        </is>
      </c>
      <c r="F1" s="1" t="inlineStr">
        <is>
          <t>% of supply</t>
        </is>
      </c>
      <c r="G1" s="1" t="inlineStr">
        <is>
          <t>Price (USD)</t>
        </is>
      </c>
      <c r="H1" s="1" t="inlineStr">
        <is>
          <t>FDV (USD)</t>
        </is>
      </c>
    </row>
    <row r="2">
      <c r="A2" t="inlineStr">
        <is>
          <t>Brandon Torres Declet</t>
        </is>
      </c>
      <c r="B2" t="inlineStr">
        <is>
          <t>Pre-seed</t>
        </is>
      </c>
      <c r="D2" t="n">
        <v>1000000</v>
      </c>
      <c r="E2" t="n">
        <v>10331395.2660156</v>
      </c>
      <c r="F2">
        <f>E2/1000000000</f>
        <v>0.0103313953</v>
      </c>
      <c r="G2">
        <f>D2/E2</f>
        <v>0.0967923474</v>
      </c>
      <c r="H2">
        <f>G2*1000000000</f>
        <v>96792347.42759575</v>
      </c>
    </row>
    <row r="3">
      <c r="A3" t="inlineStr">
        <is>
          <t>LD Capital</t>
        </is>
      </c>
      <c r="B3" t="inlineStr">
        <is>
          <t>Seed</t>
        </is>
      </c>
      <c r="C3" t="inlineStr">
        <is>
          <t>2025-12-18</t>
        </is>
      </c>
      <c r="D3" t="n">
        <v>4687500</v>
      </c>
      <c r="E3" t="n">
        <v>27309256.4103347</v>
      </c>
      <c r="F3">
        <f>E3/1000000000</f>
        <v>0.0273092564</v>
      </c>
      <c r="G3">
        <f>D3/E3</f>
        <v>0.1716450983</v>
      </c>
      <c r="H3">
        <f>G3*1000000000</f>
        <v>171645098.2614854</v>
      </c>
    </row>
    <row r="4">
      <c r="A4" t="inlineStr">
        <is>
          <t>Cogitent Ventures</t>
        </is>
      </c>
      <c r="B4" t="inlineStr">
        <is>
          <t>Seed</t>
        </is>
      </c>
      <c r="C4" t="inlineStr">
        <is>
          <t>2025-12-13</t>
        </is>
      </c>
      <c r="D4" t="n">
        <v>2812500</v>
      </c>
      <c r="E4" t="n">
        <v>16385553.8462008</v>
      </c>
      <c r="F4">
        <f>E4/1000000000</f>
        <v>0.0163855538</v>
      </c>
      <c r="G4">
        <f>D4/E4</f>
        <v>0.1716450983</v>
      </c>
      <c r="H4">
        <f>G4*1000000000</f>
        <v>171645098.26148564</v>
      </c>
    </row>
    <row r="5">
      <c r="A5" t="inlineStr">
        <is>
          <t>Leland Ventures</t>
        </is>
      </c>
      <c r="B5" t="inlineStr">
        <is>
          <t>Seed</t>
        </is>
      </c>
      <c r="C5" t="inlineStr">
        <is>
          <t>2025-12-19</t>
        </is>
      </c>
      <c r="D5" t="n">
        <v>1875000</v>
      </c>
      <c r="E5" t="n">
        <v>10923702.5641339</v>
      </c>
      <c r="F5">
        <f>E5/1000000000</f>
        <v>0.0109237026</v>
      </c>
      <c r="G5">
        <f>D5/E5</f>
        <v>0.1716450983</v>
      </c>
      <c r="H5">
        <f>G5*1000000000</f>
        <v>171645098.2614851</v>
      </c>
    </row>
    <row r="6">
      <c r="A6" t="inlineStr">
        <is>
          <t>M77 Ventures</t>
        </is>
      </c>
      <c r="B6" t="inlineStr">
        <is>
          <t>Seed</t>
        </is>
      </c>
      <c r="C6" t="inlineStr">
        <is>
          <t>2025-12-13</t>
        </is>
      </c>
      <c r="D6" t="n">
        <v>1875000</v>
      </c>
      <c r="E6" t="n">
        <v>10923702.5641339</v>
      </c>
      <c r="F6">
        <f>E6/1000000000</f>
        <v>0.0109237026</v>
      </c>
      <c r="G6">
        <f>D6/E6</f>
        <v>0.1716450983</v>
      </c>
      <c r="H6">
        <f>G6*1000000000</f>
        <v>171645098.2614851</v>
      </c>
    </row>
    <row r="7">
      <c r="A7" t="inlineStr">
        <is>
          <t>Block Maven LLC</t>
        </is>
      </c>
      <c r="B7" t="inlineStr">
        <is>
          <t>Seed</t>
        </is>
      </c>
      <c r="C7" t="inlineStr">
        <is>
          <t>2026-06-01</t>
        </is>
      </c>
      <c r="D7" t="n">
        <v>1875000</v>
      </c>
      <c r="E7" t="n">
        <v>10923702.5641339</v>
      </c>
      <c r="F7">
        <f>E7/1000000000</f>
        <v>0.0109237026</v>
      </c>
      <c r="G7">
        <f>D7/E7</f>
        <v>0.1716450983</v>
      </c>
      <c r="H7">
        <f>G7*1000000000</f>
        <v>171645098.2614851</v>
      </c>
    </row>
    <row r="8">
      <c r="A8" t="inlineStr">
        <is>
          <t>Covey</t>
        </is>
      </c>
      <c r="B8" t="inlineStr">
        <is>
          <t>Seed</t>
        </is>
      </c>
      <c r="C8" t="inlineStr">
        <is>
          <t>2025-12-13</t>
        </is>
      </c>
      <c r="D8" t="n">
        <v>1875000</v>
      </c>
      <c r="E8" t="n">
        <v>10923702.5641339</v>
      </c>
      <c r="F8">
        <f>E8/1000000000</f>
        <v>0.0109237026</v>
      </c>
      <c r="G8">
        <f>D8/E8</f>
        <v>0.1716450983</v>
      </c>
      <c r="H8">
        <f>G8*1000000000</f>
        <v>171645098.2614851</v>
      </c>
    </row>
    <row r="9">
      <c r="A9" t="inlineStr">
        <is>
          <t>KOL / strategic round (via T-Rex, K1, Nebula)</t>
        </is>
      </c>
      <c r="B9" t="inlineStr">
        <is>
          <t>KOL / strategic</t>
        </is>
      </c>
      <c r="C9" t="inlineStr">
        <is>
          <t>2026-01</t>
        </is>
      </c>
      <c r="D9" t="n">
        <v>500000</v>
      </c>
      <c r="E9" t="n">
        <v>2278984.22091329</v>
      </c>
      <c r="F9">
        <f>E9/1000000000</f>
        <v>0.0022789842</v>
      </c>
      <c r="G9">
        <f>D9/E9</f>
        <v>0.2193959903</v>
      </c>
      <c r="H9">
        <f>G9*1000000000</f>
        <v>219395990.2888787</v>
      </c>
    </row>
    <row r="10">
      <c r="A10" t="inlineStr">
        <is>
          <t>New round</t>
        </is>
      </c>
      <c r="B10" t="inlineStr">
        <is>
          <t>New round</t>
        </is>
      </c>
      <c r="C10" t="inlineStr">
        <is>
          <t>2026</t>
        </is>
      </c>
      <c r="D10" t="n">
        <v>32000000</v>
      </c>
      <c r="E10" t="n">
        <v>200000000</v>
      </c>
      <c r="F10">
        <f>E10/1000000000</f>
        <v>0.2</v>
      </c>
      <c r="G10">
        <f>D10/E10</f>
        <v>0.16</v>
      </c>
      <c r="H10">
        <f>G10*1000000000</f>
        <v>160000000.0</v>
      </c>
    </row>
    <row r="11">
      <c r="A11" t="inlineStr">
        <is>
          <t>Total</t>
        </is>
      </c>
      <c r="B11" t="inlineStr"/>
      <c r="C11" t="inlineStr"/>
      <c r="D11">
        <f>SUM(D2:D10)</f>
        <v>48500000.0</v>
      </c>
      <c r="E11">
        <f>SUM(E2:E10)</f>
        <v>300000000.0</v>
      </c>
      <c r="F11">
        <f>E11/1000000000</f>
        <v>0.3</v>
      </c>
      <c r="G11" t="inlineStr"/>
      <c r="H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Pocket</t>
        </is>
      </c>
      <c r="B1" s="1" t="inlineStr">
        <is>
          <t>Class</t>
        </is>
      </c>
      <c r="C1" s="1" t="inlineStr">
        <is>
          <t>KNX</t>
        </is>
      </c>
      <c r="D1" s="1" t="inlineStr">
        <is>
          <t>% of supply</t>
        </is>
      </c>
      <c r="E1" s="1" t="inlineStr">
        <is>
          <t>Unlocked at TGE</t>
        </is>
      </c>
      <c r="F1" s="1" t="inlineStr">
        <is>
          <t>Release</t>
        </is>
      </c>
    </row>
    <row r="2">
      <c r="A2" t="inlineStr">
        <is>
          <t>Pre-seed (Brandon Torres Declet)</t>
        </is>
      </c>
      <c r="B2" t="inlineStr">
        <is>
          <t>Investors</t>
        </is>
      </c>
      <c r="C2" t="n">
        <v>10331395.2660156</v>
      </c>
      <c r="D2">
        <f>C2/1000000000</f>
        <v>0.0103313953</v>
      </c>
      <c r="E2" t="n">
        <v>0</v>
      </c>
      <c r="F2" t="inlineStr">
        <is>
          <t>(1.03%): 0% TGE, 1Y cliff, 48M linear (T+13-T+60).</t>
        </is>
      </c>
    </row>
    <row r="3">
      <c r="A3" t="inlineStr">
        <is>
          <t>Seed (LD Capital)</t>
        </is>
      </c>
      <c r="B3" t="inlineStr">
        <is>
          <t>Investors</t>
        </is>
      </c>
      <c r="C3" t="n">
        <v>27309256.4103347</v>
      </c>
      <c r="D3">
        <f>C3/1000000000</f>
        <v>0.0273092564</v>
      </c>
      <c r="E3" t="n">
        <v>0</v>
      </c>
      <c r="F3" t="inlineStr">
        <is>
          <t>(2.73%): 0% TGE, 1Y cliff, 48M linear (T+13-T+60).</t>
        </is>
      </c>
    </row>
    <row r="4">
      <c r="A4" t="inlineStr">
        <is>
          <t>Seed (Cogitent)</t>
        </is>
      </c>
      <c r="B4" t="inlineStr">
        <is>
          <t>Investors</t>
        </is>
      </c>
      <c r="C4" t="n">
        <v>16385553.8462008</v>
      </c>
      <c r="D4">
        <f>C4/1000000000</f>
        <v>0.0163855538</v>
      </c>
      <c r="E4" t="n">
        <v>0</v>
      </c>
      <c r="F4" t="inlineStr">
        <is>
          <t>(1.64%): 0% TGE, 1Y cliff, 48M linear (T+13-T+60).</t>
        </is>
      </c>
    </row>
    <row r="5">
      <c r="A5" t="inlineStr">
        <is>
          <t>Seed (Leland)</t>
        </is>
      </c>
      <c r="B5" t="inlineStr">
        <is>
          <t>Investors</t>
        </is>
      </c>
      <c r="C5" t="n">
        <v>10923702.5641339</v>
      </c>
      <c r="D5">
        <f>C5/1000000000</f>
        <v>0.0109237026</v>
      </c>
      <c r="E5" t="n">
        <v>0</v>
      </c>
      <c r="F5" t="inlineStr">
        <is>
          <t>(1.09%): 0% TGE, 1Y cliff, 48M linear (T+13-T+60).</t>
        </is>
      </c>
    </row>
    <row r="6">
      <c r="A6" t="inlineStr">
        <is>
          <t>Seed (M77)</t>
        </is>
      </c>
      <c r="B6" t="inlineStr">
        <is>
          <t>Investors</t>
        </is>
      </c>
      <c r="C6" t="n">
        <v>10923702.5641339</v>
      </c>
      <c r="D6">
        <f>C6/1000000000</f>
        <v>0.0109237026</v>
      </c>
      <c r="E6" t="n">
        <v>0</v>
      </c>
      <c r="F6" t="inlineStr">
        <is>
          <t>(1.09%): 0% TGE, 1Y cliff, 48M linear (T+13-T+60).</t>
        </is>
      </c>
    </row>
    <row r="7">
      <c r="A7" t="inlineStr">
        <is>
          <t>Seed (Block Maven)</t>
        </is>
      </c>
      <c r="B7" t="inlineStr">
        <is>
          <t>Investors</t>
        </is>
      </c>
      <c r="C7" t="n">
        <v>10923702.5641339</v>
      </c>
      <c r="D7">
        <f>C7/1000000000</f>
        <v>0.0109237026</v>
      </c>
      <c r="E7" t="n">
        <v>0</v>
      </c>
      <c r="F7" t="inlineStr">
        <is>
          <t>(1.09%): 0% TGE, 1Y cliff, 48M linear (T+13-T+60).</t>
        </is>
      </c>
    </row>
    <row r="8">
      <c r="A8" t="inlineStr">
        <is>
          <t>Seed (Covey)</t>
        </is>
      </c>
      <c r="B8" t="inlineStr">
        <is>
          <t>Investors</t>
        </is>
      </c>
      <c r="C8" t="n">
        <v>10923702.5641339</v>
      </c>
      <c r="D8">
        <f>C8/1000000000</f>
        <v>0.0109237026</v>
      </c>
      <c r="E8" t="n">
        <v>0</v>
      </c>
      <c r="F8" t="inlineStr">
        <is>
          <t>(1.09%): 0% TGE, 1Y cliff, 48M linear (T+13-T+60).</t>
        </is>
      </c>
    </row>
    <row r="9">
      <c r="A9" t="inlineStr">
        <is>
          <t>KOL Round (tokens sent to MKT agencies)</t>
        </is>
      </c>
      <c r="B9" t="inlineStr">
        <is>
          <t>Investors</t>
        </is>
      </c>
      <c r="C9" t="n">
        <v>2278984.22091329</v>
      </c>
      <c r="D9">
        <f>C9/1000000000</f>
        <v>0.0022789842</v>
      </c>
      <c r="E9" t="n">
        <v>0</v>
      </c>
      <c r="F9" t="inlineStr">
        <is>
          <t>(0.23%): 0% TGE, 1Y cliff, 48M linear (T+13-T+60).</t>
        </is>
      </c>
    </row>
    <row r="10">
      <c r="A10" t="inlineStr">
        <is>
          <t>Mining + Validator Emissions Development</t>
        </is>
      </c>
      <c r="B10" t="inlineStr">
        <is>
          <t>Emissions</t>
        </is>
      </c>
      <c r="C10" t="n">
        <v>430000000</v>
      </c>
      <c r="D10">
        <f>C10/1000000000</f>
        <v>0.43</v>
      </c>
      <c r="E10" t="n">
        <v>0</v>
      </c>
      <c r="F10" t="inlineStr">
        <is>
          <t>Declining annual cap: 48M in Yr1, stepping down 15%/yr; actual issuance = lesser of the cap and a usage-linked formula (KNX per verified attested task, halving annually). Starts T+4.</t>
        </is>
      </c>
    </row>
    <row r="11">
      <c r="A11" t="inlineStr">
        <is>
          <t>Marketing</t>
        </is>
      </c>
      <c r="B11" t="inlineStr">
        <is>
          <t>Marketing</t>
        </is>
      </c>
      <c r="C11" t="n">
        <v>95000000</v>
      </c>
      <c r="D11">
        <f>C11/1000000000</f>
        <v>0.095</v>
      </c>
      <c r="E11" t="n">
        <v>40000000</v>
      </c>
      <c r="F11" t="inlineStr">
        <is>
          <t>(9.50%): 40M unlocked at TGE (itemised against listing &amp; liquidity obligations); 55M linear T+1-T+30.</t>
        </is>
      </c>
    </row>
    <row r="12">
      <c r="A12" t="inlineStr">
        <is>
          <t>Treasury and Reserves</t>
        </is>
      </c>
      <c r="B12" t="inlineStr">
        <is>
          <t>Treasury</t>
        </is>
      </c>
      <c r="C12" t="n">
        <v>50000000</v>
      </c>
      <c r="D12">
        <f>C12/1000000000</f>
        <v>0.05</v>
      </c>
      <c r="E12" t="n">
        <v>1000000</v>
      </c>
      <c r="F12" t="inlineStr">
        <is>
          <t>(5.00%): 2% TGE, 6M cliff on remainder, 2.5Y linear monthly vesting (M7–M36)</t>
        </is>
      </c>
    </row>
    <row r="13">
      <c r="A13" t="inlineStr">
        <is>
          <t>Foundation</t>
        </is>
      </c>
      <c r="B13" t="inlineStr">
        <is>
          <t>Foundation</t>
        </is>
      </c>
      <c r="C13" t="n">
        <v>40000000</v>
      </c>
      <c r="D13">
        <f>C13/1000000000</f>
        <v>0.04</v>
      </c>
      <c r="E13" t="n">
        <v>1000000</v>
      </c>
      <c r="F13" t="inlineStr">
        <is>
          <t>(4.00%): 2.5% TGE, 1Y cliff on remainder, 2Y linear monthly vesting (M12–M36)</t>
        </is>
      </c>
    </row>
    <row r="14">
      <c r="A14" t="inlineStr">
        <is>
          <t>Team</t>
        </is>
      </c>
      <c r="B14" t="inlineStr">
        <is>
          <t>Team and advisors</t>
        </is>
      </c>
      <c r="C14" t="n">
        <v>50000000</v>
      </c>
      <c r="D14">
        <f>C14/1000000000</f>
        <v>0.05</v>
      </c>
      <c r="E14" t="n">
        <v>0</v>
      </c>
      <c r="F14" t="inlineStr">
        <is>
          <t>(5.00%): 0% TGE, 1Y cliff on remainder, 2Y linear monthly vesting (M13–M38)</t>
        </is>
      </c>
    </row>
    <row r="15">
      <c r="A15" t="inlineStr">
        <is>
          <t>Liquidity / MM</t>
        </is>
      </c>
      <c r="B15" t="inlineStr">
        <is>
          <t>Liquidity</t>
        </is>
      </c>
      <c r="C15" t="n">
        <v>30000000</v>
      </c>
      <c r="D15">
        <f>C15/1000000000</f>
        <v>0.03</v>
      </c>
      <c r="E15" t="n">
        <v>30000000</v>
      </c>
      <c r="F15" t="inlineStr">
        <is>
          <t>(3.00%): Fully unlock at TGE - market-maker retainer inventory.</t>
        </is>
      </c>
    </row>
    <row r="16">
      <c r="A16" t="inlineStr">
        <is>
          <t>New Round</t>
        </is>
      </c>
      <c r="B16" t="inlineStr">
        <is>
          <t>New round</t>
        </is>
      </c>
      <c r="C16" t="n">
        <v>200000000</v>
      </c>
      <c r="D16">
        <f>C16/1000000000</f>
        <v>0.2</v>
      </c>
      <c r="E16" t="n">
        <v>0</v>
      </c>
      <c r="F16" t="inlineStr">
        <is>
          <t>(20.00%): 0% TGE, 1Y cliff, 24M linear (T+13-T+36).</t>
        </is>
      </c>
    </row>
    <row r="17">
      <c r="A17" t="inlineStr">
        <is>
          <t>Community Airdrop</t>
        </is>
      </c>
      <c r="B17" t="inlineStr">
        <is>
          <t>Community airdrop</t>
        </is>
      </c>
      <c r="C17" t="n">
        <v>5000000</v>
      </c>
      <c r="D17">
        <f>C17/1000000000</f>
        <v>0.005</v>
      </c>
      <c r="E17" t="n">
        <v>5000000</v>
      </c>
      <c r="F17" t="inlineStr">
        <is>
          <t>(0.50%): Fully unlock at TGE - retroactive, unconditional community airdrop.</t>
        </is>
      </c>
    </row>
    <row r="18">
      <c r="A18" t="inlineStr">
        <is>
          <t>Estimated Validator  / Emission Rewards</t>
        </is>
      </c>
      <c r="B18" t="inlineStr">
        <is>
          <t>Emissions (rewards paid from the emissions pocket)</t>
        </is>
      </c>
      <c r="C18" t="n">
        <v>0</v>
      </c>
      <c r="D18">
        <f>C18/1000000000</f>
        <v>0.0</v>
      </c>
      <c r="E18" t="n">
        <v>0</v>
      </c>
      <c r="F18" t="inlineStr"/>
    </row>
    <row r="19">
      <c r="A19" t="inlineStr">
        <is>
          <t>Total</t>
        </is>
      </c>
      <c r="B19" t="inlineStr"/>
      <c r="C19">
        <f>SUM(C2:C18)</f>
        <v>1000000000.0</v>
      </c>
      <c r="D19">
        <f>C19/1000000000</f>
        <v>1.0</v>
      </c>
      <c r="E19">
        <f>SUM(E2:E18)</f>
        <v>77000000.0</v>
      </c>
      <c r="F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Entity</t>
        </is>
      </c>
      <c r="B1" s="1" t="inlineStr">
        <is>
          <t>Capital or instrument</t>
        </is>
      </c>
      <c r="C1" s="1" t="inlineStr">
        <is>
          <t>Holder</t>
        </is>
      </c>
      <c r="D1" s="1" t="inlineStr">
        <is>
          <t>Source</t>
        </is>
      </c>
    </row>
    <row r="2">
      <c r="A2" t="inlineStr">
        <is>
          <t>Dalithium Inc (BVI, company no. 2210176)</t>
        </is>
      </c>
      <c r="B2" t="inlineStr">
        <is>
          <t>50,000 ordinary shares (entire authorised capital)</t>
        </is>
      </c>
      <c r="C2" t="inlineStr">
        <is>
          <t>Dalithium Foundation (Panama), 100%</t>
        </is>
      </c>
      <c r="D2" t="inlineStr">
        <is>
          <t>Register of Members 2 Jun 2026; Share Certificate No. 1, 29 May 2026</t>
        </is>
      </c>
    </row>
    <row r="3">
      <c r="A3" t="inlineStr">
        <is>
          <t>Dalithium Inc (BVI)</t>
        </is>
      </c>
      <c r="B3" t="inlineStr">
        <is>
          <t>USD 2,000,000 equity investment, Brandon Torres Declet, closed December 2025 (unconverted SAFE per Upbit shareholder list)</t>
        </is>
      </c>
      <c r="C3" t="inlineStr"/>
      <c r="D3" t="inlineStr">
        <is>
          <t>Coinbase PLQ Q41; Upbit sheet 8-1</t>
        </is>
      </c>
    </row>
    <row r="4">
      <c r="A4" t="inlineStr">
        <is>
          <t>Konnex Inc (Liberia, C-129951)</t>
        </is>
      </c>
      <c r="B4" t="inlineStr">
        <is>
          <t>1 of 500 authorised registered shares</t>
        </is>
      </c>
      <c r="C4" t="inlineStr">
        <is>
          <t>Pablo Pérez Pazos, 100%</t>
        </is>
      </c>
      <c r="D4" t="inlineStr">
        <is>
          <t>Registers 29 Jan 2026; Declaration of Incumbency 23 Mar 2026</t>
        </is>
      </c>
    </row>
    <row r="5">
      <c r="A5" t="inlineStr">
        <is>
          <t>Dalithium Foundation (Panama, Record 25066646)</t>
        </is>
      </c>
      <c r="B5" t="inlineStr">
        <is>
          <t>private-interest foundation, no shares</t>
        </is>
      </c>
      <c r="C5" t="inlineStr">
        <is>
          <t>founder of record CL Corporate Services Inc.; beneficial owner of record Pablo Pérez Pazos</t>
        </is>
      </c>
      <c r="D5" t="inlineStr">
        <is>
          <t>Public Registry certificate 27 May 2026; Register of Beneficial 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Expected</t>
        </is>
      </c>
      <c r="D1" s="1" t="inlineStr">
        <is>
          <t>OK</t>
        </is>
      </c>
    </row>
    <row r="2">
      <c r="A2" t="inlineStr">
        <is>
          <t>Pockets sum</t>
        </is>
      </c>
      <c r="B2">
        <f>Buckets!C19</f>
        <v>1000000000.0</v>
      </c>
      <c r="C2" t="n">
        <v>1000000000</v>
      </c>
      <c r="D2" t="b">
        <f>ABS(B2-C2)&lt;1</f>
        <v>1</v>
      </c>
    </row>
    <row r="3">
      <c r="A3" t="inlineStr">
        <is>
          <t>Investor KNX</t>
        </is>
      </c>
      <c r="B3">
        <f>Holders!E11</f>
        <v>300000000.0</v>
      </c>
      <c r="C3" t="n">
        <v>300000000</v>
      </c>
      <c r="D3" t="b">
        <f>ABS(B3-C3)&lt;1</f>
        <v>1</v>
      </c>
    </row>
    <row r="4">
      <c r="A4" t="inlineStr">
        <is>
          <t>Capital USD</t>
        </is>
      </c>
      <c r="B4">
        <f>Holders!D11</f>
        <v>48500000.0</v>
      </c>
      <c r="C4" t="n">
        <v>48500000</v>
      </c>
      <c r="D4" t="b">
        <f>ABS(B4-C4)&lt;1</f>
        <v>1</v>
      </c>
    </row>
    <row r="5">
      <c r="A5" t="inlineStr">
        <is>
          <t>TGE unlock</t>
        </is>
      </c>
      <c r="B5">
        <f>Buckets!E19</f>
        <v>77000000.0</v>
      </c>
      <c r="C5" t="n">
        <v>77000000</v>
      </c>
      <c r="D5" t="b">
        <f>ABS(B5-C5)&lt;1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2026-09-17T12:12:00Z</dcterms:created>
  <dcterms:modified xmlns:dcterms="http://purl.org/dc/terms/" xmlns:xsi="http://www.w3.org/2001/XMLSchema-instance" xsi:type="dcterms:W3CDTF">2026-09-17T12:12:00Z</dcterms:modified>
</cp:coreProperties>
</file>