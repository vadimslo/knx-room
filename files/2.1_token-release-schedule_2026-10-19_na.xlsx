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ken Release Schedule" sheetId="1" state="visible" r:id="rId3"/>
    <sheet name="InvestorInsiders Breakdown" sheetId="2" state="visible" r:id="rId4"/>
    <sheet name="Monetary Polic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<sst xmlns="http://schemas.openxmlformats.org/spreadsheetml/2006/main" count="311" uniqueCount="237">
  <si>
    <t xml:space="preserve">KNX Token Release Schedule · $32M round: $28M main close @ $0.16 + $4M top-up @ $0.20 · TGE target Q1 2027 (model working date 5 Feb 2027) · listing reference $0.20</t>
  </si>
  <si>
    <t xml:space="preserve">Round in two closes: Main $28.0M @ $0.16 (175M) by 31 Dec 2026, plus Top-Up $4.0M @ $0.20 (20M): 195M to new money (19.5%). Existing holders 100M, 12m cliff + 48m vest. KOLpad allocations 15M at the $0.20 reference (KOLs and Mindo commission; 20% TGE, 40% M1, 40% M2). Day-one float 5.3% (53M), itemized: venue 1 25M · venue 2 6M · Aerodrome pool 4M · MM loan 10M (returnable) · airdrop 5M · KOLpad 3M. Treasury and Foundation 0% at TGE. Emissions up to 485M (48.5%) under the declining cap. Listing reference $0.20, set at listing.</t>
  </si>
  <si>
    <t xml:space="preserve">Open items (yellow): second venue for the 0.6% · contents of the 2.5% venue allocation · Treasury and Foundation start months · MM sizing · top-up size · KOLpad token count moves with the listing price.</t>
  </si>
  <si>
    <t xml:space="preserve">Pocket</t>
  </si>
  <si>
    <t xml:space="preserve">Pre-seed (Brandon Torres Declet)</t>
  </si>
  <si>
    <t xml:space="preserve">Seed (LD Capital)</t>
  </si>
  <si>
    <t xml:space="preserve">Seed (Cogitent)</t>
  </si>
  <si>
    <t xml:space="preserve">Seed (Leland)</t>
  </si>
  <si>
    <t xml:space="preserve">Seed (M77)</t>
  </si>
  <si>
    <t xml:space="preserve">Seed (Block Maven)</t>
  </si>
  <si>
    <t xml:space="preserve">Seed (Covey)</t>
  </si>
  <si>
    <t xml:space="preserve">KOL round (T-Rex, K1, Nebula)</t>
  </si>
  <si>
    <t xml:space="preserve">New round: main close</t>
  </si>
  <si>
    <t xml:space="preserve">New round: top-up close</t>
  </si>
  <si>
    <t xml:space="preserve">KOLpad: KOLs and Mindo commission</t>
  </si>
  <si>
    <t xml:space="preserve">Mining and validator emissions</t>
  </si>
  <si>
    <t xml:space="preserve">Marketing and exchanges</t>
  </si>
  <si>
    <t xml:space="preserve">Treasury and reserves</t>
  </si>
  <si>
    <t xml:space="preserve">Foundation</t>
  </si>
  <si>
    <t xml:space="preserve">Team and advisors</t>
  </si>
  <si>
    <t xml:space="preserve">Liquidity / MM</t>
  </si>
  <si>
    <t xml:space="preserve">Community airdrop</t>
  </si>
  <si>
    <t xml:space="preserve">SCENARIO SUMMARY</t>
  </si>
  <si>
    <t xml:space="preserve">Emissions cap (per month)</t>
  </si>
  <si>
    <t xml:space="preserve">Investor / note</t>
  </si>
  <si>
    <t xml:space="preserve">existing</t>
  </si>
  <si>
    <t xml:space="preserve">New round: anchor and syndicate, by 31 Dec 2026</t>
  </si>
  <si>
    <t xml:space="preserve">New round</t>
  </si>
  <si>
    <t xml:space="preserve">KOLpad Marketing Raise Agreement, as amended 17 Oct 2026</t>
  </si>
  <si>
    <t xml:space="preserve">auto-balance</t>
  </si>
  <si>
    <t xml:space="preserve">company allocation</t>
  </si>
  <si>
    <t xml:space="preserve">Existing holders (tokens / %)</t>
  </si>
  <si>
    <t xml:space="preserve">Yr 1</t>
  </si>
  <si>
    <t xml:space="preserve">$ committed</t>
  </si>
  <si>
    <t xml:space="preserve">Existing effective price</t>
  </si>
  <si>
    <t xml:space="preserve">Yr 2</t>
  </si>
  <si>
    <t xml:space="preserve">Price / token</t>
  </si>
  <si>
    <t xml:space="preserve">New round (tokens / %)</t>
  </si>
  <si>
    <t xml:space="preserve">Yr 3</t>
  </si>
  <si>
    <t xml:space="preserve">Tokens allocated</t>
  </si>
  <si>
    <t xml:space="preserve">New round raised</t>
  </si>
  <si>
    <t xml:space="preserve">Yr 4</t>
  </si>
  <si>
    <t xml:space="preserve">% of supply</t>
  </si>
  <si>
    <t xml:space="preserve">Blended new price</t>
  </si>
  <si>
    <t xml:space="preserve">Yr 5</t>
  </si>
  <si>
    <t xml:space="preserve">TGE unlock (tokens)</t>
  </si>
  <si>
    <t xml:space="preserve">FDV @ blended price</t>
  </si>
  <si>
    <t xml:space="preserve">Yr 6</t>
  </si>
  <si>
    <t xml:space="preserve">Vesting</t>
  </si>
  <si>
    <t xml:space="preserve">0% TGE; 12-mo cliff; linear M13 to M60 (48-mo)</t>
  </si>
  <si>
    <t xml:space="preserve">0% TGE; 12-mo cliff; linear M13 to M36: main close @ $0.16</t>
  </si>
  <si>
    <t xml:space="preserve">0% TGE; 12-mo cliff; linear M13 to M36: top-up close @ $0.20</t>
  </si>
  <si>
    <t xml:space="preserve">20% TGE; 40% M1; 40% M2</t>
  </si>
  <si>
    <t xml:space="preserve">Cap: 48M/yr −15%/yr from M4; issuance = min(cap, usage)</t>
  </si>
  <si>
    <t xml:space="preserve">35M itemized at TGE (venue 1 25 · venue 2 6 · Aerodrome 4); 15M ops linear M1 to M30</t>
  </si>
  <si>
    <t xml:space="preserve">0% TGE; linear M7 to M36 (start month TBC)</t>
  </si>
  <si>
    <t xml:space="preserve">0% TGE; linear M13 to M36 (start month TBC)</t>
  </si>
  <si>
    <t xml:space="preserve">2,000,000/month M14 to M38</t>
  </si>
  <si>
    <t xml:space="preserve">10M at TGE: returnable MM loan; terms published; sizing TBC</t>
  </si>
  <si>
    <t xml:space="preserve">100% at TGE: retroactive, unconditional (0.5%)</t>
  </si>
  <si>
    <t xml:space="preserve">Total investors % of supply</t>
  </si>
  <si>
    <t xml:space="preserve">Yr 7</t>
  </si>
  <si>
    <t xml:space="preserve">Supply check (= 1,000,000,000)</t>
  </si>
  <si>
    <t xml:space="preserve">Yr 8</t>
  </si>
  <si>
    <t xml:space="preserve">TGE circulating (tokens / %)</t>
  </si>
  <si>
    <t xml:space="preserve">Month</t>
  </si>
  <si>
    <t xml:space="preserve">m</t>
  </si>
  <si>
    <t xml:space="preserve">Circulating #</t>
  </si>
  <si>
    <t xml:space="preserve">Circulating %</t>
  </si>
  <si>
    <t xml:space="preserve">DAY-ONE FLOAT</t>
  </si>
  <si>
    <t xml:space="preserve">T+0M (TGE)</t>
  </si>
  <si>
    <t xml:space="preserve">KOLpad tokens (tokens / %)</t>
  </si>
  <si>
    <t xml:space="preserve">Venue 1 obligations</t>
  </si>
  <si>
    <t xml:space="preserve">T+1M</t>
  </si>
  <si>
    <t xml:space="preserve">Emissions pot (tokens / %)</t>
  </si>
  <si>
    <t xml:space="preserve">Venue 2</t>
  </si>
  <si>
    <t xml:space="preserve">T+2M</t>
  </si>
  <si>
    <t xml:space="preserve">KOLPAD ALLOCATIONS</t>
  </si>
  <si>
    <t xml:space="preserve">Aerodrome pool</t>
  </si>
  <si>
    <t xml:space="preserve">T+3M</t>
  </si>
  <si>
    <t xml:space="preserve">KOLpad contribution base ($)</t>
  </si>
  <si>
    <t xml:space="preserve">MM loan (returnable)</t>
  </si>
  <si>
    <t xml:space="preserve">T+4M</t>
  </si>
  <si>
    <t xml:space="preserve">Mindo commission (% of contributions, paid in tokens)</t>
  </si>
  <si>
    <t xml:space="preserve">T+5M</t>
  </si>
  <si>
    <t xml:space="preserve">KOL and Mindo discount to TGE valuation</t>
  </si>
  <si>
    <t xml:space="preserve">KOLpad (20% at TGE)</t>
  </si>
  <si>
    <t xml:space="preserve">T+6M</t>
  </si>
  <si>
    <t xml:space="preserve">Listing reference price ($)</t>
  </si>
  <si>
    <t xml:space="preserve">TOTAL (5.3%)</t>
  </si>
  <si>
    <t xml:space="preserve">T+7M</t>
  </si>
  <si>
    <t xml:space="preserve">Effective KOLpad token price ($)</t>
  </si>
  <si>
    <t xml:space="preserve">T+8M</t>
  </si>
  <si>
    <t xml:space="preserve">KOL tokens (100% of contributions)</t>
  </si>
  <si>
    <t xml:space="preserve">T+9M</t>
  </si>
  <si>
    <t xml:space="preserve">Mindo commission tokens</t>
  </si>
  <si>
    <t xml:space="preserve">T+10M</t>
  </si>
  <si>
    <t xml:space="preserve">KOLpad tokens, total</t>
  </si>
  <si>
    <t xml:space="preserve">T+11M</t>
  </si>
  <si>
    <t xml:space="preserve">Notional value at listing reference ($)</t>
  </si>
  <si>
    <t xml:space="preserve">T+12M</t>
  </si>
  <si>
    <t xml:space="preserve">TGE unlock check: row 10 total vs month-0 row</t>
  </si>
  <si>
    <t xml:space="preserve">T+13M</t>
  </si>
  <si>
    <t xml:space="preserve">T+14M</t>
  </si>
  <si>
    <t xml:space="preserve">T+15M</t>
  </si>
  <si>
    <t xml:space="preserve">T+16M</t>
  </si>
  <si>
    <t xml:space="preserve">T+17M</t>
  </si>
  <si>
    <t xml:space="preserve">T+18M</t>
  </si>
  <si>
    <t xml:space="preserve">T+19M</t>
  </si>
  <si>
    <t xml:space="preserve">T+20M</t>
  </si>
  <si>
    <t xml:space="preserve">T+21M</t>
  </si>
  <si>
    <t xml:space="preserve">T+22M</t>
  </si>
  <si>
    <t xml:space="preserve">T+23M</t>
  </si>
  <si>
    <t xml:space="preserve">T+24M</t>
  </si>
  <si>
    <t xml:space="preserve">T+25M</t>
  </si>
  <si>
    <t xml:space="preserve">T+26M</t>
  </si>
  <si>
    <t xml:space="preserve">T+27M</t>
  </si>
  <si>
    <t xml:space="preserve">T+28M</t>
  </si>
  <si>
    <t xml:space="preserve">T+29M</t>
  </si>
  <si>
    <t xml:space="preserve">T+30M</t>
  </si>
  <si>
    <t xml:space="preserve">T+31M</t>
  </si>
  <si>
    <t xml:space="preserve">T+32M</t>
  </si>
  <si>
    <t xml:space="preserve">T+33M</t>
  </si>
  <si>
    <t xml:space="preserve">T+34M</t>
  </si>
  <si>
    <t xml:space="preserve">T+35M</t>
  </si>
  <si>
    <t xml:space="preserve">T+36M</t>
  </si>
  <si>
    <t xml:space="preserve">T+37M</t>
  </si>
  <si>
    <t xml:space="preserve">T+38M</t>
  </si>
  <si>
    <t xml:space="preserve">T+39M</t>
  </si>
  <si>
    <t xml:space="preserve">T+40M</t>
  </si>
  <si>
    <t xml:space="preserve">T+41M</t>
  </si>
  <si>
    <t xml:space="preserve">T+42M</t>
  </si>
  <si>
    <t xml:space="preserve">T+43M</t>
  </si>
  <si>
    <t xml:space="preserve">T+44M</t>
  </si>
  <si>
    <t xml:space="preserve">T+45M</t>
  </si>
  <si>
    <t xml:space="preserve">T+46M</t>
  </si>
  <si>
    <t xml:space="preserve">T+47M</t>
  </si>
  <si>
    <t xml:space="preserve">T+48M</t>
  </si>
  <si>
    <t xml:space="preserve">T+49M</t>
  </si>
  <si>
    <t xml:space="preserve">T+50M</t>
  </si>
  <si>
    <t xml:space="preserve">T+51M</t>
  </si>
  <si>
    <t xml:space="preserve">T+52M</t>
  </si>
  <si>
    <t xml:space="preserve">T+53M</t>
  </si>
  <si>
    <t xml:space="preserve">T+54M</t>
  </si>
  <si>
    <t xml:space="preserve">T+55M</t>
  </si>
  <si>
    <t xml:space="preserve">T+56M</t>
  </si>
  <si>
    <t xml:space="preserve">T+57M</t>
  </si>
  <si>
    <t xml:space="preserve">T+58M</t>
  </si>
  <si>
    <t xml:space="preserve">T+59M</t>
  </si>
  <si>
    <t xml:space="preserve">T+60M</t>
  </si>
  <si>
    <t xml:space="preserve">Investor, team and advisor breakdown. Investor-room copy: individual wallet addresses are held in tier 2.</t>
  </si>
  <si>
    <t xml:space="preserve">Investor/Insiders breakdown (full cap table) -- add rows if necessary</t>
  </si>
  <si>
    <t xml:space="preserve">Top 10 investors (excluding team)</t>
  </si>
  <si>
    <t xml:space="preserve">Divide by the current circulating supply in Token Release Schedule tab</t>
  </si>
  <si>
    <t xml:space="preserve">Date</t>
  </si>
  <si>
    <t xml:space="preserve">Investment Round</t>
  </si>
  <si>
    <t xml:space="preserve">Cost per token</t>
  </si>
  <si>
    <t xml:space="preserve">Investor</t>
  </si>
  <si>
    <t xml:space="preserve">No. of Tokens Issued</t>
  </si>
  <si>
    <t xml:space="preserve">Allocation %</t>
  </si>
  <si>
    <t xml:space="preserve">ETH/BNB/USDT Contribution Address</t>
  </si>
  <si>
    <t xml:space="preserve">FDV</t>
  </si>
  <si>
    <t xml:space="preserve">Amount Raised</t>
  </si>
  <si>
    <t xml:space="preserve">Token Receiving Address</t>
  </si>
  <si>
    <t xml:space="preserve">Wallet Identity</t>
  </si>
  <si>
    <t xml:space="preserve">Wallet Address</t>
  </si>
  <si>
    <t xml:space="preserve">
% of circulating supply</t>
  </si>
  <si>
    <t xml:space="preserve">
% of total supply </t>
  </si>
  <si>
    <t xml:space="preserve">Equity</t>
  </si>
  <si>
    <t xml:space="preserve">n/a</t>
  </si>
  <si>
    <t xml:space="preserve">Investor 0 - Brandon Torres Declet - Equity</t>
  </si>
  <si>
    <t xml:space="preserve">Pre-Seed</t>
  </si>
  <si>
    <t xml:space="preserve">Investor 1 - Brandon Torres Declet - Pre Seed Investor</t>
  </si>
  <si>
    <t xml:space="preserve">N/A</t>
  </si>
  <si>
    <t xml:space="preserve">Held in tier 2</t>
  </si>
  <si>
    <t xml:space="preserve">18/12/2025</t>
  </si>
  <si>
    <t xml:space="preserve">Seed</t>
  </si>
  <si>
    <t xml:space="preserve">Investor 2 - LD Capital - Seed Investor</t>
  </si>
  <si>
    <t xml:space="preserve">13/12/2025</t>
  </si>
  <si>
    <t xml:space="preserve">Investor 3 - Cogitent - Seed Investor</t>
  </si>
  <si>
    <t xml:space="preserve">19/12/2025</t>
  </si>
  <si>
    <t xml:space="preserve">Investor 4 - Leland - Seed Investor</t>
  </si>
  <si>
    <t xml:space="preserve">Investor 5 - M77 - Seed Investor</t>
  </si>
  <si>
    <t xml:space="preserve">Investor 6 - Block Maven - Seed Investor</t>
  </si>
  <si>
    <t xml:space="preserve">Investor 7 - Covey - Seed Investor</t>
  </si>
  <si>
    <t xml:space="preserve">Investor 8 - KOL Round</t>
  </si>
  <si>
    <t xml:space="preserve">New round: main close (2026)</t>
  </si>
  <si>
    <t xml:space="preserve">New money, main close: anchor + syndicate (names &amp; wallets at close)</t>
  </si>
  <si>
    <t xml:space="preserve">TBC</t>
  </si>
  <si>
    <t xml:space="preserve">New money, top-up close at $0.20 ($200M FDV)</t>
  </si>
  <si>
    <t xml:space="preserve">Make sure the number equals to the checker</t>
  </si>
  <si>
    <t xml:space="preserve">Checker</t>
  </si>
  <si>
    <t xml:space="preserve">The check links to the master tab</t>
  </si>
  <si>
    <t xml:space="preserve">Team breakdown (key members only)</t>
  </si>
  <si>
    <t xml:space="preserve">Team Member Name</t>
  </si>
  <si>
    <t xml:space="preserve">Job Role / Scope</t>
  </si>
  <si>
    <t xml:space="preserve">Jon Ollwerther</t>
  </si>
  <si>
    <t xml:space="preserve">Chairman</t>
  </si>
  <si>
    <t xml:space="preserve">Pablo Pérez Pazos</t>
  </si>
  <si>
    <t xml:space="preserve">Chief Business Development Officer</t>
  </si>
  <si>
    <t xml:space="preserve">Team reserve (future hires)</t>
  </si>
  <si>
    <t xml:space="preserve">TBD</t>
  </si>
  <si>
    <t xml:space="preserve">Advisor breakdown</t>
  </si>
  <si>
    <t xml:space="preserve">Identity of Top 10 existing token holders (if token is already circulating)</t>
  </si>
  <si>
    <t xml:space="preserve">Advisor</t>
  </si>
  <si>
    <t xml:space="preserve">Description</t>
  </si>
  <si>
    <t xml:space="preserve">% of total supply </t>
  </si>
  <si>
    <t xml:space="preserve">Brandon Torres Declet</t>
  </si>
  <si>
    <t xml:space="preserve">President</t>
  </si>
  <si>
    <t xml:space="preserve">Not applicable: the token is not yet circulating</t>
  </si>
  <si>
    <t xml:space="preserve">Lucas Van Oostrum</t>
  </si>
  <si>
    <t xml:space="preserve">Monetary Policy, Emission Type and Supply Descriptions</t>
  </si>
  <si>
    <t xml:space="preserve">1. Monetary Policy</t>
  </si>
  <si>
    <t xml:space="preserve">THI</t>
  </si>
  <si>
    <t xml:space="preserve">A) Fixed Supply</t>
  </si>
  <si>
    <t xml:space="preserve">B) Non Capped Supply </t>
  </si>
  <si>
    <t xml:space="preserve">B) Non Capped Supply (Inflationary based on emmission type)</t>
  </si>
  <si>
    <t xml:space="preserve">C) Non-Programmatic Deflationary</t>
  </si>
  <si>
    <t xml:space="preserve">C) Non-Programmatic Deflationary: Supply shrinks over time due to non-programmatic mechanisms such as burns (e.g., BNB)</t>
  </si>
  <si>
    <t xml:space="preserve">D) Programmatic Deflationary</t>
  </si>
  <si>
    <t xml:space="preserve">D) Programmatic Deflationary: Supply shrinks over time due to programmatic mechanism (burn schedule, slashing penalties, % of tx value burnt, etc.)</t>
  </si>
  <si>
    <t xml:space="preserve">E) Burn and Mint Equilibrium</t>
  </si>
  <si>
    <t xml:space="preserve">E) Burn and Mint Equilibrium: Tokens burned and, separately, protocol mints new tokens per period. (e.g., Factom)</t>
  </si>
  <si>
    <t xml:space="preserve">F) Other</t>
  </si>
  <si>
    <t xml:space="preserve">2. Emission Type</t>
  </si>
  <si>
    <t xml:space="preserve">A) Increasing Issuance</t>
  </si>
  <si>
    <t xml:space="preserve">A) Increasing Issuance: Amount of coins generated per period (block, day, year), increases over time. </t>
  </si>
  <si>
    <t xml:space="preserve">B) Fixed Inflation Rate</t>
  </si>
  <si>
    <t xml:space="preserve">B) Fixed Inflation Rate: Increasing issuance based on a fixed inflation rate per period of time (block, day, year).</t>
  </si>
  <si>
    <t xml:space="preserve">D) Decreasing Inflation Rate</t>
  </si>
  <si>
    <t xml:space="preserve">D) Decreasing Inflation Rate: Depending on reduction rate of inflation, this model can lead to an increasing, fixed or decreasing issuance per period.</t>
  </si>
  <si>
    <t xml:space="preserve">E) Decreasing Issuance</t>
  </si>
  <si>
    <t xml:space="preserve">E) Decreasing Issuance: The amount of coins generated per period (block, day, year) decreases over time. Leads to an exponential decrease of the inflation rate. (e.g., Bitcoin)</t>
  </si>
  <si>
    <t xml:space="preserve">F) Dynamic Issuance and Inflation Rate</t>
  </si>
  <si>
    <t xml:space="preserve">F) Dynamic Issuance and Inflation Rate: Amount of coins generated per period (block, day, year) or the inflation rate, depend on specific network conditions such as the % of network staking. (E.g., Cosmos monetary policy targeting a total network stake)</t>
  </si>
  <si>
    <t xml:space="preserve">E) Other</t>
  </si>
  <si>
    <t xml:space="preserve">KNX: Monetary Policy = A) Fixed Supply - 1,000,000,000 max, with 100% of protocol revenue to open-market buy-and-burn from TGE (programmatic deflationary pressure). Emission Type = E) Decreasing Issuance - hard annual cap of 48M KNX in year 1 stepping down 15%/yr; actual issuance = the lesser of the cap and a usage-linked formula (KNX per verified attested task, halving annually).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</si>
</sst>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0%"/>
    <numFmt numFmtId="167" formatCode="\$#,##0"/>
    <numFmt numFmtId="168" formatCode="\$0.0000"/>
    <numFmt numFmtId="169" formatCode="General"/>
    <numFmt numFmtId="170" formatCode="0%"/>
    <numFmt numFmtId="171" formatCode="\$0.000"/>
    <numFmt numFmtId="172" formatCode="#,##0;\(#,##0\);\-"/>
    <numFmt numFmtId="173" formatCode="\$#,##0.0000"/>
    <numFmt numFmtId="174" formatCode="0.0"/>
    <numFmt numFmtId="175" formatCode="\$#,##0.00"/>
    <numFmt numFmtId="176" formatCode="#,##0.00"/>
    <numFmt numFmtId="177" formatCode="mm/dd/yyyy"/>
    <numFmt numFmtId="178" formatCode="0.0000%"/>
  </numFmts>
  <fonts count="28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C00000"/>
      <name val="Calibri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Calibri"/>
      <family val="0"/>
      <charset val="1"/>
    </font>
    <font>
      <sz val="8"/>
      <color rgb="FF000000"/>
      <name val="Arial"/>
      <family val="0"/>
      <charset val="1"/>
    </font>
    <font>
      <sz val="9"/>
      <name val="Calibri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3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7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FF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FEFEF"/>
        <bgColor rgb="FFFFF2CC"/>
      </patternFill>
    </fill>
    <fill>
      <patternFill patternType="solid">
        <fgColor rgb="FFFFF2CC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EFEFE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9CDD4"/>
      </left>
      <right/>
      <top style="thin">
        <color rgb="FFC9CDD4"/>
      </top>
      <bottom style="thin">
        <color rgb="FFC9CDD4"/>
      </bottom>
      <diagonal/>
    </border>
    <border diagonalUp="false" diagonalDown="false">
      <left style="thin">
        <color rgb="FFC9CDD4"/>
      </left>
      <right style="thin">
        <color rgb="FFC9CDD4"/>
      </right>
      <top style="thin">
        <color rgb="FFC9CDD4"/>
      </top>
      <bottom style="thin">
        <color rgb="FFC9CDD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9CDD4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C15" activeCellId="0" sqref="C15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"/>
    <col collapsed="false" customWidth="true" hidden="false" outlineLevel="0" max="22" min="3" style="1" width="15"/>
    <col collapsed="false" customWidth="true" hidden="false" outlineLevel="0" max="23" min="23" style="1" width="8.63"/>
    <col collapsed="false" customWidth="true" hidden="false" outlineLevel="0" max="24" min="24" style="1" width="30"/>
    <col collapsed="false" customWidth="true" hidden="false" outlineLevel="0" max="25" min="25" style="1" width="12"/>
    <col collapsed="false" customWidth="true" hidden="false" outlineLevel="0" max="27" min="26" style="1" width="11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" hidden="false" customHeight="true" outlineLevel="0" collapsed="false">
      <c r="A3" s="4" t="s">
        <v>2</v>
      </c>
    </row>
    <row r="4" customFormat="false" ht="30" hidden="false" customHeight="true" outlineLevel="0" collapsed="false">
      <c r="A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/>
      <c r="X4" s="7" t="s">
        <v>22</v>
      </c>
      <c r="Y4" s="7"/>
      <c r="AA4" s="8" t="s">
        <v>23</v>
      </c>
      <c r="AB4" s="8"/>
    </row>
    <row r="5" customFormat="false" ht="24" hidden="false" customHeight="true" outlineLevel="0" collapsed="false">
      <c r="A5" s="5" t="s">
        <v>24</v>
      </c>
      <c r="C5" s="9" t="s">
        <v>25</v>
      </c>
      <c r="D5" s="9" t="s">
        <v>25</v>
      </c>
      <c r="E5" s="9" t="s">
        <v>25</v>
      </c>
      <c r="F5" s="9" t="s">
        <v>25</v>
      </c>
      <c r="G5" s="9" t="s">
        <v>25</v>
      </c>
      <c r="H5" s="9" t="s">
        <v>25</v>
      </c>
      <c r="I5" s="9" t="s">
        <v>25</v>
      </c>
      <c r="J5" s="9" t="s">
        <v>25</v>
      </c>
      <c r="K5" s="9" t="s">
        <v>26</v>
      </c>
      <c r="L5" s="9" t="s">
        <v>27</v>
      </c>
      <c r="M5" s="9" t="s">
        <v>28</v>
      </c>
      <c r="N5" s="9" t="s">
        <v>29</v>
      </c>
      <c r="O5" s="9" t="s">
        <v>30</v>
      </c>
      <c r="P5" s="9" t="s">
        <v>30</v>
      </c>
      <c r="Q5" s="9" t="s">
        <v>30</v>
      </c>
      <c r="R5" s="9" t="s">
        <v>30</v>
      </c>
      <c r="S5" s="9" t="s">
        <v>30</v>
      </c>
      <c r="T5" s="9" t="s">
        <v>30</v>
      </c>
      <c r="U5" s="9"/>
      <c r="X5" s="10" t="s">
        <v>31</v>
      </c>
      <c r="Y5" s="11" t="n">
        <f aca="false">SUM(C8:J8)</f>
        <v>100000000</v>
      </c>
      <c r="Z5" s="12" t="n">
        <f aca="false">Y5/1000000000</f>
        <v>0.1</v>
      </c>
      <c r="AA5" s="13" t="s">
        <v>32</v>
      </c>
      <c r="AB5" s="14" t="n">
        <v>4000000</v>
      </c>
      <c r="AC5" s="14"/>
    </row>
    <row r="6" customFormat="false" ht="15" hidden="false" customHeight="true" outlineLevel="0" collapsed="false">
      <c r="A6" s="5" t="s">
        <v>33</v>
      </c>
      <c r="C6" s="15" t="n">
        <v>1000000</v>
      </c>
      <c r="D6" s="15" t="n">
        <v>4687500</v>
      </c>
      <c r="E6" s="15" t="n">
        <v>2812500</v>
      </c>
      <c r="F6" s="15" t="n">
        <v>1875000</v>
      </c>
      <c r="G6" s="15" t="n">
        <v>1875000</v>
      </c>
      <c r="H6" s="15" t="n">
        <v>1875000</v>
      </c>
      <c r="I6" s="15" t="n">
        <v>1875000</v>
      </c>
      <c r="J6" s="15" t="n">
        <v>500000</v>
      </c>
      <c r="K6" s="16" t="n">
        <f aca="false">K7*K8</f>
        <v>28000000</v>
      </c>
      <c r="L6" s="16" t="n">
        <f aca="false">L7*L8</f>
        <v>4000000</v>
      </c>
      <c r="M6" s="16" t="n">
        <v>0</v>
      </c>
      <c r="N6" s="16"/>
      <c r="X6" s="10" t="s">
        <v>34</v>
      </c>
      <c r="Y6" s="11" t="n">
        <f aca="false">SUM(C6:J6)/SUM(C8:J8)</f>
        <v>0.165</v>
      </c>
      <c r="Z6" s="11"/>
      <c r="AA6" s="13" t="s">
        <v>35</v>
      </c>
      <c r="AB6" s="14" t="n">
        <v>3400000</v>
      </c>
      <c r="AC6" s="14"/>
    </row>
    <row r="7" customFormat="false" ht="15" hidden="false" customHeight="true" outlineLevel="0" collapsed="false">
      <c r="A7" s="5" t="s">
        <v>36</v>
      </c>
      <c r="C7" s="17" t="n">
        <f aca="false">C6/C8</f>
        <v>0.0967923499198317</v>
      </c>
      <c r="D7" s="17" t="n">
        <f aca="false">D6/D8</f>
        <v>0.171645107125771</v>
      </c>
      <c r="E7" s="17" t="n">
        <f aca="false">E6/E8</f>
        <v>0.171645096650379</v>
      </c>
      <c r="F7" s="17" t="n">
        <f aca="false">F6/F8</f>
        <v>0.171645091412683</v>
      </c>
      <c r="G7" s="17" t="n">
        <f aca="false">G6/G8</f>
        <v>0.171645091412683</v>
      </c>
      <c r="H7" s="17" t="n">
        <f aca="false">H6/H8</f>
        <v>0.171645091412683</v>
      </c>
      <c r="I7" s="17" t="n">
        <f aca="false">I6/I8</f>
        <v>0.171645091412683</v>
      </c>
      <c r="J7" s="17" t="n">
        <f aca="false">J6/J8</f>
        <v>0.219396011556027</v>
      </c>
      <c r="K7" s="18" t="n">
        <v>0.16</v>
      </c>
      <c r="L7" s="18" t="n">
        <v>0.2</v>
      </c>
      <c r="M7" s="18" t="n">
        <f aca="false">Y22</f>
        <v>0.12</v>
      </c>
      <c r="N7" s="18"/>
      <c r="X7" s="10" t="s">
        <v>37</v>
      </c>
      <c r="Y7" s="11" t="n">
        <f aca="false">SUM(K8:L8)</f>
        <v>195000000</v>
      </c>
      <c r="Z7" s="12" t="n">
        <f aca="false">Y7/1000000000</f>
        <v>0.195</v>
      </c>
      <c r="AA7" s="13" t="s">
        <v>38</v>
      </c>
      <c r="AB7" s="14" t="n">
        <v>2890000</v>
      </c>
      <c r="AC7" s="14"/>
    </row>
    <row r="8" customFormat="false" ht="15" hidden="false" customHeight="true" outlineLevel="0" collapsed="false">
      <c r="A8" s="5" t="s">
        <v>39</v>
      </c>
      <c r="C8" s="19" t="n">
        <v>10331395</v>
      </c>
      <c r="D8" s="19" t="n">
        <v>27309255</v>
      </c>
      <c r="E8" s="19" t="n">
        <v>16385554</v>
      </c>
      <c r="F8" s="19" t="n">
        <v>10923703</v>
      </c>
      <c r="G8" s="19" t="n">
        <v>10923703</v>
      </c>
      <c r="H8" s="19" t="n">
        <v>10923703</v>
      </c>
      <c r="I8" s="19" t="n">
        <v>10923703</v>
      </c>
      <c r="J8" s="19" t="n">
        <v>2278984</v>
      </c>
      <c r="K8" s="19" t="n">
        <v>175000000</v>
      </c>
      <c r="L8" s="20" t="n">
        <v>20000000</v>
      </c>
      <c r="M8" s="19" t="n">
        <f aca="false">Y25</f>
        <v>15000000</v>
      </c>
      <c r="N8" s="21" t="n">
        <f aca="false">1000000000-SUM(C8:M8)-SUM(O8:T8)</f>
        <v>485000000</v>
      </c>
      <c r="O8" s="20" t="n">
        <v>50000000</v>
      </c>
      <c r="P8" s="22" t="n">
        <v>50000000</v>
      </c>
      <c r="Q8" s="22" t="n">
        <v>40000000</v>
      </c>
      <c r="R8" s="22" t="n">
        <v>50000000</v>
      </c>
      <c r="S8" s="20" t="n">
        <v>10000000</v>
      </c>
      <c r="T8" s="22" t="n">
        <v>5000000</v>
      </c>
      <c r="U8" s="22"/>
      <c r="X8" s="10" t="s">
        <v>40</v>
      </c>
      <c r="Y8" s="11" t="n">
        <f aca="false">SUM(K6:L6)</f>
        <v>32000000</v>
      </c>
      <c r="Z8" s="11"/>
      <c r="AA8" s="13" t="s">
        <v>41</v>
      </c>
      <c r="AB8" s="14" t="n">
        <v>2456500</v>
      </c>
      <c r="AC8" s="14"/>
    </row>
    <row r="9" customFormat="false" ht="15" hidden="false" customHeight="true" outlineLevel="0" collapsed="false">
      <c r="A9" s="5" t="s">
        <v>42</v>
      </c>
      <c r="C9" s="23" t="n">
        <f aca="false">C8/1000000000</f>
        <v>0.010331395</v>
      </c>
      <c r="D9" s="23" t="n">
        <f aca="false">D8/1000000000</f>
        <v>0.027309255</v>
      </c>
      <c r="E9" s="23" t="n">
        <f aca="false">E8/1000000000</f>
        <v>0.016385554</v>
      </c>
      <c r="F9" s="23" t="n">
        <f aca="false">F8/1000000000</f>
        <v>0.010923703</v>
      </c>
      <c r="G9" s="23" t="n">
        <f aca="false">G8/1000000000</f>
        <v>0.010923703</v>
      </c>
      <c r="H9" s="23" t="n">
        <f aca="false">H8/1000000000</f>
        <v>0.010923703</v>
      </c>
      <c r="I9" s="23" t="n">
        <f aca="false">I8/1000000000</f>
        <v>0.010923703</v>
      </c>
      <c r="J9" s="23" t="n">
        <f aca="false">J8/1000000000</f>
        <v>0.002278984</v>
      </c>
      <c r="K9" s="23" t="n">
        <f aca="false">K8/1000000000</f>
        <v>0.175</v>
      </c>
      <c r="L9" s="23" t="n">
        <f aca="false">L8/1000000000</f>
        <v>0.02</v>
      </c>
      <c r="M9" s="23" t="n">
        <f aca="false">M8/1000000000</f>
        <v>0.015</v>
      </c>
      <c r="N9" s="23" t="n">
        <f aca="false">N8/1000000000</f>
        <v>0.485</v>
      </c>
      <c r="O9" s="23" t="n">
        <f aca="false">O8/1000000000</f>
        <v>0.05</v>
      </c>
      <c r="P9" s="23" t="n">
        <f aca="false">P8/1000000000</f>
        <v>0.05</v>
      </c>
      <c r="Q9" s="23" t="n">
        <f aca="false">Q8/1000000000</f>
        <v>0.04</v>
      </c>
      <c r="R9" s="23" t="n">
        <f aca="false">R8/1000000000</f>
        <v>0.05</v>
      </c>
      <c r="S9" s="23" t="n">
        <f aca="false">S8/1000000000</f>
        <v>0.01</v>
      </c>
      <c r="T9" s="23" t="n">
        <f aca="false">T8/1000000000</f>
        <v>0.005</v>
      </c>
      <c r="U9" s="23"/>
      <c r="X9" s="10" t="s">
        <v>43</v>
      </c>
      <c r="Y9" s="11" t="n">
        <f aca="false">Y8/Y7</f>
        <v>0.164102564102564</v>
      </c>
      <c r="Z9" s="11"/>
      <c r="AA9" s="13" t="s">
        <v>44</v>
      </c>
      <c r="AB9" s="14" t="n">
        <v>2088025</v>
      </c>
      <c r="AC9" s="14"/>
    </row>
    <row r="10" customFormat="false" ht="21.75" hidden="false" customHeight="true" outlineLevel="0" collapsed="false">
      <c r="A10" s="5" t="s">
        <v>45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f aca="false">M8*0.2</f>
        <v>3000000</v>
      </c>
      <c r="N10" s="22" t="n">
        <v>0</v>
      </c>
      <c r="O10" s="22" t="n">
        <v>35000000</v>
      </c>
      <c r="P10" s="22" t="n">
        <v>0</v>
      </c>
      <c r="Q10" s="22" t="n">
        <v>0</v>
      </c>
      <c r="R10" s="22" t="n">
        <v>0</v>
      </c>
      <c r="S10" s="22" t="n">
        <f aca="false">S8</f>
        <v>10000000</v>
      </c>
      <c r="T10" s="22" t="n">
        <f aca="false">T8</f>
        <v>5000000</v>
      </c>
      <c r="U10" s="22"/>
      <c r="X10" s="10" t="s">
        <v>46</v>
      </c>
      <c r="Y10" s="11" t="n">
        <f aca="false">Y9*1000000000</f>
        <v>164102564.102564</v>
      </c>
      <c r="Z10" s="11"/>
      <c r="AA10" s="13" t="s">
        <v>47</v>
      </c>
      <c r="AB10" s="14" t="n">
        <v>1774821.25</v>
      </c>
      <c r="AC10" s="14"/>
    </row>
    <row r="11" customFormat="false" ht="30" hidden="false" customHeight="true" outlineLevel="0" collapsed="false">
      <c r="A11" s="5" t="s">
        <v>48</v>
      </c>
      <c r="C11" s="9" t="s">
        <v>49</v>
      </c>
      <c r="D11" s="9" t="s">
        <v>49</v>
      </c>
      <c r="E11" s="9" t="s">
        <v>49</v>
      </c>
      <c r="F11" s="9" t="s">
        <v>49</v>
      </c>
      <c r="G11" s="9" t="s">
        <v>49</v>
      </c>
      <c r="H11" s="9" t="s">
        <v>49</v>
      </c>
      <c r="I11" s="9" t="s">
        <v>49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 t="s">
        <v>58</v>
      </c>
      <c r="T11" s="9" t="s">
        <v>59</v>
      </c>
      <c r="U11" s="9"/>
      <c r="X11" s="10" t="s">
        <v>60</v>
      </c>
      <c r="Y11" s="11" t="n">
        <f aca="false">(Y5+Y7)/1000000000</f>
        <v>0.295</v>
      </c>
      <c r="Z11" s="11"/>
      <c r="AA11" s="13" t="s">
        <v>61</v>
      </c>
      <c r="AB11" s="14" t="n">
        <v>1508598.0625</v>
      </c>
      <c r="AC11" s="14"/>
    </row>
    <row r="12" customFormat="false" ht="15" hidden="false" customHeight="true" outlineLevel="0" collapsed="false">
      <c r="X12" s="10" t="s">
        <v>62</v>
      </c>
      <c r="Y12" s="11" t="n">
        <f aca="false">SUM(C8:T8)</f>
        <v>1000000000</v>
      </c>
      <c r="Z12" s="11"/>
      <c r="AA12" s="13" t="s">
        <v>63</v>
      </c>
      <c r="AB12" s="14" t="n">
        <v>1282308.353125</v>
      </c>
      <c r="AC12" s="14"/>
    </row>
    <row r="13" customFormat="false" ht="15" hidden="false" customHeight="true" outlineLevel="0" collapsed="false">
      <c r="X13" s="24" t="s">
        <v>64</v>
      </c>
      <c r="Y13" s="11" t="n">
        <f aca="false">U15</f>
        <v>53000000</v>
      </c>
      <c r="Z13" s="12" t="n">
        <f aca="false">U15/1000000000</f>
        <v>0.053</v>
      </c>
      <c r="AA13" s="12"/>
    </row>
    <row r="14" customFormat="false" ht="18.75" hidden="false" customHeight="true" outlineLevel="0" collapsed="false">
      <c r="A14" s="25" t="s">
        <v>65</v>
      </c>
      <c r="B14" s="25" t="s">
        <v>66</v>
      </c>
      <c r="C14" s="26" t="str">
        <f aca="false">C4</f>
        <v>Pre-seed (Brandon Torres Declet)</v>
      </c>
      <c r="D14" s="26" t="str">
        <f aca="false">D4</f>
        <v>Seed (LD Capital)</v>
      </c>
      <c r="E14" s="26" t="str">
        <f aca="false">E4</f>
        <v>Seed (Cogitent)</v>
      </c>
      <c r="F14" s="26" t="str">
        <f aca="false">F4</f>
        <v>Seed (Leland)</v>
      </c>
      <c r="G14" s="26" t="str">
        <f aca="false">G4</f>
        <v>Seed (M77)</v>
      </c>
      <c r="H14" s="26" t="str">
        <f aca="false">H4</f>
        <v>Seed (Block Maven)</v>
      </c>
      <c r="I14" s="26" t="str">
        <f aca="false">I4</f>
        <v>Seed (Covey)</v>
      </c>
      <c r="J14" s="26" t="str">
        <f aca="false">J4</f>
        <v>KOL round (T-Rex, K1, Nebula)</v>
      </c>
      <c r="K14" s="26" t="str">
        <f aca="false">K4</f>
        <v>New round: main close</v>
      </c>
      <c r="L14" s="26" t="str">
        <f aca="false">L4</f>
        <v>New round: top-up close</v>
      </c>
      <c r="M14" s="26" t="str">
        <f aca="false">M4</f>
        <v>KOLpad: KOLs and Mindo commission</v>
      </c>
      <c r="N14" s="26" t="str">
        <f aca="false">N4</f>
        <v>Mining and validator emissions</v>
      </c>
      <c r="O14" s="26" t="str">
        <f aca="false">O4</f>
        <v>Marketing and exchanges</v>
      </c>
      <c r="P14" s="26" t="str">
        <f aca="false">P4</f>
        <v>Treasury and reserves</v>
      </c>
      <c r="Q14" s="26" t="str">
        <f aca="false">Q4</f>
        <v>Foundation</v>
      </c>
      <c r="R14" s="26" t="str">
        <f aca="false">R4</f>
        <v>Team and advisors</v>
      </c>
      <c r="S14" s="26" t="str">
        <f aca="false">S4</f>
        <v>Liquidity / MM</v>
      </c>
      <c r="T14" s="26" t="str">
        <f aca="false">T4</f>
        <v>Community airdrop</v>
      </c>
      <c r="U14" s="25" t="s">
        <v>67</v>
      </c>
      <c r="V14" s="25" t="s">
        <v>68</v>
      </c>
      <c r="W14" s="25"/>
      <c r="AA14" s="8" t="s">
        <v>69</v>
      </c>
      <c r="AB14" s="8"/>
    </row>
    <row r="15" customFormat="false" ht="15" hidden="false" customHeight="true" outlineLevel="0" collapsed="false">
      <c r="A15" s="27" t="s">
        <v>70</v>
      </c>
      <c r="B15" s="28" t="n">
        <v>0</v>
      </c>
      <c r="C15" s="29" t="n">
        <f aca="false">IF(AND($B15&gt;=13,$B15&lt;=60),C$8/48,0)</f>
        <v>0</v>
      </c>
      <c r="D15" s="29" t="n">
        <f aca="false">IF(AND($B15&gt;=13,$B15&lt;=60),D$8/48,0)</f>
        <v>0</v>
      </c>
      <c r="E15" s="29" t="n">
        <f aca="false">IF(AND($B15&gt;=13,$B15&lt;=60),E$8/48,0)</f>
        <v>0</v>
      </c>
      <c r="F15" s="29" t="n">
        <f aca="false">IF(AND($B15&gt;=13,$B15&lt;=60),F$8/48,0)</f>
        <v>0</v>
      </c>
      <c r="G15" s="29" t="n">
        <f aca="false">IF(AND($B15&gt;=13,$B15&lt;=60),G$8/48,0)</f>
        <v>0</v>
      </c>
      <c r="H15" s="29" t="n">
        <f aca="false">IF(AND($B15&gt;=13,$B15&lt;=60),H$8/48,0)</f>
        <v>0</v>
      </c>
      <c r="I15" s="29" t="n">
        <f aca="false">IF(AND($B15&gt;=13,$B15&lt;=60),I$8/48,0)</f>
        <v>0</v>
      </c>
      <c r="J15" s="29" t="n">
        <f aca="false">IF(AND($B15&gt;=13,$B15&lt;=60),J$8/48,0)</f>
        <v>0</v>
      </c>
      <c r="K15" s="29" t="n">
        <f aca="false">IF(AND($B15&gt;=13,$B15&lt;=36),K$8/24,0)</f>
        <v>0</v>
      </c>
      <c r="L15" s="29" t="n">
        <f aca="false">IF(AND($B15&gt;=13,$B15&lt;=36),L$8/24,0)</f>
        <v>0</v>
      </c>
      <c r="M15" s="29" t="n">
        <f aca="false">IF($B15=0,M$8*0.2,IF(OR($B15=1,$B15=2),M$8*0.4,0))</f>
        <v>3000000</v>
      </c>
      <c r="N15" s="29" t="n">
        <f aca="false">IF($B15&lt;4,0,INDEX($AB$5:$AB$12,INT(($B15-1)/12)+1))</f>
        <v>0</v>
      </c>
      <c r="O15" s="29" t="n">
        <f aca="false">IF($B15=0,35000000,IF(AND($B15&gt;=1,$B15&lt;=30),15000000/30,0))</f>
        <v>35000000</v>
      </c>
      <c r="P15" s="29" t="n">
        <f aca="false">IF(AND($B15&gt;=7,$B15&lt;=36),P$8/30,0)</f>
        <v>0</v>
      </c>
      <c r="Q15" s="29" t="n">
        <f aca="false">IF(AND($B15&gt;=13,$B15&lt;=36),Q$8/24,0)</f>
        <v>0</v>
      </c>
      <c r="R15" s="29" t="n">
        <f aca="false">IF(AND($B15&gt;=14,$B15&lt;=38),R$8/25,0)</f>
        <v>0</v>
      </c>
      <c r="S15" s="29" t="n">
        <f aca="false">IF($B15=0,S$8,0)</f>
        <v>10000000</v>
      </c>
      <c r="T15" s="29" t="n">
        <f aca="false">IF($B15=0,T$8,0)</f>
        <v>5000000</v>
      </c>
      <c r="U15" s="30" t="n">
        <f aca="false">SUM(C15:T15)</f>
        <v>53000000</v>
      </c>
      <c r="V15" s="31" t="n">
        <f aca="false">U15/1000000000</f>
        <v>0.053</v>
      </c>
      <c r="W15" s="31"/>
      <c r="X15" s="13" t="s">
        <v>71</v>
      </c>
      <c r="Y15" s="14" t="n">
        <f aca="false">M8</f>
        <v>15000000</v>
      </c>
      <c r="Z15" s="32" t="n">
        <f aca="false">M8/1000000000</f>
        <v>0.015</v>
      </c>
      <c r="AA15" s="13" t="s">
        <v>72</v>
      </c>
      <c r="AB15" s="14" t="n">
        <v>25000000</v>
      </c>
      <c r="AC15" s="14"/>
    </row>
    <row r="16" customFormat="false" ht="15" hidden="false" customHeight="true" outlineLevel="0" collapsed="false">
      <c r="A16" s="27" t="s">
        <v>73</v>
      </c>
      <c r="B16" s="28" t="n">
        <v>1</v>
      </c>
      <c r="C16" s="29" t="n">
        <f aca="false">IF(AND($B16&gt;=13,$B16&lt;=60),C$8/48,0)</f>
        <v>0</v>
      </c>
      <c r="D16" s="29" t="n">
        <f aca="false">IF(AND($B16&gt;=13,$B16&lt;=60),D$8/48,0)</f>
        <v>0</v>
      </c>
      <c r="E16" s="29" t="n">
        <f aca="false">IF(AND($B16&gt;=13,$B16&lt;=60),E$8/48,0)</f>
        <v>0</v>
      </c>
      <c r="F16" s="29" t="n">
        <f aca="false">IF(AND($B16&gt;=13,$B16&lt;=60),F$8/48,0)</f>
        <v>0</v>
      </c>
      <c r="G16" s="29" t="n">
        <f aca="false">IF(AND($B16&gt;=13,$B16&lt;=60),G$8/48,0)</f>
        <v>0</v>
      </c>
      <c r="H16" s="29" t="n">
        <f aca="false">IF(AND($B16&gt;=13,$B16&lt;=60),H$8/48,0)</f>
        <v>0</v>
      </c>
      <c r="I16" s="29" t="n">
        <f aca="false">IF(AND($B16&gt;=13,$B16&lt;=60),I$8/48,0)</f>
        <v>0</v>
      </c>
      <c r="J16" s="29" t="n">
        <f aca="false">IF(AND($B16&gt;=13,$B16&lt;=60),J$8/48,0)</f>
        <v>0</v>
      </c>
      <c r="K16" s="29" t="n">
        <f aca="false">IF(AND($B16&gt;=13,$B16&lt;=36),K$8/24,0)</f>
        <v>0</v>
      </c>
      <c r="L16" s="29" t="n">
        <f aca="false">IF(AND($B16&gt;=13,$B16&lt;=36),L$8/24,0)</f>
        <v>0</v>
      </c>
      <c r="M16" s="29" t="n">
        <f aca="false">IF($B16=0,M$8*0.2,IF(OR($B16=1,$B16=2),M$8*0.4,0))</f>
        <v>6000000</v>
      </c>
      <c r="N16" s="29" t="n">
        <f aca="false">IF($B16&lt;4,0,INDEX($AB$5:$AB$12,INT(($B16-1)/12)+1))</f>
        <v>0</v>
      </c>
      <c r="O16" s="29" t="n">
        <f aca="false">IF($B16=0,35000000,IF(AND($B16&gt;=1,$B16&lt;=30),15000000/30,0))</f>
        <v>500000</v>
      </c>
      <c r="P16" s="29" t="n">
        <f aca="false">IF(AND($B16&gt;=7,$B16&lt;=36),P$8/30,0)</f>
        <v>0</v>
      </c>
      <c r="Q16" s="29" t="n">
        <f aca="false">IF(AND($B16&gt;=13,$B16&lt;=36),Q$8/24,0)</f>
        <v>0</v>
      </c>
      <c r="R16" s="29" t="n">
        <f aca="false">IF(AND($B16&gt;=14,$B16&lt;=38),R$8/25,0)</f>
        <v>0</v>
      </c>
      <c r="S16" s="29" t="n">
        <f aca="false">IF($B16=0,S$8,0)</f>
        <v>0</v>
      </c>
      <c r="T16" s="29" t="n">
        <f aca="false">IF($B16=0,T$8,0)</f>
        <v>0</v>
      </c>
      <c r="U16" s="30" t="n">
        <f aca="false">U15+SUM(C16:T16)</f>
        <v>59500000</v>
      </c>
      <c r="V16" s="31" t="n">
        <f aca="false">U16/1000000000</f>
        <v>0.0595</v>
      </c>
      <c r="W16" s="31"/>
      <c r="X16" s="13" t="s">
        <v>74</v>
      </c>
      <c r="Y16" s="14" t="n">
        <f aca="false">N8</f>
        <v>485000000</v>
      </c>
      <c r="Z16" s="32" t="n">
        <f aca="false">N8/1000000000</f>
        <v>0.485</v>
      </c>
      <c r="AA16" s="13" t="s">
        <v>75</v>
      </c>
      <c r="AB16" s="14" t="n">
        <v>6000000</v>
      </c>
      <c r="AC16" s="14"/>
    </row>
    <row r="17" customFormat="false" ht="15" hidden="false" customHeight="true" outlineLevel="0" collapsed="false">
      <c r="A17" s="27" t="s">
        <v>76</v>
      </c>
      <c r="B17" s="28" t="n">
        <v>2</v>
      </c>
      <c r="C17" s="29" t="n">
        <f aca="false">IF(AND($B17&gt;=13,$B17&lt;=60),C$8/48,0)</f>
        <v>0</v>
      </c>
      <c r="D17" s="29" t="n">
        <f aca="false">IF(AND($B17&gt;=13,$B17&lt;=60),D$8/48,0)</f>
        <v>0</v>
      </c>
      <c r="E17" s="29" t="n">
        <f aca="false">IF(AND($B17&gt;=13,$B17&lt;=60),E$8/48,0)</f>
        <v>0</v>
      </c>
      <c r="F17" s="29" t="n">
        <f aca="false">IF(AND($B17&gt;=13,$B17&lt;=60),F$8/48,0)</f>
        <v>0</v>
      </c>
      <c r="G17" s="29" t="n">
        <f aca="false">IF(AND($B17&gt;=13,$B17&lt;=60),G$8/48,0)</f>
        <v>0</v>
      </c>
      <c r="H17" s="29" t="n">
        <f aca="false">IF(AND($B17&gt;=13,$B17&lt;=60),H$8/48,0)</f>
        <v>0</v>
      </c>
      <c r="I17" s="29" t="n">
        <f aca="false">IF(AND($B17&gt;=13,$B17&lt;=60),I$8/48,0)</f>
        <v>0</v>
      </c>
      <c r="J17" s="29" t="n">
        <f aca="false">IF(AND($B17&gt;=13,$B17&lt;=60),J$8/48,0)</f>
        <v>0</v>
      </c>
      <c r="K17" s="29" t="n">
        <f aca="false">IF(AND($B17&gt;=13,$B17&lt;=36),K$8/24,0)</f>
        <v>0</v>
      </c>
      <c r="L17" s="29" t="n">
        <f aca="false">IF(AND($B17&gt;=13,$B17&lt;=36),L$8/24,0)</f>
        <v>0</v>
      </c>
      <c r="M17" s="29" t="n">
        <f aca="false">IF($B17=0,M$8*0.2,IF(OR($B17=1,$B17=2),M$8*0.4,0))</f>
        <v>6000000</v>
      </c>
      <c r="N17" s="29" t="n">
        <f aca="false">IF($B17&lt;4,0,INDEX($AB$5:$AB$12,INT(($B17-1)/12)+1))</f>
        <v>0</v>
      </c>
      <c r="O17" s="29" t="n">
        <f aca="false">IF($B17=0,35000000,IF(AND($B17&gt;=1,$B17&lt;=30),15000000/30,0))</f>
        <v>500000</v>
      </c>
      <c r="P17" s="29" t="n">
        <f aca="false">IF(AND($B17&gt;=7,$B17&lt;=36),P$8/30,0)</f>
        <v>0</v>
      </c>
      <c r="Q17" s="29" t="n">
        <f aca="false">IF(AND($B17&gt;=13,$B17&lt;=36),Q$8/24,0)</f>
        <v>0</v>
      </c>
      <c r="R17" s="29" t="n">
        <f aca="false">IF(AND($B17&gt;=14,$B17&lt;=38),R$8/25,0)</f>
        <v>0</v>
      </c>
      <c r="S17" s="29" t="n">
        <f aca="false">IF($B17=0,S$8,0)</f>
        <v>0</v>
      </c>
      <c r="T17" s="29" t="n">
        <f aca="false">IF($B17=0,T$8,0)</f>
        <v>0</v>
      </c>
      <c r="U17" s="30" t="n">
        <f aca="false">U16+SUM(C17:T17)</f>
        <v>66000000</v>
      </c>
      <c r="V17" s="31" t="n">
        <f aca="false">U17/1000000000</f>
        <v>0.066</v>
      </c>
      <c r="W17" s="31"/>
      <c r="X17" s="8" t="s">
        <v>77</v>
      </c>
      <c r="Y17" s="8"/>
      <c r="AA17" s="13" t="s">
        <v>78</v>
      </c>
      <c r="AB17" s="14" t="n">
        <v>4000000</v>
      </c>
      <c r="AC17" s="14"/>
    </row>
    <row r="18" customFormat="false" ht="15" hidden="false" customHeight="true" outlineLevel="0" collapsed="false">
      <c r="A18" s="27" t="s">
        <v>79</v>
      </c>
      <c r="B18" s="28" t="n">
        <v>3</v>
      </c>
      <c r="C18" s="29" t="n">
        <f aca="false">IF(AND($B18&gt;=13,$B18&lt;=60),C$8/48,0)</f>
        <v>0</v>
      </c>
      <c r="D18" s="29" t="n">
        <f aca="false">IF(AND($B18&gt;=13,$B18&lt;=60),D$8/48,0)</f>
        <v>0</v>
      </c>
      <c r="E18" s="29" t="n">
        <f aca="false">IF(AND($B18&gt;=13,$B18&lt;=60),E$8/48,0)</f>
        <v>0</v>
      </c>
      <c r="F18" s="29" t="n">
        <f aca="false">IF(AND($B18&gt;=13,$B18&lt;=60),F$8/48,0)</f>
        <v>0</v>
      </c>
      <c r="G18" s="29" t="n">
        <f aca="false">IF(AND($B18&gt;=13,$B18&lt;=60),G$8/48,0)</f>
        <v>0</v>
      </c>
      <c r="H18" s="29" t="n">
        <f aca="false">IF(AND($B18&gt;=13,$B18&lt;=60),H$8/48,0)</f>
        <v>0</v>
      </c>
      <c r="I18" s="29" t="n">
        <f aca="false">IF(AND($B18&gt;=13,$B18&lt;=60),I$8/48,0)</f>
        <v>0</v>
      </c>
      <c r="J18" s="29" t="n">
        <f aca="false">IF(AND($B18&gt;=13,$B18&lt;=60),J$8/48,0)</f>
        <v>0</v>
      </c>
      <c r="K18" s="29" t="n">
        <f aca="false">IF(AND($B18&gt;=13,$B18&lt;=36),K$8/24,0)</f>
        <v>0</v>
      </c>
      <c r="L18" s="29" t="n">
        <f aca="false">IF(AND($B18&gt;=13,$B18&lt;=36),L$8/24,0)</f>
        <v>0</v>
      </c>
      <c r="M18" s="29" t="n">
        <f aca="false">IF($B18=0,M$8*0.2,IF(OR($B18=1,$B18=2),M$8*0.4,0))</f>
        <v>0</v>
      </c>
      <c r="N18" s="29" t="n">
        <f aca="false">IF($B18&lt;4,0,INDEX($AB$5:$AB$12,INT(($B18-1)/12)+1))</f>
        <v>0</v>
      </c>
      <c r="O18" s="29" t="n">
        <f aca="false">IF($B18=0,35000000,IF(AND($B18&gt;=1,$B18&lt;=30),15000000/30,0))</f>
        <v>500000</v>
      </c>
      <c r="P18" s="29" t="n">
        <f aca="false">IF(AND($B18&gt;=7,$B18&lt;=36),P$8/30,0)</f>
        <v>0</v>
      </c>
      <c r="Q18" s="29" t="n">
        <f aca="false">IF(AND($B18&gt;=13,$B18&lt;=36),Q$8/24,0)</f>
        <v>0</v>
      </c>
      <c r="R18" s="29" t="n">
        <f aca="false">IF(AND($B18&gt;=14,$B18&lt;=38),R$8/25,0)</f>
        <v>0</v>
      </c>
      <c r="S18" s="29" t="n">
        <f aca="false">IF($B18=0,S$8,0)</f>
        <v>0</v>
      </c>
      <c r="T18" s="29" t="n">
        <f aca="false">IF($B18=0,T$8,0)</f>
        <v>0</v>
      </c>
      <c r="U18" s="30" t="n">
        <f aca="false">U17+SUM(C18:T18)</f>
        <v>66500000</v>
      </c>
      <c r="V18" s="31" t="n">
        <f aca="false">U18/1000000000</f>
        <v>0.0665</v>
      </c>
      <c r="W18" s="31"/>
      <c r="X18" s="13" t="s">
        <v>80</v>
      </c>
      <c r="Y18" s="33" t="n">
        <v>1500000</v>
      </c>
      <c r="Z18" s="33"/>
      <c r="AA18" s="13" t="s">
        <v>81</v>
      </c>
      <c r="AB18" s="14" t="n">
        <v>10000000</v>
      </c>
      <c r="AC18" s="14"/>
    </row>
    <row r="19" customFormat="false" ht="15" hidden="false" customHeight="true" outlineLevel="0" collapsed="false">
      <c r="A19" s="27" t="s">
        <v>82</v>
      </c>
      <c r="B19" s="28" t="n">
        <v>4</v>
      </c>
      <c r="C19" s="29" t="n">
        <f aca="false">IF(AND($B19&gt;=13,$B19&lt;=60),C$8/48,0)</f>
        <v>0</v>
      </c>
      <c r="D19" s="29" t="n">
        <f aca="false">IF(AND($B19&gt;=13,$B19&lt;=60),D$8/48,0)</f>
        <v>0</v>
      </c>
      <c r="E19" s="29" t="n">
        <f aca="false">IF(AND($B19&gt;=13,$B19&lt;=60),E$8/48,0)</f>
        <v>0</v>
      </c>
      <c r="F19" s="29" t="n">
        <f aca="false">IF(AND($B19&gt;=13,$B19&lt;=60),F$8/48,0)</f>
        <v>0</v>
      </c>
      <c r="G19" s="29" t="n">
        <f aca="false">IF(AND($B19&gt;=13,$B19&lt;=60),G$8/48,0)</f>
        <v>0</v>
      </c>
      <c r="H19" s="29" t="n">
        <f aca="false">IF(AND($B19&gt;=13,$B19&lt;=60),H$8/48,0)</f>
        <v>0</v>
      </c>
      <c r="I19" s="29" t="n">
        <f aca="false">IF(AND($B19&gt;=13,$B19&lt;=60),I$8/48,0)</f>
        <v>0</v>
      </c>
      <c r="J19" s="29" t="n">
        <f aca="false">IF(AND($B19&gt;=13,$B19&lt;=60),J$8/48,0)</f>
        <v>0</v>
      </c>
      <c r="K19" s="29" t="n">
        <f aca="false">IF(AND($B19&gt;=13,$B19&lt;=36),K$8/24,0)</f>
        <v>0</v>
      </c>
      <c r="L19" s="29" t="n">
        <f aca="false">IF(AND($B19&gt;=13,$B19&lt;=36),L$8/24,0)</f>
        <v>0</v>
      </c>
      <c r="M19" s="29" t="n">
        <f aca="false">IF($B19=0,M$8*0.2,IF(OR($B19=1,$B19=2),M$8*0.4,0))</f>
        <v>0</v>
      </c>
      <c r="N19" s="29" t="n">
        <f aca="false">IF($B19&lt;4,0,INDEX($AB$5:$AB$12,INT(($B19-1)/12)+1))</f>
        <v>4000000</v>
      </c>
      <c r="O19" s="29" t="n">
        <f aca="false">IF($B19=0,35000000,IF(AND($B19&gt;=1,$B19&lt;=30),15000000/30,0))</f>
        <v>500000</v>
      </c>
      <c r="P19" s="29" t="n">
        <f aca="false">IF(AND($B19&gt;=7,$B19&lt;=36),P$8/30,0)</f>
        <v>0</v>
      </c>
      <c r="Q19" s="29" t="n">
        <f aca="false">IF(AND($B19&gt;=13,$B19&lt;=36),Q$8/24,0)</f>
        <v>0</v>
      </c>
      <c r="R19" s="29" t="n">
        <f aca="false">IF(AND($B19&gt;=14,$B19&lt;=38),R$8/25,0)</f>
        <v>0</v>
      </c>
      <c r="S19" s="29" t="n">
        <f aca="false">IF($B19=0,S$8,0)</f>
        <v>0</v>
      </c>
      <c r="T19" s="29" t="n">
        <f aca="false">IF($B19=0,T$8,0)</f>
        <v>0</v>
      </c>
      <c r="U19" s="30" t="n">
        <f aca="false">U18+SUM(C19:T19)</f>
        <v>71000000</v>
      </c>
      <c r="V19" s="31" t="n">
        <f aca="false">U19/1000000000</f>
        <v>0.071</v>
      </c>
      <c r="W19" s="31"/>
      <c r="X19" s="13" t="s">
        <v>83</v>
      </c>
      <c r="Y19" s="34" t="n">
        <v>0.2</v>
      </c>
      <c r="Z19" s="34"/>
      <c r="AA19" s="13" t="s">
        <v>21</v>
      </c>
      <c r="AB19" s="14" t="n">
        <v>5000000</v>
      </c>
      <c r="AC19" s="14"/>
    </row>
    <row r="20" customFormat="false" ht="15" hidden="false" customHeight="true" outlineLevel="0" collapsed="false">
      <c r="A20" s="27" t="s">
        <v>84</v>
      </c>
      <c r="B20" s="28" t="n">
        <v>5</v>
      </c>
      <c r="C20" s="29" t="n">
        <f aca="false">IF(AND($B20&gt;=13,$B20&lt;=60),C$8/48,0)</f>
        <v>0</v>
      </c>
      <c r="D20" s="29" t="n">
        <f aca="false">IF(AND($B20&gt;=13,$B20&lt;=60),D$8/48,0)</f>
        <v>0</v>
      </c>
      <c r="E20" s="29" t="n">
        <f aca="false">IF(AND($B20&gt;=13,$B20&lt;=60),E$8/48,0)</f>
        <v>0</v>
      </c>
      <c r="F20" s="29" t="n">
        <f aca="false">IF(AND($B20&gt;=13,$B20&lt;=60),F$8/48,0)</f>
        <v>0</v>
      </c>
      <c r="G20" s="29" t="n">
        <f aca="false">IF(AND($B20&gt;=13,$B20&lt;=60),G$8/48,0)</f>
        <v>0</v>
      </c>
      <c r="H20" s="29" t="n">
        <f aca="false">IF(AND($B20&gt;=13,$B20&lt;=60),H$8/48,0)</f>
        <v>0</v>
      </c>
      <c r="I20" s="29" t="n">
        <f aca="false">IF(AND($B20&gt;=13,$B20&lt;=60),I$8/48,0)</f>
        <v>0</v>
      </c>
      <c r="J20" s="29" t="n">
        <f aca="false">IF(AND($B20&gt;=13,$B20&lt;=60),J$8/48,0)</f>
        <v>0</v>
      </c>
      <c r="K20" s="29" t="n">
        <f aca="false">IF(AND($B20&gt;=13,$B20&lt;=36),K$8/24,0)</f>
        <v>0</v>
      </c>
      <c r="L20" s="29" t="n">
        <f aca="false">IF(AND($B20&gt;=13,$B20&lt;=36),L$8/24,0)</f>
        <v>0</v>
      </c>
      <c r="M20" s="29" t="n">
        <f aca="false">IF($B20=0,M$8*0.2,IF(OR($B20=1,$B20=2),M$8*0.4,0))</f>
        <v>0</v>
      </c>
      <c r="N20" s="29" t="n">
        <f aca="false">IF($B20&lt;4,0,INDEX($AB$5:$AB$12,INT(($B20-1)/12)+1))</f>
        <v>4000000</v>
      </c>
      <c r="O20" s="29" t="n">
        <f aca="false">IF($B20=0,35000000,IF(AND($B20&gt;=1,$B20&lt;=30),15000000/30,0))</f>
        <v>500000</v>
      </c>
      <c r="P20" s="29" t="n">
        <f aca="false">IF(AND($B20&gt;=7,$B20&lt;=36),P$8/30,0)</f>
        <v>0</v>
      </c>
      <c r="Q20" s="29" t="n">
        <f aca="false">IF(AND($B20&gt;=13,$B20&lt;=36),Q$8/24,0)</f>
        <v>0</v>
      </c>
      <c r="R20" s="29" t="n">
        <f aca="false">IF(AND($B20&gt;=14,$B20&lt;=38),R$8/25,0)</f>
        <v>0</v>
      </c>
      <c r="S20" s="29" t="n">
        <f aca="false">IF($B20=0,S$8,0)</f>
        <v>0</v>
      </c>
      <c r="T20" s="29" t="n">
        <f aca="false">IF($B20=0,T$8,0)</f>
        <v>0</v>
      </c>
      <c r="U20" s="30" t="n">
        <f aca="false">U19+SUM(C20:T20)</f>
        <v>75500000</v>
      </c>
      <c r="V20" s="31" t="n">
        <f aca="false">U20/1000000000</f>
        <v>0.0755</v>
      </c>
      <c r="W20" s="31"/>
      <c r="X20" s="13" t="s">
        <v>85</v>
      </c>
      <c r="Y20" s="34" t="n">
        <v>0.4</v>
      </c>
      <c r="Z20" s="34"/>
      <c r="AA20" s="13" t="s">
        <v>86</v>
      </c>
      <c r="AB20" s="14" t="n">
        <f aca="false">M10</f>
        <v>3000000</v>
      </c>
      <c r="AC20" s="14"/>
    </row>
    <row r="21" customFormat="false" ht="15" hidden="false" customHeight="true" outlineLevel="0" collapsed="false">
      <c r="A21" s="27" t="s">
        <v>87</v>
      </c>
      <c r="B21" s="28" t="n">
        <v>6</v>
      </c>
      <c r="C21" s="29" t="n">
        <f aca="false">IF(AND($B21&gt;=13,$B21&lt;=60),C$8/48,0)</f>
        <v>0</v>
      </c>
      <c r="D21" s="29" t="n">
        <f aca="false">IF(AND($B21&gt;=13,$B21&lt;=60),D$8/48,0)</f>
        <v>0</v>
      </c>
      <c r="E21" s="29" t="n">
        <f aca="false">IF(AND($B21&gt;=13,$B21&lt;=60),E$8/48,0)</f>
        <v>0</v>
      </c>
      <c r="F21" s="29" t="n">
        <f aca="false">IF(AND($B21&gt;=13,$B21&lt;=60),F$8/48,0)</f>
        <v>0</v>
      </c>
      <c r="G21" s="29" t="n">
        <f aca="false">IF(AND($B21&gt;=13,$B21&lt;=60),G$8/48,0)</f>
        <v>0</v>
      </c>
      <c r="H21" s="29" t="n">
        <f aca="false">IF(AND($B21&gt;=13,$B21&lt;=60),H$8/48,0)</f>
        <v>0</v>
      </c>
      <c r="I21" s="29" t="n">
        <f aca="false">IF(AND($B21&gt;=13,$B21&lt;=60),I$8/48,0)</f>
        <v>0</v>
      </c>
      <c r="J21" s="29" t="n">
        <f aca="false">IF(AND($B21&gt;=13,$B21&lt;=60),J$8/48,0)</f>
        <v>0</v>
      </c>
      <c r="K21" s="29" t="n">
        <f aca="false">IF(AND($B21&gt;=13,$B21&lt;=36),K$8/24,0)</f>
        <v>0</v>
      </c>
      <c r="L21" s="29" t="n">
        <f aca="false">IF(AND($B21&gt;=13,$B21&lt;=36),L$8/24,0)</f>
        <v>0</v>
      </c>
      <c r="M21" s="29" t="n">
        <f aca="false">IF($B21=0,M$8*0.2,IF(OR($B21=1,$B21=2),M$8*0.4,0))</f>
        <v>0</v>
      </c>
      <c r="N21" s="29" t="n">
        <f aca="false">IF($B21&lt;4,0,INDEX($AB$5:$AB$12,INT(($B21-1)/12)+1))</f>
        <v>4000000</v>
      </c>
      <c r="O21" s="29" t="n">
        <f aca="false">IF($B21=0,35000000,IF(AND($B21&gt;=1,$B21&lt;=30),15000000/30,0))</f>
        <v>500000</v>
      </c>
      <c r="P21" s="29" t="n">
        <f aca="false">IF(AND($B21&gt;=7,$B21&lt;=36),P$8/30,0)</f>
        <v>0</v>
      </c>
      <c r="Q21" s="29" t="n">
        <f aca="false">IF(AND($B21&gt;=13,$B21&lt;=36),Q$8/24,0)</f>
        <v>0</v>
      </c>
      <c r="R21" s="29" t="n">
        <f aca="false">IF(AND($B21&gt;=14,$B21&lt;=38),R$8/25,0)</f>
        <v>0</v>
      </c>
      <c r="S21" s="29" t="n">
        <f aca="false">IF($B21=0,S$8,0)</f>
        <v>0</v>
      </c>
      <c r="T21" s="29" t="n">
        <f aca="false">IF($B21=0,T$8,0)</f>
        <v>0</v>
      </c>
      <c r="U21" s="30" t="n">
        <f aca="false">U20+SUM(C21:T21)</f>
        <v>80000000</v>
      </c>
      <c r="V21" s="31" t="n">
        <f aca="false">U21/1000000000</f>
        <v>0.08</v>
      </c>
      <c r="W21" s="31"/>
      <c r="X21" s="13" t="s">
        <v>88</v>
      </c>
      <c r="Y21" s="35" t="n">
        <v>0.2</v>
      </c>
      <c r="Z21" s="35"/>
      <c r="AA21" s="36" t="s">
        <v>89</v>
      </c>
      <c r="AB21" s="37" t="n">
        <f aca="false">SUM(AB15:AB20)</f>
        <v>53000000</v>
      </c>
      <c r="AC21" s="14"/>
    </row>
    <row r="22" customFormat="false" ht="15" hidden="false" customHeight="true" outlineLevel="0" collapsed="false">
      <c r="A22" s="27" t="s">
        <v>90</v>
      </c>
      <c r="B22" s="28" t="n">
        <v>7</v>
      </c>
      <c r="C22" s="29" t="n">
        <f aca="false">IF(AND($B22&gt;=13,$B22&lt;=60),C$8/48,0)</f>
        <v>0</v>
      </c>
      <c r="D22" s="29" t="n">
        <f aca="false">IF(AND($B22&gt;=13,$B22&lt;=60),D$8/48,0)</f>
        <v>0</v>
      </c>
      <c r="E22" s="29" t="n">
        <f aca="false">IF(AND($B22&gt;=13,$B22&lt;=60),E$8/48,0)</f>
        <v>0</v>
      </c>
      <c r="F22" s="29" t="n">
        <f aca="false">IF(AND($B22&gt;=13,$B22&lt;=60),F$8/48,0)</f>
        <v>0</v>
      </c>
      <c r="G22" s="29" t="n">
        <f aca="false">IF(AND($B22&gt;=13,$B22&lt;=60),G$8/48,0)</f>
        <v>0</v>
      </c>
      <c r="H22" s="29" t="n">
        <f aca="false">IF(AND($B22&gt;=13,$B22&lt;=60),H$8/48,0)</f>
        <v>0</v>
      </c>
      <c r="I22" s="29" t="n">
        <f aca="false">IF(AND($B22&gt;=13,$B22&lt;=60),I$8/48,0)</f>
        <v>0</v>
      </c>
      <c r="J22" s="29" t="n">
        <f aca="false">IF(AND($B22&gt;=13,$B22&lt;=60),J$8/48,0)</f>
        <v>0</v>
      </c>
      <c r="K22" s="29" t="n">
        <f aca="false">IF(AND($B22&gt;=13,$B22&lt;=36),K$8/24,0)</f>
        <v>0</v>
      </c>
      <c r="L22" s="29" t="n">
        <f aca="false">IF(AND($B22&gt;=13,$B22&lt;=36),L$8/24,0)</f>
        <v>0</v>
      </c>
      <c r="M22" s="29" t="n">
        <f aca="false">IF($B22=0,M$8*0.2,IF(OR($B22=1,$B22=2),M$8*0.4,0))</f>
        <v>0</v>
      </c>
      <c r="N22" s="29" t="n">
        <f aca="false">IF($B22&lt;4,0,INDEX($AB$5:$AB$12,INT(($B22-1)/12)+1))</f>
        <v>4000000</v>
      </c>
      <c r="O22" s="29" t="n">
        <f aca="false">IF($B22=0,35000000,IF(AND($B22&gt;=1,$B22&lt;=30),15000000/30,0))</f>
        <v>500000</v>
      </c>
      <c r="P22" s="29" t="n">
        <f aca="false">IF(AND($B22&gt;=7,$B22&lt;=36),P$8/30,0)</f>
        <v>1666666.66666667</v>
      </c>
      <c r="Q22" s="29" t="n">
        <f aca="false">IF(AND($B22&gt;=13,$B22&lt;=36),Q$8/24,0)</f>
        <v>0</v>
      </c>
      <c r="R22" s="29" t="n">
        <f aca="false">IF(AND($B22&gt;=14,$B22&lt;=38),R$8/25,0)</f>
        <v>0</v>
      </c>
      <c r="S22" s="29" t="n">
        <f aca="false">IF($B22=0,S$8,0)</f>
        <v>0</v>
      </c>
      <c r="T22" s="29" t="n">
        <f aca="false">IF($B22=0,T$8,0)</f>
        <v>0</v>
      </c>
      <c r="U22" s="30" t="n">
        <f aca="false">U21+SUM(C22:T22)</f>
        <v>86166666.6666667</v>
      </c>
      <c r="V22" s="31" t="n">
        <f aca="false">U22/1000000000</f>
        <v>0.0861666666666667</v>
      </c>
      <c r="W22" s="31"/>
      <c r="X22" s="13" t="s">
        <v>91</v>
      </c>
      <c r="Y22" s="38" t="n">
        <f aca="false">Y21*(1-Y20)</f>
        <v>0.12</v>
      </c>
      <c r="Z22" s="38"/>
      <c r="AA22" s="8"/>
      <c r="AB22" s="39"/>
      <c r="AC22" s="39"/>
    </row>
    <row r="23" customFormat="false" ht="15" hidden="false" customHeight="true" outlineLevel="0" collapsed="false">
      <c r="A23" s="27" t="s">
        <v>92</v>
      </c>
      <c r="B23" s="28" t="n">
        <v>8</v>
      </c>
      <c r="C23" s="29" t="n">
        <f aca="false">IF(AND($B23&gt;=13,$B23&lt;=60),C$8/48,0)</f>
        <v>0</v>
      </c>
      <c r="D23" s="29" t="n">
        <f aca="false">IF(AND($B23&gt;=13,$B23&lt;=60),D$8/48,0)</f>
        <v>0</v>
      </c>
      <c r="E23" s="29" t="n">
        <f aca="false">IF(AND($B23&gt;=13,$B23&lt;=60),E$8/48,0)</f>
        <v>0</v>
      </c>
      <c r="F23" s="29" t="n">
        <f aca="false">IF(AND($B23&gt;=13,$B23&lt;=60),F$8/48,0)</f>
        <v>0</v>
      </c>
      <c r="G23" s="29" t="n">
        <f aca="false">IF(AND($B23&gt;=13,$B23&lt;=60),G$8/48,0)</f>
        <v>0</v>
      </c>
      <c r="H23" s="29" t="n">
        <f aca="false">IF(AND($B23&gt;=13,$B23&lt;=60),H$8/48,0)</f>
        <v>0</v>
      </c>
      <c r="I23" s="29" t="n">
        <f aca="false">IF(AND($B23&gt;=13,$B23&lt;=60),I$8/48,0)</f>
        <v>0</v>
      </c>
      <c r="J23" s="29" t="n">
        <f aca="false">IF(AND($B23&gt;=13,$B23&lt;=60),J$8/48,0)</f>
        <v>0</v>
      </c>
      <c r="K23" s="29" t="n">
        <f aca="false">IF(AND($B23&gt;=13,$B23&lt;=36),K$8/24,0)</f>
        <v>0</v>
      </c>
      <c r="L23" s="29" t="n">
        <f aca="false">IF(AND($B23&gt;=13,$B23&lt;=36),L$8/24,0)</f>
        <v>0</v>
      </c>
      <c r="M23" s="29" t="n">
        <f aca="false">IF($B23=0,M$8*0.2,IF(OR($B23=1,$B23=2),M$8*0.4,0))</f>
        <v>0</v>
      </c>
      <c r="N23" s="29" t="n">
        <f aca="false">IF($B23&lt;4,0,INDEX($AB$5:$AB$12,INT(($B23-1)/12)+1))</f>
        <v>4000000</v>
      </c>
      <c r="O23" s="29" t="n">
        <f aca="false">IF($B23=0,35000000,IF(AND($B23&gt;=1,$B23&lt;=30),15000000/30,0))</f>
        <v>500000</v>
      </c>
      <c r="P23" s="29" t="n">
        <f aca="false">IF(AND($B23&gt;=7,$B23&lt;=36),P$8/30,0)</f>
        <v>1666666.66666667</v>
      </c>
      <c r="Q23" s="29" t="n">
        <f aca="false">IF(AND($B23&gt;=13,$B23&lt;=36),Q$8/24,0)</f>
        <v>0</v>
      </c>
      <c r="R23" s="29" t="n">
        <f aca="false">IF(AND($B23&gt;=14,$B23&lt;=38),R$8/25,0)</f>
        <v>0</v>
      </c>
      <c r="S23" s="29" t="n">
        <f aca="false">IF($B23=0,S$8,0)</f>
        <v>0</v>
      </c>
      <c r="T23" s="29" t="n">
        <f aca="false">IF($B23=0,T$8,0)</f>
        <v>0</v>
      </c>
      <c r="U23" s="30" t="n">
        <f aca="false">U22+SUM(C23:T23)</f>
        <v>92333333.3333333</v>
      </c>
      <c r="V23" s="31" t="n">
        <f aca="false">U23/1000000000</f>
        <v>0.0923333333333333</v>
      </c>
      <c r="W23" s="31"/>
      <c r="X23" s="13" t="s">
        <v>93</v>
      </c>
      <c r="Y23" s="14" t="n">
        <f aca="false">ROUND(Y18/Y22,0)</f>
        <v>12500000</v>
      </c>
      <c r="Z23" s="14"/>
    </row>
    <row r="24" customFormat="false" ht="15" hidden="false" customHeight="true" outlineLevel="0" collapsed="false">
      <c r="A24" s="27" t="s">
        <v>94</v>
      </c>
      <c r="B24" s="28" t="n">
        <v>9</v>
      </c>
      <c r="C24" s="29" t="n">
        <f aca="false">IF(AND($B24&gt;=13,$B24&lt;=60),C$8/48,0)</f>
        <v>0</v>
      </c>
      <c r="D24" s="29" t="n">
        <f aca="false">IF(AND($B24&gt;=13,$B24&lt;=60),D$8/48,0)</f>
        <v>0</v>
      </c>
      <c r="E24" s="29" t="n">
        <f aca="false">IF(AND($B24&gt;=13,$B24&lt;=60),E$8/48,0)</f>
        <v>0</v>
      </c>
      <c r="F24" s="29" t="n">
        <f aca="false">IF(AND($B24&gt;=13,$B24&lt;=60),F$8/48,0)</f>
        <v>0</v>
      </c>
      <c r="G24" s="29" t="n">
        <f aca="false">IF(AND($B24&gt;=13,$B24&lt;=60),G$8/48,0)</f>
        <v>0</v>
      </c>
      <c r="H24" s="29" t="n">
        <f aca="false">IF(AND($B24&gt;=13,$B24&lt;=60),H$8/48,0)</f>
        <v>0</v>
      </c>
      <c r="I24" s="29" t="n">
        <f aca="false">IF(AND($B24&gt;=13,$B24&lt;=60),I$8/48,0)</f>
        <v>0</v>
      </c>
      <c r="J24" s="29" t="n">
        <f aca="false">IF(AND($B24&gt;=13,$B24&lt;=60),J$8/48,0)</f>
        <v>0</v>
      </c>
      <c r="K24" s="29" t="n">
        <f aca="false">IF(AND($B24&gt;=13,$B24&lt;=36),K$8/24,0)</f>
        <v>0</v>
      </c>
      <c r="L24" s="29" t="n">
        <f aca="false">IF(AND($B24&gt;=13,$B24&lt;=36),L$8/24,0)</f>
        <v>0</v>
      </c>
      <c r="M24" s="29" t="n">
        <f aca="false">IF($B24=0,M$8*0.2,IF(OR($B24=1,$B24=2),M$8*0.4,0))</f>
        <v>0</v>
      </c>
      <c r="N24" s="29" t="n">
        <f aca="false">IF($B24&lt;4,0,INDEX($AB$5:$AB$12,INT(($B24-1)/12)+1))</f>
        <v>4000000</v>
      </c>
      <c r="O24" s="29" t="n">
        <f aca="false">IF($B24=0,35000000,IF(AND($B24&gt;=1,$B24&lt;=30),15000000/30,0))</f>
        <v>500000</v>
      </c>
      <c r="P24" s="29" t="n">
        <f aca="false">IF(AND($B24&gt;=7,$B24&lt;=36),P$8/30,0)</f>
        <v>1666666.66666667</v>
      </c>
      <c r="Q24" s="29" t="n">
        <f aca="false">IF(AND($B24&gt;=13,$B24&lt;=36),Q$8/24,0)</f>
        <v>0</v>
      </c>
      <c r="R24" s="29" t="n">
        <f aca="false">IF(AND($B24&gt;=14,$B24&lt;=38),R$8/25,0)</f>
        <v>0</v>
      </c>
      <c r="S24" s="29" t="n">
        <f aca="false">IF($B24=0,S$8,0)</f>
        <v>0</v>
      </c>
      <c r="T24" s="29" t="n">
        <f aca="false">IF($B24=0,T$8,0)</f>
        <v>0</v>
      </c>
      <c r="U24" s="30" t="n">
        <f aca="false">U23+SUM(C24:T24)</f>
        <v>98500000</v>
      </c>
      <c r="V24" s="31" t="n">
        <f aca="false">U24/1000000000</f>
        <v>0.0985</v>
      </c>
      <c r="W24" s="31"/>
      <c r="X24" s="13" t="s">
        <v>95</v>
      </c>
      <c r="Y24" s="14" t="n">
        <f aca="false">ROUND(Y18*Y19/Y22,0)</f>
        <v>2500000</v>
      </c>
      <c r="Z24" s="14"/>
    </row>
    <row r="25" customFormat="false" ht="15" hidden="false" customHeight="true" outlineLevel="0" collapsed="false">
      <c r="A25" s="27" t="s">
        <v>96</v>
      </c>
      <c r="B25" s="28" t="n">
        <v>10</v>
      </c>
      <c r="C25" s="29" t="n">
        <f aca="false">IF(AND($B25&gt;=13,$B25&lt;=60),C$8/48,0)</f>
        <v>0</v>
      </c>
      <c r="D25" s="29" t="n">
        <f aca="false">IF(AND($B25&gt;=13,$B25&lt;=60),D$8/48,0)</f>
        <v>0</v>
      </c>
      <c r="E25" s="29" t="n">
        <f aca="false">IF(AND($B25&gt;=13,$B25&lt;=60),E$8/48,0)</f>
        <v>0</v>
      </c>
      <c r="F25" s="29" t="n">
        <f aca="false">IF(AND($B25&gt;=13,$B25&lt;=60),F$8/48,0)</f>
        <v>0</v>
      </c>
      <c r="G25" s="29" t="n">
        <f aca="false">IF(AND($B25&gt;=13,$B25&lt;=60),G$8/48,0)</f>
        <v>0</v>
      </c>
      <c r="H25" s="29" t="n">
        <f aca="false">IF(AND($B25&gt;=13,$B25&lt;=60),H$8/48,0)</f>
        <v>0</v>
      </c>
      <c r="I25" s="29" t="n">
        <f aca="false">IF(AND($B25&gt;=13,$B25&lt;=60),I$8/48,0)</f>
        <v>0</v>
      </c>
      <c r="J25" s="29" t="n">
        <f aca="false">IF(AND($B25&gt;=13,$B25&lt;=60),J$8/48,0)</f>
        <v>0</v>
      </c>
      <c r="K25" s="29" t="n">
        <f aca="false">IF(AND($B25&gt;=13,$B25&lt;=36),K$8/24,0)</f>
        <v>0</v>
      </c>
      <c r="L25" s="29" t="n">
        <f aca="false">IF(AND($B25&gt;=13,$B25&lt;=36),L$8/24,0)</f>
        <v>0</v>
      </c>
      <c r="M25" s="29" t="n">
        <f aca="false">IF($B25=0,M$8*0.2,IF(OR($B25=1,$B25=2),M$8*0.4,0))</f>
        <v>0</v>
      </c>
      <c r="N25" s="29" t="n">
        <f aca="false">IF($B25&lt;4,0,INDEX($AB$5:$AB$12,INT(($B25-1)/12)+1))</f>
        <v>4000000</v>
      </c>
      <c r="O25" s="29" t="n">
        <f aca="false">IF($B25=0,35000000,IF(AND($B25&gt;=1,$B25&lt;=30),15000000/30,0))</f>
        <v>500000</v>
      </c>
      <c r="P25" s="29" t="n">
        <f aca="false">IF(AND($B25&gt;=7,$B25&lt;=36),P$8/30,0)</f>
        <v>1666666.66666667</v>
      </c>
      <c r="Q25" s="29" t="n">
        <f aca="false">IF(AND($B25&gt;=13,$B25&lt;=36),Q$8/24,0)</f>
        <v>0</v>
      </c>
      <c r="R25" s="29" t="n">
        <f aca="false">IF(AND($B25&gt;=14,$B25&lt;=38),R$8/25,0)</f>
        <v>0</v>
      </c>
      <c r="S25" s="29" t="n">
        <f aca="false">IF($B25=0,S$8,0)</f>
        <v>0</v>
      </c>
      <c r="T25" s="29" t="n">
        <f aca="false">IF($B25=0,T$8,0)</f>
        <v>0</v>
      </c>
      <c r="U25" s="30" t="n">
        <f aca="false">U24+SUM(C25:T25)</f>
        <v>104666666.666667</v>
      </c>
      <c r="V25" s="31" t="n">
        <f aca="false">U25/1000000000</f>
        <v>0.104666666666667</v>
      </c>
      <c r="W25" s="31"/>
      <c r="X25" s="13" t="s">
        <v>97</v>
      </c>
      <c r="Y25" s="14" t="n">
        <f aca="false">Y23+Y24</f>
        <v>15000000</v>
      </c>
      <c r="Z25" s="14"/>
    </row>
    <row r="26" customFormat="false" ht="15" hidden="false" customHeight="true" outlineLevel="0" collapsed="false">
      <c r="A26" s="27" t="s">
        <v>98</v>
      </c>
      <c r="B26" s="28" t="n">
        <v>11</v>
      </c>
      <c r="C26" s="29" t="n">
        <f aca="false">IF(AND($B26&gt;=13,$B26&lt;=60),C$8/48,0)</f>
        <v>0</v>
      </c>
      <c r="D26" s="29" t="n">
        <f aca="false">IF(AND($B26&gt;=13,$B26&lt;=60),D$8/48,0)</f>
        <v>0</v>
      </c>
      <c r="E26" s="29" t="n">
        <f aca="false">IF(AND($B26&gt;=13,$B26&lt;=60),E$8/48,0)</f>
        <v>0</v>
      </c>
      <c r="F26" s="29" t="n">
        <f aca="false">IF(AND($B26&gt;=13,$B26&lt;=60),F$8/48,0)</f>
        <v>0</v>
      </c>
      <c r="G26" s="29" t="n">
        <f aca="false">IF(AND($B26&gt;=13,$B26&lt;=60),G$8/48,0)</f>
        <v>0</v>
      </c>
      <c r="H26" s="29" t="n">
        <f aca="false">IF(AND($B26&gt;=13,$B26&lt;=60),H$8/48,0)</f>
        <v>0</v>
      </c>
      <c r="I26" s="29" t="n">
        <f aca="false">IF(AND($B26&gt;=13,$B26&lt;=60),I$8/48,0)</f>
        <v>0</v>
      </c>
      <c r="J26" s="29" t="n">
        <f aca="false">IF(AND($B26&gt;=13,$B26&lt;=60),J$8/48,0)</f>
        <v>0</v>
      </c>
      <c r="K26" s="29" t="n">
        <f aca="false">IF(AND($B26&gt;=13,$B26&lt;=36),K$8/24,0)</f>
        <v>0</v>
      </c>
      <c r="L26" s="29" t="n">
        <f aca="false">IF(AND($B26&gt;=13,$B26&lt;=36),L$8/24,0)</f>
        <v>0</v>
      </c>
      <c r="M26" s="29" t="n">
        <f aca="false">IF($B26=0,M$8*0.2,IF(OR($B26=1,$B26=2),M$8*0.4,0))</f>
        <v>0</v>
      </c>
      <c r="N26" s="29" t="n">
        <f aca="false">IF($B26&lt;4,0,INDEX($AB$5:$AB$12,INT(($B26-1)/12)+1))</f>
        <v>4000000</v>
      </c>
      <c r="O26" s="29" t="n">
        <f aca="false">IF($B26=0,35000000,IF(AND($B26&gt;=1,$B26&lt;=30),15000000/30,0))</f>
        <v>500000</v>
      </c>
      <c r="P26" s="29" t="n">
        <f aca="false">IF(AND($B26&gt;=7,$B26&lt;=36),P$8/30,0)</f>
        <v>1666666.66666667</v>
      </c>
      <c r="Q26" s="29" t="n">
        <f aca="false">IF(AND($B26&gt;=13,$B26&lt;=36),Q$8/24,0)</f>
        <v>0</v>
      </c>
      <c r="R26" s="29" t="n">
        <f aca="false">IF(AND($B26&gt;=14,$B26&lt;=38),R$8/25,0)</f>
        <v>0</v>
      </c>
      <c r="S26" s="29" t="n">
        <f aca="false">IF($B26=0,S$8,0)</f>
        <v>0</v>
      </c>
      <c r="T26" s="29" t="n">
        <f aca="false">IF($B26=0,T$8,0)</f>
        <v>0</v>
      </c>
      <c r="U26" s="30" t="n">
        <f aca="false">U25+SUM(C26:T26)</f>
        <v>110833333.333333</v>
      </c>
      <c r="V26" s="31" t="n">
        <f aca="false">U26/1000000000</f>
        <v>0.110833333333333</v>
      </c>
      <c r="W26" s="31"/>
      <c r="X26" s="13" t="s">
        <v>99</v>
      </c>
      <c r="Y26" s="40" t="n">
        <f aca="false">Y25*Y21</f>
        <v>3000000</v>
      </c>
      <c r="Z26" s="40"/>
    </row>
    <row r="27" customFormat="false" ht="15" hidden="false" customHeight="true" outlineLevel="0" collapsed="false">
      <c r="A27" s="27" t="s">
        <v>100</v>
      </c>
      <c r="B27" s="28" t="n">
        <v>12</v>
      </c>
      <c r="C27" s="29" t="n">
        <f aca="false">IF(AND($B27&gt;=13,$B27&lt;=60),C$8/48,0)</f>
        <v>0</v>
      </c>
      <c r="D27" s="29" t="n">
        <f aca="false">IF(AND($B27&gt;=13,$B27&lt;=60),D$8/48,0)</f>
        <v>0</v>
      </c>
      <c r="E27" s="29" t="n">
        <f aca="false">IF(AND($B27&gt;=13,$B27&lt;=60),E$8/48,0)</f>
        <v>0</v>
      </c>
      <c r="F27" s="29" t="n">
        <f aca="false">IF(AND($B27&gt;=13,$B27&lt;=60),F$8/48,0)</f>
        <v>0</v>
      </c>
      <c r="G27" s="29" t="n">
        <f aca="false">IF(AND($B27&gt;=13,$B27&lt;=60),G$8/48,0)</f>
        <v>0</v>
      </c>
      <c r="H27" s="29" t="n">
        <f aca="false">IF(AND($B27&gt;=13,$B27&lt;=60),H$8/48,0)</f>
        <v>0</v>
      </c>
      <c r="I27" s="29" t="n">
        <f aca="false">IF(AND($B27&gt;=13,$B27&lt;=60),I$8/48,0)</f>
        <v>0</v>
      </c>
      <c r="J27" s="29" t="n">
        <f aca="false">IF(AND($B27&gt;=13,$B27&lt;=60),J$8/48,0)</f>
        <v>0</v>
      </c>
      <c r="K27" s="29" t="n">
        <f aca="false">IF(AND($B27&gt;=13,$B27&lt;=36),K$8/24,0)</f>
        <v>0</v>
      </c>
      <c r="L27" s="29" t="n">
        <f aca="false">IF(AND($B27&gt;=13,$B27&lt;=36),L$8/24,0)</f>
        <v>0</v>
      </c>
      <c r="M27" s="29" t="n">
        <f aca="false">IF($B27=0,M$8*0.2,IF(OR($B27=1,$B27=2),M$8*0.4,0))</f>
        <v>0</v>
      </c>
      <c r="N27" s="29" t="n">
        <f aca="false">IF($B27&lt;4,0,INDEX($AB$5:$AB$12,INT(($B27-1)/12)+1))</f>
        <v>4000000</v>
      </c>
      <c r="O27" s="29" t="n">
        <f aca="false">IF($B27=0,35000000,IF(AND($B27&gt;=1,$B27&lt;=30),15000000/30,0))</f>
        <v>500000</v>
      </c>
      <c r="P27" s="29" t="n">
        <f aca="false">IF(AND($B27&gt;=7,$B27&lt;=36),P$8/30,0)</f>
        <v>1666666.66666667</v>
      </c>
      <c r="Q27" s="29" t="n">
        <f aca="false">IF(AND($B27&gt;=13,$B27&lt;=36),Q$8/24,0)</f>
        <v>0</v>
      </c>
      <c r="R27" s="29" t="n">
        <f aca="false">IF(AND($B27&gt;=14,$B27&lt;=38),R$8/25,0)</f>
        <v>0</v>
      </c>
      <c r="S27" s="29" t="n">
        <f aca="false">IF($B27=0,S$8,0)</f>
        <v>0</v>
      </c>
      <c r="T27" s="29" t="n">
        <f aca="false">IF($B27=0,T$8,0)</f>
        <v>0</v>
      </c>
      <c r="U27" s="30" t="n">
        <f aca="false">U26+SUM(C27:T27)</f>
        <v>117000000</v>
      </c>
      <c r="V27" s="31" t="n">
        <f aca="false">U27/1000000000</f>
        <v>0.117</v>
      </c>
      <c r="W27" s="31"/>
      <c r="X27" s="13" t="s">
        <v>101</v>
      </c>
      <c r="Y27" s="41" t="n">
        <f aca="false">SUM(C10:T10)-U15</f>
        <v>0</v>
      </c>
      <c r="Z27" s="41"/>
    </row>
    <row r="28" customFormat="false" ht="15" hidden="false" customHeight="true" outlineLevel="0" collapsed="false">
      <c r="A28" s="27" t="s">
        <v>102</v>
      </c>
      <c r="B28" s="28" t="n">
        <v>13</v>
      </c>
      <c r="C28" s="29" t="n">
        <f aca="false">IF(AND($B28&gt;=13,$B28&lt;=60),C$8/48,0)</f>
        <v>215237.395833333</v>
      </c>
      <c r="D28" s="29" t="n">
        <f aca="false">IF(AND($B28&gt;=13,$B28&lt;=60),D$8/48,0)</f>
        <v>568942.8125</v>
      </c>
      <c r="E28" s="29" t="n">
        <f aca="false">IF(AND($B28&gt;=13,$B28&lt;=60),E$8/48,0)</f>
        <v>341365.708333333</v>
      </c>
      <c r="F28" s="29" t="n">
        <f aca="false">IF(AND($B28&gt;=13,$B28&lt;=60),F$8/48,0)</f>
        <v>227577.145833333</v>
      </c>
      <c r="G28" s="29" t="n">
        <f aca="false">IF(AND($B28&gt;=13,$B28&lt;=60),G$8/48,0)</f>
        <v>227577.145833333</v>
      </c>
      <c r="H28" s="29" t="n">
        <f aca="false">IF(AND($B28&gt;=13,$B28&lt;=60),H$8/48,0)</f>
        <v>227577.145833333</v>
      </c>
      <c r="I28" s="29" t="n">
        <f aca="false">IF(AND($B28&gt;=13,$B28&lt;=60),I$8/48,0)</f>
        <v>227577.145833333</v>
      </c>
      <c r="J28" s="29" t="n">
        <f aca="false">IF(AND($B28&gt;=13,$B28&lt;=60),J$8/48,0)</f>
        <v>47478.8333333333</v>
      </c>
      <c r="K28" s="29" t="n">
        <f aca="false">IF(AND($B28&gt;=13,$B28&lt;=36),K$8/24,0)</f>
        <v>7291666.66666667</v>
      </c>
      <c r="L28" s="29" t="n">
        <f aca="false">IF(AND($B28&gt;=13,$B28&lt;=36),L$8/24,0)</f>
        <v>833333.333333333</v>
      </c>
      <c r="M28" s="29" t="n">
        <f aca="false">IF($B28=0,M$8*0.2,IF(OR($B28=1,$B28=2),M$8*0.4,0))</f>
        <v>0</v>
      </c>
      <c r="N28" s="29" t="n">
        <f aca="false">IF($B28&lt;4,0,INDEX($AB$5:$AB$12,INT(($B28-1)/12)+1))</f>
        <v>3400000</v>
      </c>
      <c r="O28" s="29" t="n">
        <f aca="false">IF($B28=0,35000000,IF(AND($B28&gt;=1,$B28&lt;=30),15000000/30,0))</f>
        <v>500000</v>
      </c>
      <c r="P28" s="29" t="n">
        <f aca="false">IF(AND($B28&gt;=7,$B28&lt;=36),P$8/30,0)</f>
        <v>1666666.66666667</v>
      </c>
      <c r="Q28" s="29" t="n">
        <f aca="false">IF(AND($B28&gt;=13,$B28&lt;=36),Q$8/24,0)</f>
        <v>1666666.66666667</v>
      </c>
      <c r="R28" s="29" t="n">
        <f aca="false">IF(AND($B28&gt;=14,$B28&lt;=38),R$8/25,0)</f>
        <v>0</v>
      </c>
      <c r="S28" s="29" t="n">
        <f aca="false">IF($B28=0,S$8,0)</f>
        <v>0</v>
      </c>
      <c r="T28" s="29" t="n">
        <f aca="false">IF($B28=0,T$8,0)</f>
        <v>0</v>
      </c>
      <c r="U28" s="30" t="n">
        <f aca="false">U27+SUM(C28:T28)</f>
        <v>134441666.666667</v>
      </c>
      <c r="V28" s="31" t="n">
        <f aca="false">U28/1000000000</f>
        <v>0.134441666666667</v>
      </c>
      <c r="W28" s="31"/>
    </row>
    <row r="29" customFormat="false" ht="15" hidden="false" customHeight="true" outlineLevel="0" collapsed="false">
      <c r="A29" s="27" t="s">
        <v>103</v>
      </c>
      <c r="B29" s="28" t="n">
        <v>14</v>
      </c>
      <c r="C29" s="29" t="n">
        <f aca="false">IF(AND($B29&gt;=13,$B29&lt;=60),C$8/48,0)</f>
        <v>215237.395833333</v>
      </c>
      <c r="D29" s="29" t="n">
        <f aca="false">IF(AND($B29&gt;=13,$B29&lt;=60),D$8/48,0)</f>
        <v>568942.8125</v>
      </c>
      <c r="E29" s="29" t="n">
        <f aca="false">IF(AND($B29&gt;=13,$B29&lt;=60),E$8/48,0)</f>
        <v>341365.708333333</v>
      </c>
      <c r="F29" s="29" t="n">
        <f aca="false">IF(AND($B29&gt;=13,$B29&lt;=60),F$8/48,0)</f>
        <v>227577.145833333</v>
      </c>
      <c r="G29" s="29" t="n">
        <f aca="false">IF(AND($B29&gt;=13,$B29&lt;=60),G$8/48,0)</f>
        <v>227577.145833333</v>
      </c>
      <c r="H29" s="29" t="n">
        <f aca="false">IF(AND($B29&gt;=13,$B29&lt;=60),H$8/48,0)</f>
        <v>227577.145833333</v>
      </c>
      <c r="I29" s="29" t="n">
        <f aca="false">IF(AND($B29&gt;=13,$B29&lt;=60),I$8/48,0)</f>
        <v>227577.145833333</v>
      </c>
      <c r="J29" s="29" t="n">
        <f aca="false">IF(AND($B29&gt;=13,$B29&lt;=60),J$8/48,0)</f>
        <v>47478.8333333333</v>
      </c>
      <c r="K29" s="29" t="n">
        <f aca="false">IF(AND($B29&gt;=13,$B29&lt;=36),K$8/24,0)</f>
        <v>7291666.66666667</v>
      </c>
      <c r="L29" s="29" t="n">
        <f aca="false">IF(AND($B29&gt;=13,$B29&lt;=36),L$8/24,0)</f>
        <v>833333.333333333</v>
      </c>
      <c r="M29" s="29" t="n">
        <f aca="false">IF($B29=0,M$8*0.2,IF(OR($B29=1,$B29=2),M$8*0.4,0))</f>
        <v>0</v>
      </c>
      <c r="N29" s="29" t="n">
        <f aca="false">IF($B29&lt;4,0,INDEX($AB$5:$AB$12,INT(($B29-1)/12)+1))</f>
        <v>3400000</v>
      </c>
      <c r="O29" s="29" t="n">
        <f aca="false">IF($B29=0,35000000,IF(AND($B29&gt;=1,$B29&lt;=30),15000000/30,0))</f>
        <v>500000</v>
      </c>
      <c r="P29" s="29" t="n">
        <f aca="false">IF(AND($B29&gt;=7,$B29&lt;=36),P$8/30,0)</f>
        <v>1666666.66666667</v>
      </c>
      <c r="Q29" s="29" t="n">
        <f aca="false">IF(AND($B29&gt;=13,$B29&lt;=36),Q$8/24,0)</f>
        <v>1666666.66666667</v>
      </c>
      <c r="R29" s="29" t="n">
        <f aca="false">IF(AND($B29&gt;=14,$B29&lt;=38),R$8/25,0)</f>
        <v>2000000</v>
      </c>
      <c r="S29" s="29" t="n">
        <f aca="false">IF($B29=0,S$8,0)</f>
        <v>0</v>
      </c>
      <c r="T29" s="29" t="n">
        <f aca="false">IF($B29=0,T$8,0)</f>
        <v>0</v>
      </c>
      <c r="U29" s="30" t="n">
        <f aca="false">U28+SUM(C29:T29)</f>
        <v>153883333.333333</v>
      </c>
      <c r="V29" s="31" t="n">
        <f aca="false">U29/1000000000</f>
        <v>0.153883333333333</v>
      </c>
      <c r="W29" s="31"/>
    </row>
    <row r="30" customFormat="false" ht="15" hidden="false" customHeight="true" outlineLevel="0" collapsed="false">
      <c r="A30" s="27" t="s">
        <v>104</v>
      </c>
      <c r="B30" s="28" t="n">
        <v>15</v>
      </c>
      <c r="C30" s="29" t="n">
        <f aca="false">IF(AND($B30&gt;=13,$B30&lt;=60),C$8/48,0)</f>
        <v>215237.395833333</v>
      </c>
      <c r="D30" s="29" t="n">
        <f aca="false">IF(AND($B30&gt;=13,$B30&lt;=60),D$8/48,0)</f>
        <v>568942.8125</v>
      </c>
      <c r="E30" s="29" t="n">
        <f aca="false">IF(AND($B30&gt;=13,$B30&lt;=60),E$8/48,0)</f>
        <v>341365.708333333</v>
      </c>
      <c r="F30" s="29" t="n">
        <f aca="false">IF(AND($B30&gt;=13,$B30&lt;=60),F$8/48,0)</f>
        <v>227577.145833333</v>
      </c>
      <c r="G30" s="29" t="n">
        <f aca="false">IF(AND($B30&gt;=13,$B30&lt;=60),G$8/48,0)</f>
        <v>227577.145833333</v>
      </c>
      <c r="H30" s="29" t="n">
        <f aca="false">IF(AND($B30&gt;=13,$B30&lt;=60),H$8/48,0)</f>
        <v>227577.145833333</v>
      </c>
      <c r="I30" s="29" t="n">
        <f aca="false">IF(AND($B30&gt;=13,$B30&lt;=60),I$8/48,0)</f>
        <v>227577.145833333</v>
      </c>
      <c r="J30" s="29" t="n">
        <f aca="false">IF(AND($B30&gt;=13,$B30&lt;=60),J$8/48,0)</f>
        <v>47478.8333333333</v>
      </c>
      <c r="K30" s="29" t="n">
        <f aca="false">IF(AND($B30&gt;=13,$B30&lt;=36),K$8/24,0)</f>
        <v>7291666.66666667</v>
      </c>
      <c r="L30" s="29" t="n">
        <f aca="false">IF(AND($B30&gt;=13,$B30&lt;=36),L$8/24,0)</f>
        <v>833333.333333333</v>
      </c>
      <c r="M30" s="29" t="n">
        <f aca="false">IF($B30=0,M$8*0.2,IF(OR($B30=1,$B30=2),M$8*0.4,0))</f>
        <v>0</v>
      </c>
      <c r="N30" s="29" t="n">
        <f aca="false">IF($B30&lt;4,0,INDEX($AB$5:$AB$12,INT(($B30-1)/12)+1))</f>
        <v>3400000</v>
      </c>
      <c r="O30" s="29" t="n">
        <f aca="false">IF($B30=0,35000000,IF(AND($B30&gt;=1,$B30&lt;=30),15000000/30,0))</f>
        <v>500000</v>
      </c>
      <c r="P30" s="29" t="n">
        <f aca="false">IF(AND($B30&gt;=7,$B30&lt;=36),P$8/30,0)</f>
        <v>1666666.66666667</v>
      </c>
      <c r="Q30" s="29" t="n">
        <f aca="false">IF(AND($B30&gt;=13,$B30&lt;=36),Q$8/24,0)</f>
        <v>1666666.66666667</v>
      </c>
      <c r="R30" s="29" t="n">
        <f aca="false">IF(AND($B30&gt;=14,$B30&lt;=38),R$8/25,0)</f>
        <v>2000000</v>
      </c>
      <c r="S30" s="29" t="n">
        <f aca="false">IF($B30=0,S$8,0)</f>
        <v>0</v>
      </c>
      <c r="T30" s="29" t="n">
        <f aca="false">IF($B30=0,T$8,0)</f>
        <v>0</v>
      </c>
      <c r="U30" s="30" t="n">
        <f aca="false">U29+SUM(C30:T30)</f>
        <v>173325000</v>
      </c>
      <c r="V30" s="31" t="n">
        <f aca="false">U30/1000000000</f>
        <v>0.173325</v>
      </c>
      <c r="W30" s="31"/>
    </row>
    <row r="31" customFormat="false" ht="15" hidden="false" customHeight="true" outlineLevel="0" collapsed="false">
      <c r="A31" s="27" t="s">
        <v>105</v>
      </c>
      <c r="B31" s="28" t="n">
        <v>16</v>
      </c>
      <c r="C31" s="29" t="n">
        <f aca="false">IF(AND($B31&gt;=13,$B31&lt;=60),C$8/48,0)</f>
        <v>215237.395833333</v>
      </c>
      <c r="D31" s="29" t="n">
        <f aca="false">IF(AND($B31&gt;=13,$B31&lt;=60),D$8/48,0)</f>
        <v>568942.8125</v>
      </c>
      <c r="E31" s="29" t="n">
        <f aca="false">IF(AND($B31&gt;=13,$B31&lt;=60),E$8/48,0)</f>
        <v>341365.708333333</v>
      </c>
      <c r="F31" s="29" t="n">
        <f aca="false">IF(AND($B31&gt;=13,$B31&lt;=60),F$8/48,0)</f>
        <v>227577.145833333</v>
      </c>
      <c r="G31" s="29" t="n">
        <f aca="false">IF(AND($B31&gt;=13,$B31&lt;=60),G$8/48,0)</f>
        <v>227577.145833333</v>
      </c>
      <c r="H31" s="29" t="n">
        <f aca="false">IF(AND($B31&gt;=13,$B31&lt;=60),H$8/48,0)</f>
        <v>227577.145833333</v>
      </c>
      <c r="I31" s="29" t="n">
        <f aca="false">IF(AND($B31&gt;=13,$B31&lt;=60),I$8/48,0)</f>
        <v>227577.145833333</v>
      </c>
      <c r="J31" s="29" t="n">
        <f aca="false">IF(AND($B31&gt;=13,$B31&lt;=60),J$8/48,0)</f>
        <v>47478.8333333333</v>
      </c>
      <c r="K31" s="29" t="n">
        <f aca="false">IF(AND($B31&gt;=13,$B31&lt;=36),K$8/24,0)</f>
        <v>7291666.66666667</v>
      </c>
      <c r="L31" s="29" t="n">
        <f aca="false">IF(AND($B31&gt;=13,$B31&lt;=36),L$8/24,0)</f>
        <v>833333.333333333</v>
      </c>
      <c r="M31" s="29" t="n">
        <f aca="false">IF($B31=0,M$8*0.2,IF(OR($B31=1,$B31=2),M$8*0.4,0))</f>
        <v>0</v>
      </c>
      <c r="N31" s="29" t="n">
        <f aca="false">IF($B31&lt;4,0,INDEX($AB$5:$AB$12,INT(($B31-1)/12)+1))</f>
        <v>3400000</v>
      </c>
      <c r="O31" s="29" t="n">
        <f aca="false">IF($B31=0,35000000,IF(AND($B31&gt;=1,$B31&lt;=30),15000000/30,0))</f>
        <v>500000</v>
      </c>
      <c r="P31" s="29" t="n">
        <f aca="false">IF(AND($B31&gt;=7,$B31&lt;=36),P$8/30,0)</f>
        <v>1666666.66666667</v>
      </c>
      <c r="Q31" s="29" t="n">
        <f aca="false">IF(AND($B31&gt;=13,$B31&lt;=36),Q$8/24,0)</f>
        <v>1666666.66666667</v>
      </c>
      <c r="R31" s="29" t="n">
        <f aca="false">IF(AND($B31&gt;=14,$B31&lt;=38),R$8/25,0)</f>
        <v>2000000</v>
      </c>
      <c r="S31" s="29" t="n">
        <f aca="false">IF($B31=0,S$8,0)</f>
        <v>0</v>
      </c>
      <c r="T31" s="29" t="n">
        <f aca="false">IF($B31=0,T$8,0)</f>
        <v>0</v>
      </c>
      <c r="U31" s="30" t="n">
        <f aca="false">U30+SUM(C31:T31)</f>
        <v>192766666.666667</v>
      </c>
      <c r="V31" s="31" t="n">
        <f aca="false">U31/1000000000</f>
        <v>0.192766666666667</v>
      </c>
      <c r="W31" s="31"/>
    </row>
    <row r="32" customFormat="false" ht="15" hidden="false" customHeight="true" outlineLevel="0" collapsed="false">
      <c r="A32" s="27" t="s">
        <v>106</v>
      </c>
      <c r="B32" s="28" t="n">
        <v>17</v>
      </c>
      <c r="C32" s="29" t="n">
        <f aca="false">IF(AND($B32&gt;=13,$B32&lt;=60),C$8/48,0)</f>
        <v>215237.395833333</v>
      </c>
      <c r="D32" s="29" t="n">
        <f aca="false">IF(AND($B32&gt;=13,$B32&lt;=60),D$8/48,0)</f>
        <v>568942.8125</v>
      </c>
      <c r="E32" s="29" t="n">
        <f aca="false">IF(AND($B32&gt;=13,$B32&lt;=60),E$8/48,0)</f>
        <v>341365.708333333</v>
      </c>
      <c r="F32" s="29" t="n">
        <f aca="false">IF(AND($B32&gt;=13,$B32&lt;=60),F$8/48,0)</f>
        <v>227577.145833333</v>
      </c>
      <c r="G32" s="29" t="n">
        <f aca="false">IF(AND($B32&gt;=13,$B32&lt;=60),G$8/48,0)</f>
        <v>227577.145833333</v>
      </c>
      <c r="H32" s="29" t="n">
        <f aca="false">IF(AND($B32&gt;=13,$B32&lt;=60),H$8/48,0)</f>
        <v>227577.145833333</v>
      </c>
      <c r="I32" s="29" t="n">
        <f aca="false">IF(AND($B32&gt;=13,$B32&lt;=60),I$8/48,0)</f>
        <v>227577.145833333</v>
      </c>
      <c r="J32" s="29" t="n">
        <f aca="false">IF(AND($B32&gt;=13,$B32&lt;=60),J$8/48,0)</f>
        <v>47478.8333333333</v>
      </c>
      <c r="K32" s="29" t="n">
        <f aca="false">IF(AND($B32&gt;=13,$B32&lt;=36),K$8/24,0)</f>
        <v>7291666.66666667</v>
      </c>
      <c r="L32" s="29" t="n">
        <f aca="false">IF(AND($B32&gt;=13,$B32&lt;=36),L$8/24,0)</f>
        <v>833333.333333333</v>
      </c>
      <c r="M32" s="29" t="n">
        <f aca="false">IF($B32=0,M$8*0.2,IF(OR($B32=1,$B32=2),M$8*0.4,0))</f>
        <v>0</v>
      </c>
      <c r="N32" s="29" t="n">
        <f aca="false">IF($B32&lt;4,0,INDEX($AB$5:$AB$12,INT(($B32-1)/12)+1))</f>
        <v>3400000</v>
      </c>
      <c r="O32" s="29" t="n">
        <f aca="false">IF($B32=0,35000000,IF(AND($B32&gt;=1,$B32&lt;=30),15000000/30,0))</f>
        <v>500000</v>
      </c>
      <c r="P32" s="29" t="n">
        <f aca="false">IF(AND($B32&gt;=7,$B32&lt;=36),P$8/30,0)</f>
        <v>1666666.66666667</v>
      </c>
      <c r="Q32" s="29" t="n">
        <f aca="false">IF(AND($B32&gt;=13,$B32&lt;=36),Q$8/24,0)</f>
        <v>1666666.66666667</v>
      </c>
      <c r="R32" s="29" t="n">
        <f aca="false">IF(AND($B32&gt;=14,$B32&lt;=38),R$8/25,0)</f>
        <v>2000000</v>
      </c>
      <c r="S32" s="29" t="n">
        <f aca="false">IF($B32=0,S$8,0)</f>
        <v>0</v>
      </c>
      <c r="T32" s="29" t="n">
        <f aca="false">IF($B32=0,T$8,0)</f>
        <v>0</v>
      </c>
      <c r="U32" s="30" t="n">
        <f aca="false">U31+SUM(C32:T32)</f>
        <v>212208333.333333</v>
      </c>
      <c r="V32" s="31" t="n">
        <f aca="false">U32/1000000000</f>
        <v>0.212208333333333</v>
      </c>
      <c r="W32" s="31"/>
    </row>
    <row r="33" customFormat="false" ht="15" hidden="false" customHeight="true" outlineLevel="0" collapsed="false">
      <c r="A33" s="27" t="s">
        <v>107</v>
      </c>
      <c r="B33" s="28" t="n">
        <v>18</v>
      </c>
      <c r="C33" s="29" t="n">
        <f aca="false">IF(AND($B33&gt;=13,$B33&lt;=60),C$8/48,0)</f>
        <v>215237.395833333</v>
      </c>
      <c r="D33" s="29" t="n">
        <f aca="false">IF(AND($B33&gt;=13,$B33&lt;=60),D$8/48,0)</f>
        <v>568942.8125</v>
      </c>
      <c r="E33" s="29" t="n">
        <f aca="false">IF(AND($B33&gt;=13,$B33&lt;=60),E$8/48,0)</f>
        <v>341365.708333333</v>
      </c>
      <c r="F33" s="29" t="n">
        <f aca="false">IF(AND($B33&gt;=13,$B33&lt;=60),F$8/48,0)</f>
        <v>227577.145833333</v>
      </c>
      <c r="G33" s="29" t="n">
        <f aca="false">IF(AND($B33&gt;=13,$B33&lt;=60),G$8/48,0)</f>
        <v>227577.145833333</v>
      </c>
      <c r="H33" s="29" t="n">
        <f aca="false">IF(AND($B33&gt;=13,$B33&lt;=60),H$8/48,0)</f>
        <v>227577.145833333</v>
      </c>
      <c r="I33" s="29" t="n">
        <f aca="false">IF(AND($B33&gt;=13,$B33&lt;=60),I$8/48,0)</f>
        <v>227577.145833333</v>
      </c>
      <c r="J33" s="29" t="n">
        <f aca="false">IF(AND($B33&gt;=13,$B33&lt;=60),J$8/48,0)</f>
        <v>47478.8333333333</v>
      </c>
      <c r="K33" s="29" t="n">
        <f aca="false">IF(AND($B33&gt;=13,$B33&lt;=36),K$8/24,0)</f>
        <v>7291666.66666667</v>
      </c>
      <c r="L33" s="29" t="n">
        <f aca="false">IF(AND($B33&gt;=13,$B33&lt;=36),L$8/24,0)</f>
        <v>833333.333333333</v>
      </c>
      <c r="M33" s="29" t="n">
        <f aca="false">IF($B33=0,M$8*0.2,IF(OR($B33=1,$B33=2),M$8*0.4,0))</f>
        <v>0</v>
      </c>
      <c r="N33" s="29" t="n">
        <f aca="false">IF($B33&lt;4,0,INDEX($AB$5:$AB$12,INT(($B33-1)/12)+1))</f>
        <v>3400000</v>
      </c>
      <c r="O33" s="29" t="n">
        <f aca="false">IF($B33=0,35000000,IF(AND($B33&gt;=1,$B33&lt;=30),15000000/30,0))</f>
        <v>500000</v>
      </c>
      <c r="P33" s="29" t="n">
        <f aca="false">IF(AND($B33&gt;=7,$B33&lt;=36),P$8/30,0)</f>
        <v>1666666.66666667</v>
      </c>
      <c r="Q33" s="29" t="n">
        <f aca="false">IF(AND($B33&gt;=13,$B33&lt;=36),Q$8/24,0)</f>
        <v>1666666.66666667</v>
      </c>
      <c r="R33" s="29" t="n">
        <f aca="false">IF(AND($B33&gt;=14,$B33&lt;=38),R$8/25,0)</f>
        <v>2000000</v>
      </c>
      <c r="S33" s="29" t="n">
        <f aca="false">IF($B33=0,S$8,0)</f>
        <v>0</v>
      </c>
      <c r="T33" s="29" t="n">
        <f aca="false">IF($B33=0,T$8,0)</f>
        <v>0</v>
      </c>
      <c r="U33" s="30" t="n">
        <f aca="false">U32+SUM(C33:T33)</f>
        <v>231650000</v>
      </c>
      <c r="V33" s="31" t="n">
        <f aca="false">U33/1000000000</f>
        <v>0.23165</v>
      </c>
      <c r="W33" s="31"/>
    </row>
    <row r="34" customFormat="false" ht="15" hidden="false" customHeight="true" outlineLevel="0" collapsed="false">
      <c r="A34" s="27" t="s">
        <v>108</v>
      </c>
      <c r="B34" s="28" t="n">
        <v>19</v>
      </c>
      <c r="C34" s="29" t="n">
        <f aca="false">IF(AND($B34&gt;=13,$B34&lt;=60),C$8/48,0)</f>
        <v>215237.395833333</v>
      </c>
      <c r="D34" s="29" t="n">
        <f aca="false">IF(AND($B34&gt;=13,$B34&lt;=60),D$8/48,0)</f>
        <v>568942.8125</v>
      </c>
      <c r="E34" s="29" t="n">
        <f aca="false">IF(AND($B34&gt;=13,$B34&lt;=60),E$8/48,0)</f>
        <v>341365.708333333</v>
      </c>
      <c r="F34" s="29" t="n">
        <f aca="false">IF(AND($B34&gt;=13,$B34&lt;=60),F$8/48,0)</f>
        <v>227577.145833333</v>
      </c>
      <c r="G34" s="29" t="n">
        <f aca="false">IF(AND($B34&gt;=13,$B34&lt;=60),G$8/48,0)</f>
        <v>227577.145833333</v>
      </c>
      <c r="H34" s="29" t="n">
        <f aca="false">IF(AND($B34&gt;=13,$B34&lt;=60),H$8/48,0)</f>
        <v>227577.145833333</v>
      </c>
      <c r="I34" s="29" t="n">
        <f aca="false">IF(AND($B34&gt;=13,$B34&lt;=60),I$8/48,0)</f>
        <v>227577.145833333</v>
      </c>
      <c r="J34" s="29" t="n">
        <f aca="false">IF(AND($B34&gt;=13,$B34&lt;=60),J$8/48,0)</f>
        <v>47478.8333333333</v>
      </c>
      <c r="K34" s="29" t="n">
        <f aca="false">IF(AND($B34&gt;=13,$B34&lt;=36),K$8/24,0)</f>
        <v>7291666.66666667</v>
      </c>
      <c r="L34" s="29" t="n">
        <f aca="false">IF(AND($B34&gt;=13,$B34&lt;=36),L$8/24,0)</f>
        <v>833333.333333333</v>
      </c>
      <c r="M34" s="29" t="n">
        <f aca="false">IF($B34=0,M$8*0.2,IF(OR($B34=1,$B34=2),M$8*0.4,0))</f>
        <v>0</v>
      </c>
      <c r="N34" s="29" t="n">
        <f aca="false">IF($B34&lt;4,0,INDEX($AB$5:$AB$12,INT(($B34-1)/12)+1))</f>
        <v>3400000</v>
      </c>
      <c r="O34" s="29" t="n">
        <f aca="false">IF($B34=0,35000000,IF(AND($B34&gt;=1,$B34&lt;=30),15000000/30,0))</f>
        <v>500000</v>
      </c>
      <c r="P34" s="29" t="n">
        <f aca="false">IF(AND($B34&gt;=7,$B34&lt;=36),P$8/30,0)</f>
        <v>1666666.66666667</v>
      </c>
      <c r="Q34" s="29" t="n">
        <f aca="false">IF(AND($B34&gt;=13,$B34&lt;=36),Q$8/24,0)</f>
        <v>1666666.66666667</v>
      </c>
      <c r="R34" s="29" t="n">
        <f aca="false">IF(AND($B34&gt;=14,$B34&lt;=38),R$8/25,0)</f>
        <v>2000000</v>
      </c>
      <c r="S34" s="29" t="n">
        <f aca="false">IF($B34=0,S$8,0)</f>
        <v>0</v>
      </c>
      <c r="T34" s="29" t="n">
        <f aca="false">IF($B34=0,T$8,0)</f>
        <v>0</v>
      </c>
      <c r="U34" s="30" t="n">
        <f aca="false">U33+SUM(C34:T34)</f>
        <v>251091666.666667</v>
      </c>
      <c r="V34" s="31" t="n">
        <f aca="false">U34/1000000000</f>
        <v>0.251091666666667</v>
      </c>
      <c r="W34" s="31"/>
    </row>
    <row r="35" customFormat="false" ht="15" hidden="false" customHeight="true" outlineLevel="0" collapsed="false">
      <c r="A35" s="27" t="s">
        <v>109</v>
      </c>
      <c r="B35" s="28" t="n">
        <v>20</v>
      </c>
      <c r="C35" s="29" t="n">
        <f aca="false">IF(AND($B35&gt;=13,$B35&lt;=60),C$8/48,0)</f>
        <v>215237.395833333</v>
      </c>
      <c r="D35" s="29" t="n">
        <f aca="false">IF(AND($B35&gt;=13,$B35&lt;=60),D$8/48,0)</f>
        <v>568942.8125</v>
      </c>
      <c r="E35" s="29" t="n">
        <f aca="false">IF(AND($B35&gt;=13,$B35&lt;=60),E$8/48,0)</f>
        <v>341365.708333333</v>
      </c>
      <c r="F35" s="29" t="n">
        <f aca="false">IF(AND($B35&gt;=13,$B35&lt;=60),F$8/48,0)</f>
        <v>227577.145833333</v>
      </c>
      <c r="G35" s="29" t="n">
        <f aca="false">IF(AND($B35&gt;=13,$B35&lt;=60),G$8/48,0)</f>
        <v>227577.145833333</v>
      </c>
      <c r="H35" s="29" t="n">
        <f aca="false">IF(AND($B35&gt;=13,$B35&lt;=60),H$8/48,0)</f>
        <v>227577.145833333</v>
      </c>
      <c r="I35" s="29" t="n">
        <f aca="false">IF(AND($B35&gt;=13,$B35&lt;=60),I$8/48,0)</f>
        <v>227577.145833333</v>
      </c>
      <c r="J35" s="29" t="n">
        <f aca="false">IF(AND($B35&gt;=13,$B35&lt;=60),J$8/48,0)</f>
        <v>47478.8333333333</v>
      </c>
      <c r="K35" s="29" t="n">
        <f aca="false">IF(AND($B35&gt;=13,$B35&lt;=36),K$8/24,0)</f>
        <v>7291666.66666667</v>
      </c>
      <c r="L35" s="29" t="n">
        <f aca="false">IF(AND($B35&gt;=13,$B35&lt;=36),L$8/24,0)</f>
        <v>833333.333333333</v>
      </c>
      <c r="M35" s="29" t="n">
        <f aca="false">IF($B35=0,M$8*0.2,IF(OR($B35=1,$B35=2),M$8*0.4,0))</f>
        <v>0</v>
      </c>
      <c r="N35" s="29" t="n">
        <f aca="false">IF($B35&lt;4,0,INDEX($AB$5:$AB$12,INT(($B35-1)/12)+1))</f>
        <v>3400000</v>
      </c>
      <c r="O35" s="29" t="n">
        <f aca="false">IF($B35=0,35000000,IF(AND($B35&gt;=1,$B35&lt;=30),15000000/30,0))</f>
        <v>500000</v>
      </c>
      <c r="P35" s="29" t="n">
        <f aca="false">IF(AND($B35&gt;=7,$B35&lt;=36),P$8/30,0)</f>
        <v>1666666.66666667</v>
      </c>
      <c r="Q35" s="29" t="n">
        <f aca="false">IF(AND($B35&gt;=13,$B35&lt;=36),Q$8/24,0)</f>
        <v>1666666.66666667</v>
      </c>
      <c r="R35" s="29" t="n">
        <f aca="false">IF(AND($B35&gt;=14,$B35&lt;=38),R$8/25,0)</f>
        <v>2000000</v>
      </c>
      <c r="S35" s="29" t="n">
        <f aca="false">IF($B35=0,S$8,0)</f>
        <v>0</v>
      </c>
      <c r="T35" s="29" t="n">
        <f aca="false">IF($B35=0,T$8,0)</f>
        <v>0</v>
      </c>
      <c r="U35" s="30" t="n">
        <f aca="false">U34+SUM(C35:T35)</f>
        <v>270533333.333333</v>
      </c>
      <c r="V35" s="31" t="n">
        <f aca="false">U35/1000000000</f>
        <v>0.270533333333333</v>
      </c>
      <c r="W35" s="31"/>
    </row>
    <row r="36" customFormat="false" ht="15" hidden="false" customHeight="true" outlineLevel="0" collapsed="false">
      <c r="A36" s="27" t="s">
        <v>110</v>
      </c>
      <c r="B36" s="28" t="n">
        <v>21</v>
      </c>
      <c r="C36" s="29" t="n">
        <f aca="false">IF(AND($B36&gt;=13,$B36&lt;=60),C$8/48,0)</f>
        <v>215237.395833333</v>
      </c>
      <c r="D36" s="29" t="n">
        <f aca="false">IF(AND($B36&gt;=13,$B36&lt;=60),D$8/48,0)</f>
        <v>568942.8125</v>
      </c>
      <c r="E36" s="29" t="n">
        <f aca="false">IF(AND($B36&gt;=13,$B36&lt;=60),E$8/48,0)</f>
        <v>341365.708333333</v>
      </c>
      <c r="F36" s="29" t="n">
        <f aca="false">IF(AND($B36&gt;=13,$B36&lt;=60),F$8/48,0)</f>
        <v>227577.145833333</v>
      </c>
      <c r="G36" s="29" t="n">
        <f aca="false">IF(AND($B36&gt;=13,$B36&lt;=60),G$8/48,0)</f>
        <v>227577.145833333</v>
      </c>
      <c r="H36" s="29" t="n">
        <f aca="false">IF(AND($B36&gt;=13,$B36&lt;=60),H$8/48,0)</f>
        <v>227577.145833333</v>
      </c>
      <c r="I36" s="29" t="n">
        <f aca="false">IF(AND($B36&gt;=13,$B36&lt;=60),I$8/48,0)</f>
        <v>227577.145833333</v>
      </c>
      <c r="J36" s="29" t="n">
        <f aca="false">IF(AND($B36&gt;=13,$B36&lt;=60),J$8/48,0)</f>
        <v>47478.8333333333</v>
      </c>
      <c r="K36" s="29" t="n">
        <f aca="false">IF(AND($B36&gt;=13,$B36&lt;=36),K$8/24,0)</f>
        <v>7291666.66666667</v>
      </c>
      <c r="L36" s="29" t="n">
        <f aca="false">IF(AND($B36&gt;=13,$B36&lt;=36),L$8/24,0)</f>
        <v>833333.333333333</v>
      </c>
      <c r="M36" s="29" t="n">
        <f aca="false">IF($B36=0,M$8*0.2,IF(OR($B36=1,$B36=2),M$8*0.4,0))</f>
        <v>0</v>
      </c>
      <c r="N36" s="29" t="n">
        <f aca="false">IF($B36&lt;4,0,INDEX($AB$5:$AB$12,INT(($B36-1)/12)+1))</f>
        <v>3400000</v>
      </c>
      <c r="O36" s="29" t="n">
        <f aca="false">IF($B36=0,35000000,IF(AND($B36&gt;=1,$B36&lt;=30),15000000/30,0))</f>
        <v>500000</v>
      </c>
      <c r="P36" s="29" t="n">
        <f aca="false">IF(AND($B36&gt;=7,$B36&lt;=36),P$8/30,0)</f>
        <v>1666666.66666667</v>
      </c>
      <c r="Q36" s="29" t="n">
        <f aca="false">IF(AND($B36&gt;=13,$B36&lt;=36),Q$8/24,0)</f>
        <v>1666666.66666667</v>
      </c>
      <c r="R36" s="29" t="n">
        <f aca="false">IF(AND($B36&gt;=14,$B36&lt;=38),R$8/25,0)</f>
        <v>2000000</v>
      </c>
      <c r="S36" s="29" t="n">
        <f aca="false">IF($B36=0,S$8,0)</f>
        <v>0</v>
      </c>
      <c r="T36" s="29" t="n">
        <f aca="false">IF($B36=0,T$8,0)</f>
        <v>0</v>
      </c>
      <c r="U36" s="30" t="n">
        <f aca="false">U35+SUM(C36:T36)</f>
        <v>289975000</v>
      </c>
      <c r="V36" s="31" t="n">
        <f aca="false">U36/1000000000</f>
        <v>0.289975</v>
      </c>
      <c r="W36" s="31"/>
    </row>
    <row r="37" customFormat="false" ht="15" hidden="false" customHeight="true" outlineLevel="0" collapsed="false">
      <c r="A37" s="27" t="s">
        <v>111</v>
      </c>
      <c r="B37" s="28" t="n">
        <v>22</v>
      </c>
      <c r="C37" s="29" t="n">
        <f aca="false">IF(AND($B37&gt;=13,$B37&lt;=60),C$8/48,0)</f>
        <v>215237.395833333</v>
      </c>
      <c r="D37" s="29" t="n">
        <f aca="false">IF(AND($B37&gt;=13,$B37&lt;=60),D$8/48,0)</f>
        <v>568942.8125</v>
      </c>
      <c r="E37" s="29" t="n">
        <f aca="false">IF(AND($B37&gt;=13,$B37&lt;=60),E$8/48,0)</f>
        <v>341365.708333333</v>
      </c>
      <c r="F37" s="29" t="n">
        <f aca="false">IF(AND($B37&gt;=13,$B37&lt;=60),F$8/48,0)</f>
        <v>227577.145833333</v>
      </c>
      <c r="G37" s="29" t="n">
        <f aca="false">IF(AND($B37&gt;=13,$B37&lt;=60),G$8/48,0)</f>
        <v>227577.145833333</v>
      </c>
      <c r="H37" s="29" t="n">
        <f aca="false">IF(AND($B37&gt;=13,$B37&lt;=60),H$8/48,0)</f>
        <v>227577.145833333</v>
      </c>
      <c r="I37" s="29" t="n">
        <f aca="false">IF(AND($B37&gt;=13,$B37&lt;=60),I$8/48,0)</f>
        <v>227577.145833333</v>
      </c>
      <c r="J37" s="29" t="n">
        <f aca="false">IF(AND($B37&gt;=13,$B37&lt;=60),J$8/48,0)</f>
        <v>47478.8333333333</v>
      </c>
      <c r="K37" s="29" t="n">
        <f aca="false">IF(AND($B37&gt;=13,$B37&lt;=36),K$8/24,0)</f>
        <v>7291666.66666667</v>
      </c>
      <c r="L37" s="29" t="n">
        <f aca="false">IF(AND($B37&gt;=13,$B37&lt;=36),L$8/24,0)</f>
        <v>833333.333333333</v>
      </c>
      <c r="M37" s="29" t="n">
        <f aca="false">IF($B37=0,M$8*0.2,IF(OR($B37=1,$B37=2),M$8*0.4,0))</f>
        <v>0</v>
      </c>
      <c r="N37" s="29" t="n">
        <f aca="false">IF($B37&lt;4,0,INDEX($AB$5:$AB$12,INT(($B37-1)/12)+1))</f>
        <v>3400000</v>
      </c>
      <c r="O37" s="29" t="n">
        <f aca="false">IF($B37=0,35000000,IF(AND($B37&gt;=1,$B37&lt;=30),15000000/30,0))</f>
        <v>500000</v>
      </c>
      <c r="P37" s="29" t="n">
        <f aca="false">IF(AND($B37&gt;=7,$B37&lt;=36),P$8/30,0)</f>
        <v>1666666.66666667</v>
      </c>
      <c r="Q37" s="29" t="n">
        <f aca="false">IF(AND($B37&gt;=13,$B37&lt;=36),Q$8/24,0)</f>
        <v>1666666.66666667</v>
      </c>
      <c r="R37" s="29" t="n">
        <f aca="false">IF(AND($B37&gt;=14,$B37&lt;=38),R$8/25,0)</f>
        <v>2000000</v>
      </c>
      <c r="S37" s="29" t="n">
        <f aca="false">IF($B37=0,S$8,0)</f>
        <v>0</v>
      </c>
      <c r="T37" s="29" t="n">
        <f aca="false">IF($B37=0,T$8,0)</f>
        <v>0</v>
      </c>
      <c r="U37" s="30" t="n">
        <f aca="false">U36+SUM(C37:T37)</f>
        <v>309416666.666667</v>
      </c>
      <c r="V37" s="31" t="n">
        <f aca="false">U37/1000000000</f>
        <v>0.309416666666667</v>
      </c>
      <c r="W37" s="31"/>
    </row>
    <row r="38" customFormat="false" ht="15" hidden="false" customHeight="true" outlineLevel="0" collapsed="false">
      <c r="A38" s="27" t="s">
        <v>112</v>
      </c>
      <c r="B38" s="28" t="n">
        <v>23</v>
      </c>
      <c r="C38" s="29" t="n">
        <f aca="false">IF(AND($B38&gt;=13,$B38&lt;=60),C$8/48,0)</f>
        <v>215237.395833333</v>
      </c>
      <c r="D38" s="29" t="n">
        <f aca="false">IF(AND($B38&gt;=13,$B38&lt;=60),D$8/48,0)</f>
        <v>568942.8125</v>
      </c>
      <c r="E38" s="29" t="n">
        <f aca="false">IF(AND($B38&gt;=13,$B38&lt;=60),E$8/48,0)</f>
        <v>341365.708333333</v>
      </c>
      <c r="F38" s="29" t="n">
        <f aca="false">IF(AND($B38&gt;=13,$B38&lt;=60),F$8/48,0)</f>
        <v>227577.145833333</v>
      </c>
      <c r="G38" s="29" t="n">
        <f aca="false">IF(AND($B38&gt;=13,$B38&lt;=60),G$8/48,0)</f>
        <v>227577.145833333</v>
      </c>
      <c r="H38" s="29" t="n">
        <f aca="false">IF(AND($B38&gt;=13,$B38&lt;=60),H$8/48,0)</f>
        <v>227577.145833333</v>
      </c>
      <c r="I38" s="29" t="n">
        <f aca="false">IF(AND($B38&gt;=13,$B38&lt;=60),I$8/48,0)</f>
        <v>227577.145833333</v>
      </c>
      <c r="J38" s="29" t="n">
        <f aca="false">IF(AND($B38&gt;=13,$B38&lt;=60),J$8/48,0)</f>
        <v>47478.8333333333</v>
      </c>
      <c r="K38" s="29" t="n">
        <f aca="false">IF(AND($B38&gt;=13,$B38&lt;=36),K$8/24,0)</f>
        <v>7291666.66666667</v>
      </c>
      <c r="L38" s="29" t="n">
        <f aca="false">IF(AND($B38&gt;=13,$B38&lt;=36),L$8/24,0)</f>
        <v>833333.333333333</v>
      </c>
      <c r="M38" s="29" t="n">
        <f aca="false">IF($B38=0,M$8*0.2,IF(OR($B38=1,$B38=2),M$8*0.4,0))</f>
        <v>0</v>
      </c>
      <c r="N38" s="29" t="n">
        <f aca="false">IF($B38&lt;4,0,INDEX($AB$5:$AB$12,INT(($B38-1)/12)+1))</f>
        <v>3400000</v>
      </c>
      <c r="O38" s="29" t="n">
        <f aca="false">IF($B38=0,35000000,IF(AND($B38&gt;=1,$B38&lt;=30),15000000/30,0))</f>
        <v>500000</v>
      </c>
      <c r="P38" s="29" t="n">
        <f aca="false">IF(AND($B38&gt;=7,$B38&lt;=36),P$8/30,0)</f>
        <v>1666666.66666667</v>
      </c>
      <c r="Q38" s="29" t="n">
        <f aca="false">IF(AND($B38&gt;=13,$B38&lt;=36),Q$8/24,0)</f>
        <v>1666666.66666667</v>
      </c>
      <c r="R38" s="29" t="n">
        <f aca="false">IF(AND($B38&gt;=14,$B38&lt;=38),R$8/25,0)</f>
        <v>2000000</v>
      </c>
      <c r="S38" s="29" t="n">
        <f aca="false">IF($B38=0,S$8,0)</f>
        <v>0</v>
      </c>
      <c r="T38" s="29" t="n">
        <f aca="false">IF($B38=0,T$8,0)</f>
        <v>0</v>
      </c>
      <c r="U38" s="30" t="n">
        <f aca="false">U37+SUM(C38:T38)</f>
        <v>328858333.333333</v>
      </c>
      <c r="V38" s="31" t="n">
        <f aca="false">U38/1000000000</f>
        <v>0.328858333333333</v>
      </c>
      <c r="W38" s="31"/>
    </row>
    <row r="39" customFormat="false" ht="15" hidden="false" customHeight="true" outlineLevel="0" collapsed="false">
      <c r="A39" s="27" t="s">
        <v>113</v>
      </c>
      <c r="B39" s="28" t="n">
        <v>24</v>
      </c>
      <c r="C39" s="29" t="n">
        <f aca="false">IF(AND($B39&gt;=13,$B39&lt;=60),C$8/48,0)</f>
        <v>215237.395833333</v>
      </c>
      <c r="D39" s="29" t="n">
        <f aca="false">IF(AND($B39&gt;=13,$B39&lt;=60),D$8/48,0)</f>
        <v>568942.8125</v>
      </c>
      <c r="E39" s="29" t="n">
        <f aca="false">IF(AND($B39&gt;=13,$B39&lt;=60),E$8/48,0)</f>
        <v>341365.708333333</v>
      </c>
      <c r="F39" s="29" t="n">
        <f aca="false">IF(AND($B39&gt;=13,$B39&lt;=60),F$8/48,0)</f>
        <v>227577.145833333</v>
      </c>
      <c r="G39" s="29" t="n">
        <f aca="false">IF(AND($B39&gt;=13,$B39&lt;=60),G$8/48,0)</f>
        <v>227577.145833333</v>
      </c>
      <c r="H39" s="29" t="n">
        <f aca="false">IF(AND($B39&gt;=13,$B39&lt;=60),H$8/48,0)</f>
        <v>227577.145833333</v>
      </c>
      <c r="I39" s="29" t="n">
        <f aca="false">IF(AND($B39&gt;=13,$B39&lt;=60),I$8/48,0)</f>
        <v>227577.145833333</v>
      </c>
      <c r="J39" s="29" t="n">
        <f aca="false">IF(AND($B39&gt;=13,$B39&lt;=60),J$8/48,0)</f>
        <v>47478.8333333333</v>
      </c>
      <c r="K39" s="29" t="n">
        <f aca="false">IF(AND($B39&gt;=13,$B39&lt;=36),K$8/24,0)</f>
        <v>7291666.66666667</v>
      </c>
      <c r="L39" s="29" t="n">
        <f aca="false">IF(AND($B39&gt;=13,$B39&lt;=36),L$8/24,0)</f>
        <v>833333.333333333</v>
      </c>
      <c r="M39" s="29" t="n">
        <f aca="false">IF($B39=0,M$8*0.2,IF(OR($B39=1,$B39=2),M$8*0.4,0))</f>
        <v>0</v>
      </c>
      <c r="N39" s="29" t="n">
        <f aca="false">IF($B39&lt;4,0,INDEX($AB$5:$AB$12,INT(($B39-1)/12)+1))</f>
        <v>3400000</v>
      </c>
      <c r="O39" s="29" t="n">
        <f aca="false">IF($B39=0,35000000,IF(AND($B39&gt;=1,$B39&lt;=30),15000000/30,0))</f>
        <v>500000</v>
      </c>
      <c r="P39" s="29" t="n">
        <f aca="false">IF(AND($B39&gt;=7,$B39&lt;=36),P$8/30,0)</f>
        <v>1666666.66666667</v>
      </c>
      <c r="Q39" s="29" t="n">
        <f aca="false">IF(AND($B39&gt;=13,$B39&lt;=36),Q$8/24,0)</f>
        <v>1666666.66666667</v>
      </c>
      <c r="R39" s="29" t="n">
        <f aca="false">IF(AND($B39&gt;=14,$B39&lt;=38),R$8/25,0)</f>
        <v>2000000</v>
      </c>
      <c r="S39" s="29" t="n">
        <f aca="false">IF($B39=0,S$8,0)</f>
        <v>0</v>
      </c>
      <c r="T39" s="29" t="n">
        <f aca="false">IF($B39=0,T$8,0)</f>
        <v>0</v>
      </c>
      <c r="U39" s="30" t="n">
        <f aca="false">U38+SUM(C39:T39)</f>
        <v>348300000</v>
      </c>
      <c r="V39" s="31" t="n">
        <f aca="false">U39/1000000000</f>
        <v>0.3483</v>
      </c>
      <c r="W39" s="31"/>
    </row>
    <row r="40" customFormat="false" ht="15" hidden="false" customHeight="true" outlineLevel="0" collapsed="false">
      <c r="A40" s="27" t="s">
        <v>114</v>
      </c>
      <c r="B40" s="28" t="n">
        <v>25</v>
      </c>
      <c r="C40" s="29" t="n">
        <f aca="false">IF(AND($B40&gt;=13,$B40&lt;=60),C$8/48,0)</f>
        <v>215237.395833333</v>
      </c>
      <c r="D40" s="29" t="n">
        <f aca="false">IF(AND($B40&gt;=13,$B40&lt;=60),D$8/48,0)</f>
        <v>568942.8125</v>
      </c>
      <c r="E40" s="29" t="n">
        <f aca="false">IF(AND($B40&gt;=13,$B40&lt;=60),E$8/48,0)</f>
        <v>341365.708333333</v>
      </c>
      <c r="F40" s="29" t="n">
        <f aca="false">IF(AND($B40&gt;=13,$B40&lt;=60),F$8/48,0)</f>
        <v>227577.145833333</v>
      </c>
      <c r="G40" s="29" t="n">
        <f aca="false">IF(AND($B40&gt;=13,$B40&lt;=60),G$8/48,0)</f>
        <v>227577.145833333</v>
      </c>
      <c r="H40" s="29" t="n">
        <f aca="false">IF(AND($B40&gt;=13,$B40&lt;=60),H$8/48,0)</f>
        <v>227577.145833333</v>
      </c>
      <c r="I40" s="29" t="n">
        <f aca="false">IF(AND($B40&gt;=13,$B40&lt;=60),I$8/48,0)</f>
        <v>227577.145833333</v>
      </c>
      <c r="J40" s="29" t="n">
        <f aca="false">IF(AND($B40&gt;=13,$B40&lt;=60),J$8/48,0)</f>
        <v>47478.8333333333</v>
      </c>
      <c r="K40" s="29" t="n">
        <f aca="false">IF(AND($B40&gt;=13,$B40&lt;=36),K$8/24,0)</f>
        <v>7291666.66666667</v>
      </c>
      <c r="L40" s="29" t="n">
        <f aca="false">IF(AND($B40&gt;=13,$B40&lt;=36),L$8/24,0)</f>
        <v>833333.333333333</v>
      </c>
      <c r="M40" s="29" t="n">
        <f aca="false">IF($B40=0,M$8*0.2,IF(OR($B40=1,$B40=2),M$8*0.4,0))</f>
        <v>0</v>
      </c>
      <c r="N40" s="29" t="n">
        <f aca="false">IF($B40&lt;4,0,INDEX($AB$5:$AB$12,INT(($B40-1)/12)+1))</f>
        <v>2890000</v>
      </c>
      <c r="O40" s="29" t="n">
        <f aca="false">IF($B40=0,35000000,IF(AND($B40&gt;=1,$B40&lt;=30),15000000/30,0))</f>
        <v>500000</v>
      </c>
      <c r="P40" s="29" t="n">
        <f aca="false">IF(AND($B40&gt;=7,$B40&lt;=36),P$8/30,0)</f>
        <v>1666666.66666667</v>
      </c>
      <c r="Q40" s="29" t="n">
        <f aca="false">IF(AND($B40&gt;=13,$B40&lt;=36),Q$8/24,0)</f>
        <v>1666666.66666667</v>
      </c>
      <c r="R40" s="29" t="n">
        <f aca="false">IF(AND($B40&gt;=14,$B40&lt;=38),R$8/25,0)</f>
        <v>2000000</v>
      </c>
      <c r="S40" s="29" t="n">
        <f aca="false">IF($B40=0,S$8,0)</f>
        <v>0</v>
      </c>
      <c r="T40" s="29" t="n">
        <f aca="false">IF($B40=0,T$8,0)</f>
        <v>0</v>
      </c>
      <c r="U40" s="30" t="n">
        <f aca="false">U39+SUM(C40:T40)</f>
        <v>367231666.666667</v>
      </c>
      <c r="V40" s="31" t="n">
        <f aca="false">U40/1000000000</f>
        <v>0.367231666666667</v>
      </c>
      <c r="W40" s="31"/>
    </row>
    <row r="41" customFormat="false" ht="15" hidden="false" customHeight="true" outlineLevel="0" collapsed="false">
      <c r="A41" s="27" t="s">
        <v>115</v>
      </c>
      <c r="B41" s="28" t="n">
        <v>26</v>
      </c>
      <c r="C41" s="29" t="n">
        <f aca="false">IF(AND($B41&gt;=13,$B41&lt;=60),C$8/48,0)</f>
        <v>215237.395833333</v>
      </c>
      <c r="D41" s="29" t="n">
        <f aca="false">IF(AND($B41&gt;=13,$B41&lt;=60),D$8/48,0)</f>
        <v>568942.8125</v>
      </c>
      <c r="E41" s="29" t="n">
        <f aca="false">IF(AND($B41&gt;=13,$B41&lt;=60),E$8/48,0)</f>
        <v>341365.708333333</v>
      </c>
      <c r="F41" s="29" t="n">
        <f aca="false">IF(AND($B41&gt;=13,$B41&lt;=60),F$8/48,0)</f>
        <v>227577.145833333</v>
      </c>
      <c r="G41" s="29" t="n">
        <f aca="false">IF(AND($B41&gt;=13,$B41&lt;=60),G$8/48,0)</f>
        <v>227577.145833333</v>
      </c>
      <c r="H41" s="29" t="n">
        <f aca="false">IF(AND($B41&gt;=13,$B41&lt;=60),H$8/48,0)</f>
        <v>227577.145833333</v>
      </c>
      <c r="I41" s="29" t="n">
        <f aca="false">IF(AND($B41&gt;=13,$B41&lt;=60),I$8/48,0)</f>
        <v>227577.145833333</v>
      </c>
      <c r="J41" s="29" t="n">
        <f aca="false">IF(AND($B41&gt;=13,$B41&lt;=60),J$8/48,0)</f>
        <v>47478.8333333333</v>
      </c>
      <c r="K41" s="29" t="n">
        <f aca="false">IF(AND($B41&gt;=13,$B41&lt;=36),K$8/24,0)</f>
        <v>7291666.66666667</v>
      </c>
      <c r="L41" s="29" t="n">
        <f aca="false">IF(AND($B41&gt;=13,$B41&lt;=36),L$8/24,0)</f>
        <v>833333.333333333</v>
      </c>
      <c r="M41" s="29" t="n">
        <f aca="false">IF($B41=0,M$8*0.2,IF(OR($B41=1,$B41=2),M$8*0.4,0))</f>
        <v>0</v>
      </c>
      <c r="N41" s="29" t="n">
        <f aca="false">IF($B41&lt;4,0,INDEX($AB$5:$AB$12,INT(($B41-1)/12)+1))</f>
        <v>2890000</v>
      </c>
      <c r="O41" s="29" t="n">
        <f aca="false">IF($B41=0,35000000,IF(AND($B41&gt;=1,$B41&lt;=30),15000000/30,0))</f>
        <v>500000</v>
      </c>
      <c r="P41" s="29" t="n">
        <f aca="false">IF(AND($B41&gt;=7,$B41&lt;=36),P$8/30,0)</f>
        <v>1666666.66666667</v>
      </c>
      <c r="Q41" s="29" t="n">
        <f aca="false">IF(AND($B41&gt;=13,$B41&lt;=36),Q$8/24,0)</f>
        <v>1666666.66666667</v>
      </c>
      <c r="R41" s="29" t="n">
        <f aca="false">IF(AND($B41&gt;=14,$B41&lt;=38),R$8/25,0)</f>
        <v>2000000</v>
      </c>
      <c r="S41" s="29" t="n">
        <f aca="false">IF($B41=0,S$8,0)</f>
        <v>0</v>
      </c>
      <c r="T41" s="29" t="n">
        <f aca="false">IF($B41=0,T$8,0)</f>
        <v>0</v>
      </c>
      <c r="U41" s="30" t="n">
        <f aca="false">U40+SUM(C41:T41)</f>
        <v>386163333.333333</v>
      </c>
      <c r="V41" s="31" t="n">
        <f aca="false">U41/1000000000</f>
        <v>0.386163333333333</v>
      </c>
      <c r="W41" s="31"/>
    </row>
    <row r="42" customFormat="false" ht="15" hidden="false" customHeight="true" outlineLevel="0" collapsed="false">
      <c r="A42" s="27" t="s">
        <v>116</v>
      </c>
      <c r="B42" s="28" t="n">
        <v>27</v>
      </c>
      <c r="C42" s="29" t="n">
        <f aca="false">IF(AND($B42&gt;=13,$B42&lt;=60),C$8/48,0)</f>
        <v>215237.395833333</v>
      </c>
      <c r="D42" s="29" t="n">
        <f aca="false">IF(AND($B42&gt;=13,$B42&lt;=60),D$8/48,0)</f>
        <v>568942.8125</v>
      </c>
      <c r="E42" s="29" t="n">
        <f aca="false">IF(AND($B42&gt;=13,$B42&lt;=60),E$8/48,0)</f>
        <v>341365.708333333</v>
      </c>
      <c r="F42" s="29" t="n">
        <f aca="false">IF(AND($B42&gt;=13,$B42&lt;=60),F$8/48,0)</f>
        <v>227577.145833333</v>
      </c>
      <c r="G42" s="29" t="n">
        <f aca="false">IF(AND($B42&gt;=13,$B42&lt;=60),G$8/48,0)</f>
        <v>227577.145833333</v>
      </c>
      <c r="H42" s="29" t="n">
        <f aca="false">IF(AND($B42&gt;=13,$B42&lt;=60),H$8/48,0)</f>
        <v>227577.145833333</v>
      </c>
      <c r="I42" s="29" t="n">
        <f aca="false">IF(AND($B42&gt;=13,$B42&lt;=60),I$8/48,0)</f>
        <v>227577.145833333</v>
      </c>
      <c r="J42" s="29" t="n">
        <f aca="false">IF(AND($B42&gt;=13,$B42&lt;=60),J$8/48,0)</f>
        <v>47478.8333333333</v>
      </c>
      <c r="K42" s="29" t="n">
        <f aca="false">IF(AND($B42&gt;=13,$B42&lt;=36),K$8/24,0)</f>
        <v>7291666.66666667</v>
      </c>
      <c r="L42" s="29" t="n">
        <f aca="false">IF(AND($B42&gt;=13,$B42&lt;=36),L$8/24,0)</f>
        <v>833333.333333333</v>
      </c>
      <c r="M42" s="29" t="n">
        <f aca="false">IF($B42=0,M$8*0.2,IF(OR($B42=1,$B42=2),M$8*0.4,0))</f>
        <v>0</v>
      </c>
      <c r="N42" s="29" t="n">
        <f aca="false">IF($B42&lt;4,0,INDEX($AB$5:$AB$12,INT(($B42-1)/12)+1))</f>
        <v>2890000</v>
      </c>
      <c r="O42" s="29" t="n">
        <f aca="false">IF($B42=0,35000000,IF(AND($B42&gt;=1,$B42&lt;=30),15000000/30,0))</f>
        <v>500000</v>
      </c>
      <c r="P42" s="29" t="n">
        <f aca="false">IF(AND($B42&gt;=7,$B42&lt;=36),P$8/30,0)</f>
        <v>1666666.66666667</v>
      </c>
      <c r="Q42" s="29" t="n">
        <f aca="false">IF(AND($B42&gt;=13,$B42&lt;=36),Q$8/24,0)</f>
        <v>1666666.66666667</v>
      </c>
      <c r="R42" s="29" t="n">
        <f aca="false">IF(AND($B42&gt;=14,$B42&lt;=38),R$8/25,0)</f>
        <v>2000000</v>
      </c>
      <c r="S42" s="29" t="n">
        <f aca="false">IF($B42=0,S$8,0)</f>
        <v>0</v>
      </c>
      <c r="T42" s="29" t="n">
        <f aca="false">IF($B42=0,T$8,0)</f>
        <v>0</v>
      </c>
      <c r="U42" s="30" t="n">
        <f aca="false">U41+SUM(C42:T42)</f>
        <v>405095000</v>
      </c>
      <c r="V42" s="31" t="n">
        <f aca="false">U42/1000000000</f>
        <v>0.405095</v>
      </c>
      <c r="W42" s="31"/>
    </row>
    <row r="43" customFormat="false" ht="15" hidden="false" customHeight="true" outlineLevel="0" collapsed="false">
      <c r="A43" s="27" t="s">
        <v>117</v>
      </c>
      <c r="B43" s="28" t="n">
        <v>28</v>
      </c>
      <c r="C43" s="29" t="n">
        <f aca="false">IF(AND($B43&gt;=13,$B43&lt;=60),C$8/48,0)</f>
        <v>215237.395833333</v>
      </c>
      <c r="D43" s="29" t="n">
        <f aca="false">IF(AND($B43&gt;=13,$B43&lt;=60),D$8/48,0)</f>
        <v>568942.8125</v>
      </c>
      <c r="E43" s="29" t="n">
        <f aca="false">IF(AND($B43&gt;=13,$B43&lt;=60),E$8/48,0)</f>
        <v>341365.708333333</v>
      </c>
      <c r="F43" s="29" t="n">
        <f aca="false">IF(AND($B43&gt;=13,$B43&lt;=60),F$8/48,0)</f>
        <v>227577.145833333</v>
      </c>
      <c r="G43" s="29" t="n">
        <f aca="false">IF(AND($B43&gt;=13,$B43&lt;=60),G$8/48,0)</f>
        <v>227577.145833333</v>
      </c>
      <c r="H43" s="29" t="n">
        <f aca="false">IF(AND($B43&gt;=13,$B43&lt;=60),H$8/48,0)</f>
        <v>227577.145833333</v>
      </c>
      <c r="I43" s="29" t="n">
        <f aca="false">IF(AND($B43&gt;=13,$B43&lt;=60),I$8/48,0)</f>
        <v>227577.145833333</v>
      </c>
      <c r="J43" s="29" t="n">
        <f aca="false">IF(AND($B43&gt;=13,$B43&lt;=60),J$8/48,0)</f>
        <v>47478.8333333333</v>
      </c>
      <c r="K43" s="29" t="n">
        <f aca="false">IF(AND($B43&gt;=13,$B43&lt;=36),K$8/24,0)</f>
        <v>7291666.66666667</v>
      </c>
      <c r="L43" s="29" t="n">
        <f aca="false">IF(AND($B43&gt;=13,$B43&lt;=36),L$8/24,0)</f>
        <v>833333.333333333</v>
      </c>
      <c r="M43" s="29" t="n">
        <f aca="false">IF($B43=0,M$8*0.2,IF(OR($B43=1,$B43=2),M$8*0.4,0))</f>
        <v>0</v>
      </c>
      <c r="N43" s="29" t="n">
        <f aca="false">IF($B43&lt;4,0,INDEX($AB$5:$AB$12,INT(($B43-1)/12)+1))</f>
        <v>2890000</v>
      </c>
      <c r="O43" s="29" t="n">
        <f aca="false">IF($B43=0,35000000,IF(AND($B43&gt;=1,$B43&lt;=30),15000000/30,0))</f>
        <v>500000</v>
      </c>
      <c r="P43" s="29" t="n">
        <f aca="false">IF(AND($B43&gt;=7,$B43&lt;=36),P$8/30,0)</f>
        <v>1666666.66666667</v>
      </c>
      <c r="Q43" s="29" t="n">
        <f aca="false">IF(AND($B43&gt;=13,$B43&lt;=36),Q$8/24,0)</f>
        <v>1666666.66666667</v>
      </c>
      <c r="R43" s="29" t="n">
        <f aca="false">IF(AND($B43&gt;=14,$B43&lt;=38),R$8/25,0)</f>
        <v>2000000</v>
      </c>
      <c r="S43" s="29" t="n">
        <f aca="false">IF($B43=0,S$8,0)</f>
        <v>0</v>
      </c>
      <c r="T43" s="29" t="n">
        <f aca="false">IF($B43=0,T$8,0)</f>
        <v>0</v>
      </c>
      <c r="U43" s="30" t="n">
        <f aca="false">U42+SUM(C43:T43)</f>
        <v>424026666.666667</v>
      </c>
      <c r="V43" s="31" t="n">
        <f aca="false">U43/1000000000</f>
        <v>0.424026666666667</v>
      </c>
      <c r="W43" s="31"/>
    </row>
    <row r="44" customFormat="false" ht="15" hidden="false" customHeight="true" outlineLevel="0" collapsed="false">
      <c r="A44" s="27" t="s">
        <v>118</v>
      </c>
      <c r="B44" s="28" t="n">
        <v>29</v>
      </c>
      <c r="C44" s="29" t="n">
        <f aca="false">IF(AND($B44&gt;=13,$B44&lt;=60),C$8/48,0)</f>
        <v>215237.395833333</v>
      </c>
      <c r="D44" s="29" t="n">
        <f aca="false">IF(AND($B44&gt;=13,$B44&lt;=60),D$8/48,0)</f>
        <v>568942.8125</v>
      </c>
      <c r="E44" s="29" t="n">
        <f aca="false">IF(AND($B44&gt;=13,$B44&lt;=60),E$8/48,0)</f>
        <v>341365.708333333</v>
      </c>
      <c r="F44" s="29" t="n">
        <f aca="false">IF(AND($B44&gt;=13,$B44&lt;=60),F$8/48,0)</f>
        <v>227577.145833333</v>
      </c>
      <c r="G44" s="29" t="n">
        <f aca="false">IF(AND($B44&gt;=13,$B44&lt;=60),G$8/48,0)</f>
        <v>227577.145833333</v>
      </c>
      <c r="H44" s="29" t="n">
        <f aca="false">IF(AND($B44&gt;=13,$B44&lt;=60),H$8/48,0)</f>
        <v>227577.145833333</v>
      </c>
      <c r="I44" s="29" t="n">
        <f aca="false">IF(AND($B44&gt;=13,$B44&lt;=60),I$8/48,0)</f>
        <v>227577.145833333</v>
      </c>
      <c r="J44" s="29" t="n">
        <f aca="false">IF(AND($B44&gt;=13,$B44&lt;=60),J$8/48,0)</f>
        <v>47478.8333333333</v>
      </c>
      <c r="K44" s="29" t="n">
        <f aca="false">IF(AND($B44&gt;=13,$B44&lt;=36),K$8/24,0)</f>
        <v>7291666.66666667</v>
      </c>
      <c r="L44" s="29" t="n">
        <f aca="false">IF(AND($B44&gt;=13,$B44&lt;=36),L$8/24,0)</f>
        <v>833333.333333333</v>
      </c>
      <c r="M44" s="29" t="n">
        <f aca="false">IF($B44=0,M$8*0.2,IF(OR($B44=1,$B44=2),M$8*0.4,0))</f>
        <v>0</v>
      </c>
      <c r="N44" s="29" t="n">
        <f aca="false">IF($B44&lt;4,0,INDEX($AB$5:$AB$12,INT(($B44-1)/12)+1))</f>
        <v>2890000</v>
      </c>
      <c r="O44" s="29" t="n">
        <f aca="false">IF($B44=0,35000000,IF(AND($B44&gt;=1,$B44&lt;=30),15000000/30,0))</f>
        <v>500000</v>
      </c>
      <c r="P44" s="29" t="n">
        <f aca="false">IF(AND($B44&gt;=7,$B44&lt;=36),P$8/30,0)</f>
        <v>1666666.66666667</v>
      </c>
      <c r="Q44" s="29" t="n">
        <f aca="false">IF(AND($B44&gt;=13,$B44&lt;=36),Q$8/24,0)</f>
        <v>1666666.66666667</v>
      </c>
      <c r="R44" s="29" t="n">
        <f aca="false">IF(AND($B44&gt;=14,$B44&lt;=38),R$8/25,0)</f>
        <v>2000000</v>
      </c>
      <c r="S44" s="29" t="n">
        <f aca="false">IF($B44=0,S$8,0)</f>
        <v>0</v>
      </c>
      <c r="T44" s="29" t="n">
        <f aca="false">IF($B44=0,T$8,0)</f>
        <v>0</v>
      </c>
      <c r="U44" s="30" t="n">
        <f aca="false">U43+SUM(C44:T44)</f>
        <v>442958333.333334</v>
      </c>
      <c r="V44" s="31" t="n">
        <f aca="false">U44/1000000000</f>
        <v>0.442958333333334</v>
      </c>
      <c r="W44" s="31"/>
    </row>
    <row r="45" customFormat="false" ht="15" hidden="false" customHeight="true" outlineLevel="0" collapsed="false">
      <c r="A45" s="27" t="s">
        <v>119</v>
      </c>
      <c r="B45" s="28" t="n">
        <v>30</v>
      </c>
      <c r="C45" s="29" t="n">
        <f aca="false">IF(AND($B45&gt;=13,$B45&lt;=60),C$8/48,0)</f>
        <v>215237.395833333</v>
      </c>
      <c r="D45" s="29" t="n">
        <f aca="false">IF(AND($B45&gt;=13,$B45&lt;=60),D$8/48,0)</f>
        <v>568942.8125</v>
      </c>
      <c r="E45" s="29" t="n">
        <f aca="false">IF(AND($B45&gt;=13,$B45&lt;=60),E$8/48,0)</f>
        <v>341365.708333333</v>
      </c>
      <c r="F45" s="29" t="n">
        <f aca="false">IF(AND($B45&gt;=13,$B45&lt;=60),F$8/48,0)</f>
        <v>227577.145833333</v>
      </c>
      <c r="G45" s="29" t="n">
        <f aca="false">IF(AND($B45&gt;=13,$B45&lt;=60),G$8/48,0)</f>
        <v>227577.145833333</v>
      </c>
      <c r="H45" s="29" t="n">
        <f aca="false">IF(AND($B45&gt;=13,$B45&lt;=60),H$8/48,0)</f>
        <v>227577.145833333</v>
      </c>
      <c r="I45" s="29" t="n">
        <f aca="false">IF(AND($B45&gt;=13,$B45&lt;=60),I$8/48,0)</f>
        <v>227577.145833333</v>
      </c>
      <c r="J45" s="29" t="n">
        <f aca="false">IF(AND($B45&gt;=13,$B45&lt;=60),J$8/48,0)</f>
        <v>47478.8333333333</v>
      </c>
      <c r="K45" s="29" t="n">
        <f aca="false">IF(AND($B45&gt;=13,$B45&lt;=36),K$8/24,0)</f>
        <v>7291666.66666667</v>
      </c>
      <c r="L45" s="29" t="n">
        <f aca="false">IF(AND($B45&gt;=13,$B45&lt;=36),L$8/24,0)</f>
        <v>833333.333333333</v>
      </c>
      <c r="M45" s="29" t="n">
        <f aca="false">IF($B45=0,M$8*0.2,IF(OR($B45=1,$B45=2),M$8*0.4,0))</f>
        <v>0</v>
      </c>
      <c r="N45" s="29" t="n">
        <f aca="false">IF($B45&lt;4,0,INDEX($AB$5:$AB$12,INT(($B45-1)/12)+1))</f>
        <v>2890000</v>
      </c>
      <c r="O45" s="29" t="n">
        <f aca="false">IF($B45=0,35000000,IF(AND($B45&gt;=1,$B45&lt;=30),15000000/30,0))</f>
        <v>500000</v>
      </c>
      <c r="P45" s="29" t="n">
        <f aca="false">IF(AND($B45&gt;=7,$B45&lt;=36),P$8/30,0)</f>
        <v>1666666.66666667</v>
      </c>
      <c r="Q45" s="29" t="n">
        <f aca="false">IF(AND($B45&gt;=13,$B45&lt;=36),Q$8/24,0)</f>
        <v>1666666.66666667</v>
      </c>
      <c r="R45" s="29" t="n">
        <f aca="false">IF(AND($B45&gt;=14,$B45&lt;=38),R$8/25,0)</f>
        <v>2000000</v>
      </c>
      <c r="S45" s="29" t="n">
        <f aca="false">IF($B45=0,S$8,0)</f>
        <v>0</v>
      </c>
      <c r="T45" s="29" t="n">
        <f aca="false">IF($B45=0,T$8,0)</f>
        <v>0</v>
      </c>
      <c r="U45" s="30" t="n">
        <f aca="false">U44+SUM(C45:T45)</f>
        <v>461890000</v>
      </c>
      <c r="V45" s="31" t="n">
        <f aca="false">U45/1000000000</f>
        <v>0.46189</v>
      </c>
      <c r="W45" s="31"/>
    </row>
    <row r="46" customFormat="false" ht="15" hidden="false" customHeight="true" outlineLevel="0" collapsed="false">
      <c r="A46" s="27" t="s">
        <v>120</v>
      </c>
      <c r="B46" s="28" t="n">
        <v>31</v>
      </c>
      <c r="C46" s="29" t="n">
        <f aca="false">IF(AND($B46&gt;=13,$B46&lt;=60),C$8/48,0)</f>
        <v>215237.395833333</v>
      </c>
      <c r="D46" s="29" t="n">
        <f aca="false">IF(AND($B46&gt;=13,$B46&lt;=60),D$8/48,0)</f>
        <v>568942.8125</v>
      </c>
      <c r="E46" s="29" t="n">
        <f aca="false">IF(AND($B46&gt;=13,$B46&lt;=60),E$8/48,0)</f>
        <v>341365.708333333</v>
      </c>
      <c r="F46" s="29" t="n">
        <f aca="false">IF(AND($B46&gt;=13,$B46&lt;=60),F$8/48,0)</f>
        <v>227577.145833333</v>
      </c>
      <c r="G46" s="29" t="n">
        <f aca="false">IF(AND($B46&gt;=13,$B46&lt;=60),G$8/48,0)</f>
        <v>227577.145833333</v>
      </c>
      <c r="H46" s="29" t="n">
        <f aca="false">IF(AND($B46&gt;=13,$B46&lt;=60),H$8/48,0)</f>
        <v>227577.145833333</v>
      </c>
      <c r="I46" s="29" t="n">
        <f aca="false">IF(AND($B46&gt;=13,$B46&lt;=60),I$8/48,0)</f>
        <v>227577.145833333</v>
      </c>
      <c r="J46" s="29" t="n">
        <f aca="false">IF(AND($B46&gt;=13,$B46&lt;=60),J$8/48,0)</f>
        <v>47478.8333333333</v>
      </c>
      <c r="K46" s="29" t="n">
        <f aca="false">IF(AND($B46&gt;=13,$B46&lt;=36),K$8/24,0)</f>
        <v>7291666.66666667</v>
      </c>
      <c r="L46" s="29" t="n">
        <f aca="false">IF(AND($B46&gt;=13,$B46&lt;=36),L$8/24,0)</f>
        <v>833333.333333333</v>
      </c>
      <c r="M46" s="29" t="n">
        <f aca="false">IF($B46=0,M$8*0.2,IF(OR($B46=1,$B46=2),M$8*0.4,0))</f>
        <v>0</v>
      </c>
      <c r="N46" s="29" t="n">
        <f aca="false">IF($B46&lt;4,0,INDEX($AB$5:$AB$12,INT(($B46-1)/12)+1))</f>
        <v>2890000</v>
      </c>
      <c r="O46" s="29" t="n">
        <f aca="false">IF($B46=0,35000000,IF(AND($B46&gt;=1,$B46&lt;=30),15000000/30,0))</f>
        <v>0</v>
      </c>
      <c r="P46" s="29" t="n">
        <f aca="false">IF(AND($B46&gt;=7,$B46&lt;=36),P$8/30,0)</f>
        <v>1666666.66666667</v>
      </c>
      <c r="Q46" s="29" t="n">
        <f aca="false">IF(AND($B46&gt;=13,$B46&lt;=36),Q$8/24,0)</f>
        <v>1666666.66666667</v>
      </c>
      <c r="R46" s="29" t="n">
        <f aca="false">IF(AND($B46&gt;=14,$B46&lt;=38),R$8/25,0)</f>
        <v>2000000</v>
      </c>
      <c r="S46" s="29" t="n">
        <f aca="false">IF($B46=0,S$8,0)</f>
        <v>0</v>
      </c>
      <c r="T46" s="29" t="n">
        <f aca="false">IF($B46=0,T$8,0)</f>
        <v>0</v>
      </c>
      <c r="U46" s="30" t="n">
        <f aca="false">U45+SUM(C46:T46)</f>
        <v>480321666.666667</v>
      </c>
      <c r="V46" s="31" t="n">
        <f aca="false">U46/1000000000</f>
        <v>0.480321666666667</v>
      </c>
      <c r="W46" s="31"/>
    </row>
    <row r="47" customFormat="false" ht="15" hidden="false" customHeight="true" outlineLevel="0" collapsed="false">
      <c r="A47" s="27" t="s">
        <v>121</v>
      </c>
      <c r="B47" s="28" t="n">
        <v>32</v>
      </c>
      <c r="C47" s="29" t="n">
        <f aca="false">IF(AND($B47&gt;=13,$B47&lt;=60),C$8/48,0)</f>
        <v>215237.395833333</v>
      </c>
      <c r="D47" s="29" t="n">
        <f aca="false">IF(AND($B47&gt;=13,$B47&lt;=60),D$8/48,0)</f>
        <v>568942.8125</v>
      </c>
      <c r="E47" s="29" t="n">
        <f aca="false">IF(AND($B47&gt;=13,$B47&lt;=60),E$8/48,0)</f>
        <v>341365.708333333</v>
      </c>
      <c r="F47" s="29" t="n">
        <f aca="false">IF(AND($B47&gt;=13,$B47&lt;=60),F$8/48,0)</f>
        <v>227577.145833333</v>
      </c>
      <c r="G47" s="29" t="n">
        <f aca="false">IF(AND($B47&gt;=13,$B47&lt;=60),G$8/48,0)</f>
        <v>227577.145833333</v>
      </c>
      <c r="H47" s="29" t="n">
        <f aca="false">IF(AND($B47&gt;=13,$B47&lt;=60),H$8/48,0)</f>
        <v>227577.145833333</v>
      </c>
      <c r="I47" s="29" t="n">
        <f aca="false">IF(AND($B47&gt;=13,$B47&lt;=60),I$8/48,0)</f>
        <v>227577.145833333</v>
      </c>
      <c r="J47" s="29" t="n">
        <f aca="false">IF(AND($B47&gt;=13,$B47&lt;=60),J$8/48,0)</f>
        <v>47478.8333333333</v>
      </c>
      <c r="K47" s="29" t="n">
        <f aca="false">IF(AND($B47&gt;=13,$B47&lt;=36),K$8/24,0)</f>
        <v>7291666.66666667</v>
      </c>
      <c r="L47" s="29" t="n">
        <f aca="false">IF(AND($B47&gt;=13,$B47&lt;=36),L$8/24,0)</f>
        <v>833333.333333333</v>
      </c>
      <c r="M47" s="29" t="n">
        <f aca="false">IF($B47=0,M$8*0.2,IF(OR($B47=1,$B47=2),M$8*0.4,0))</f>
        <v>0</v>
      </c>
      <c r="N47" s="29" t="n">
        <f aca="false">IF($B47&lt;4,0,INDEX($AB$5:$AB$12,INT(($B47-1)/12)+1))</f>
        <v>2890000</v>
      </c>
      <c r="O47" s="29" t="n">
        <f aca="false">IF($B47=0,35000000,IF(AND($B47&gt;=1,$B47&lt;=30),15000000/30,0))</f>
        <v>0</v>
      </c>
      <c r="P47" s="29" t="n">
        <f aca="false">IF(AND($B47&gt;=7,$B47&lt;=36),P$8/30,0)</f>
        <v>1666666.66666667</v>
      </c>
      <c r="Q47" s="29" t="n">
        <f aca="false">IF(AND($B47&gt;=13,$B47&lt;=36),Q$8/24,0)</f>
        <v>1666666.66666667</v>
      </c>
      <c r="R47" s="29" t="n">
        <f aca="false">IF(AND($B47&gt;=14,$B47&lt;=38),R$8/25,0)</f>
        <v>2000000</v>
      </c>
      <c r="S47" s="29" t="n">
        <f aca="false">IF($B47=0,S$8,0)</f>
        <v>0</v>
      </c>
      <c r="T47" s="29" t="n">
        <f aca="false">IF($B47=0,T$8,0)</f>
        <v>0</v>
      </c>
      <c r="U47" s="30" t="n">
        <f aca="false">U46+SUM(C47:T47)</f>
        <v>498753333.333334</v>
      </c>
      <c r="V47" s="31" t="n">
        <f aca="false">U47/1000000000</f>
        <v>0.498753333333334</v>
      </c>
      <c r="W47" s="31"/>
    </row>
    <row r="48" customFormat="false" ht="15" hidden="false" customHeight="true" outlineLevel="0" collapsed="false">
      <c r="A48" s="27" t="s">
        <v>122</v>
      </c>
      <c r="B48" s="28" t="n">
        <v>33</v>
      </c>
      <c r="C48" s="29" t="n">
        <f aca="false">IF(AND($B48&gt;=13,$B48&lt;=60),C$8/48,0)</f>
        <v>215237.395833333</v>
      </c>
      <c r="D48" s="29" t="n">
        <f aca="false">IF(AND($B48&gt;=13,$B48&lt;=60),D$8/48,0)</f>
        <v>568942.8125</v>
      </c>
      <c r="E48" s="29" t="n">
        <f aca="false">IF(AND($B48&gt;=13,$B48&lt;=60),E$8/48,0)</f>
        <v>341365.708333333</v>
      </c>
      <c r="F48" s="29" t="n">
        <f aca="false">IF(AND($B48&gt;=13,$B48&lt;=60),F$8/48,0)</f>
        <v>227577.145833333</v>
      </c>
      <c r="G48" s="29" t="n">
        <f aca="false">IF(AND($B48&gt;=13,$B48&lt;=60),G$8/48,0)</f>
        <v>227577.145833333</v>
      </c>
      <c r="H48" s="29" t="n">
        <f aca="false">IF(AND($B48&gt;=13,$B48&lt;=60),H$8/48,0)</f>
        <v>227577.145833333</v>
      </c>
      <c r="I48" s="29" t="n">
        <f aca="false">IF(AND($B48&gt;=13,$B48&lt;=60),I$8/48,0)</f>
        <v>227577.145833333</v>
      </c>
      <c r="J48" s="29" t="n">
        <f aca="false">IF(AND($B48&gt;=13,$B48&lt;=60),J$8/48,0)</f>
        <v>47478.8333333333</v>
      </c>
      <c r="K48" s="29" t="n">
        <f aca="false">IF(AND($B48&gt;=13,$B48&lt;=36),K$8/24,0)</f>
        <v>7291666.66666667</v>
      </c>
      <c r="L48" s="29" t="n">
        <f aca="false">IF(AND($B48&gt;=13,$B48&lt;=36),L$8/24,0)</f>
        <v>833333.333333333</v>
      </c>
      <c r="M48" s="29" t="n">
        <f aca="false">IF($B48=0,M$8*0.2,IF(OR($B48=1,$B48=2),M$8*0.4,0))</f>
        <v>0</v>
      </c>
      <c r="N48" s="29" t="n">
        <f aca="false">IF($B48&lt;4,0,INDEX($AB$5:$AB$12,INT(($B48-1)/12)+1))</f>
        <v>2890000</v>
      </c>
      <c r="O48" s="29" t="n">
        <f aca="false">IF($B48=0,35000000,IF(AND($B48&gt;=1,$B48&lt;=30),15000000/30,0))</f>
        <v>0</v>
      </c>
      <c r="P48" s="29" t="n">
        <f aca="false">IF(AND($B48&gt;=7,$B48&lt;=36),P$8/30,0)</f>
        <v>1666666.66666667</v>
      </c>
      <c r="Q48" s="29" t="n">
        <f aca="false">IF(AND($B48&gt;=13,$B48&lt;=36),Q$8/24,0)</f>
        <v>1666666.66666667</v>
      </c>
      <c r="R48" s="29" t="n">
        <f aca="false">IF(AND($B48&gt;=14,$B48&lt;=38),R$8/25,0)</f>
        <v>2000000</v>
      </c>
      <c r="S48" s="29" t="n">
        <f aca="false">IF($B48=0,S$8,0)</f>
        <v>0</v>
      </c>
      <c r="T48" s="29" t="n">
        <f aca="false">IF($B48=0,T$8,0)</f>
        <v>0</v>
      </c>
      <c r="U48" s="30" t="n">
        <f aca="false">U47+SUM(C48:T48)</f>
        <v>517185000</v>
      </c>
      <c r="V48" s="31" t="n">
        <f aca="false">U48/1000000000</f>
        <v>0.517185</v>
      </c>
      <c r="W48" s="31"/>
    </row>
    <row r="49" customFormat="false" ht="15" hidden="false" customHeight="true" outlineLevel="0" collapsed="false">
      <c r="A49" s="27" t="s">
        <v>123</v>
      </c>
      <c r="B49" s="28" t="n">
        <v>34</v>
      </c>
      <c r="C49" s="29" t="n">
        <f aca="false">IF(AND($B49&gt;=13,$B49&lt;=60),C$8/48,0)</f>
        <v>215237.395833333</v>
      </c>
      <c r="D49" s="29" t="n">
        <f aca="false">IF(AND($B49&gt;=13,$B49&lt;=60),D$8/48,0)</f>
        <v>568942.8125</v>
      </c>
      <c r="E49" s="29" t="n">
        <f aca="false">IF(AND($B49&gt;=13,$B49&lt;=60),E$8/48,0)</f>
        <v>341365.708333333</v>
      </c>
      <c r="F49" s="29" t="n">
        <f aca="false">IF(AND($B49&gt;=13,$B49&lt;=60),F$8/48,0)</f>
        <v>227577.145833333</v>
      </c>
      <c r="G49" s="29" t="n">
        <f aca="false">IF(AND($B49&gt;=13,$B49&lt;=60),G$8/48,0)</f>
        <v>227577.145833333</v>
      </c>
      <c r="H49" s="29" t="n">
        <f aca="false">IF(AND($B49&gt;=13,$B49&lt;=60),H$8/48,0)</f>
        <v>227577.145833333</v>
      </c>
      <c r="I49" s="29" t="n">
        <f aca="false">IF(AND($B49&gt;=13,$B49&lt;=60),I$8/48,0)</f>
        <v>227577.145833333</v>
      </c>
      <c r="J49" s="29" t="n">
        <f aca="false">IF(AND($B49&gt;=13,$B49&lt;=60),J$8/48,0)</f>
        <v>47478.8333333333</v>
      </c>
      <c r="K49" s="29" t="n">
        <f aca="false">IF(AND($B49&gt;=13,$B49&lt;=36),K$8/24,0)</f>
        <v>7291666.66666667</v>
      </c>
      <c r="L49" s="29" t="n">
        <f aca="false">IF(AND($B49&gt;=13,$B49&lt;=36),L$8/24,0)</f>
        <v>833333.333333333</v>
      </c>
      <c r="M49" s="29" t="n">
        <f aca="false">IF($B49=0,M$8*0.2,IF(OR($B49=1,$B49=2),M$8*0.4,0))</f>
        <v>0</v>
      </c>
      <c r="N49" s="29" t="n">
        <f aca="false">IF($B49&lt;4,0,INDEX($AB$5:$AB$12,INT(($B49-1)/12)+1))</f>
        <v>2890000</v>
      </c>
      <c r="O49" s="29" t="n">
        <f aca="false">IF($B49=0,35000000,IF(AND($B49&gt;=1,$B49&lt;=30),15000000/30,0))</f>
        <v>0</v>
      </c>
      <c r="P49" s="29" t="n">
        <f aca="false">IF(AND($B49&gt;=7,$B49&lt;=36),P$8/30,0)</f>
        <v>1666666.66666667</v>
      </c>
      <c r="Q49" s="29" t="n">
        <f aca="false">IF(AND($B49&gt;=13,$B49&lt;=36),Q$8/24,0)</f>
        <v>1666666.66666667</v>
      </c>
      <c r="R49" s="29" t="n">
        <f aca="false">IF(AND($B49&gt;=14,$B49&lt;=38),R$8/25,0)</f>
        <v>2000000</v>
      </c>
      <c r="S49" s="29" t="n">
        <f aca="false">IF($B49=0,S$8,0)</f>
        <v>0</v>
      </c>
      <c r="T49" s="29" t="n">
        <f aca="false">IF($B49=0,T$8,0)</f>
        <v>0</v>
      </c>
      <c r="U49" s="30" t="n">
        <f aca="false">U48+SUM(C49:T49)</f>
        <v>535616666.666667</v>
      </c>
      <c r="V49" s="31" t="n">
        <f aca="false">U49/1000000000</f>
        <v>0.535616666666667</v>
      </c>
      <c r="W49" s="31"/>
    </row>
    <row r="50" customFormat="false" ht="15" hidden="false" customHeight="true" outlineLevel="0" collapsed="false">
      <c r="A50" s="27" t="s">
        <v>124</v>
      </c>
      <c r="B50" s="28" t="n">
        <v>35</v>
      </c>
      <c r="C50" s="29" t="n">
        <f aca="false">IF(AND($B50&gt;=13,$B50&lt;=60),C$8/48,0)</f>
        <v>215237.395833333</v>
      </c>
      <c r="D50" s="29" t="n">
        <f aca="false">IF(AND($B50&gt;=13,$B50&lt;=60),D$8/48,0)</f>
        <v>568942.8125</v>
      </c>
      <c r="E50" s="29" t="n">
        <f aca="false">IF(AND($B50&gt;=13,$B50&lt;=60),E$8/48,0)</f>
        <v>341365.708333333</v>
      </c>
      <c r="F50" s="29" t="n">
        <f aca="false">IF(AND($B50&gt;=13,$B50&lt;=60),F$8/48,0)</f>
        <v>227577.145833333</v>
      </c>
      <c r="G50" s="29" t="n">
        <f aca="false">IF(AND($B50&gt;=13,$B50&lt;=60),G$8/48,0)</f>
        <v>227577.145833333</v>
      </c>
      <c r="H50" s="29" t="n">
        <f aca="false">IF(AND($B50&gt;=13,$B50&lt;=60),H$8/48,0)</f>
        <v>227577.145833333</v>
      </c>
      <c r="I50" s="29" t="n">
        <f aca="false">IF(AND($B50&gt;=13,$B50&lt;=60),I$8/48,0)</f>
        <v>227577.145833333</v>
      </c>
      <c r="J50" s="29" t="n">
        <f aca="false">IF(AND($B50&gt;=13,$B50&lt;=60),J$8/48,0)</f>
        <v>47478.8333333333</v>
      </c>
      <c r="K50" s="29" t="n">
        <f aca="false">IF(AND($B50&gt;=13,$B50&lt;=36),K$8/24,0)</f>
        <v>7291666.66666667</v>
      </c>
      <c r="L50" s="29" t="n">
        <f aca="false">IF(AND($B50&gt;=13,$B50&lt;=36),L$8/24,0)</f>
        <v>833333.333333333</v>
      </c>
      <c r="M50" s="29" t="n">
        <f aca="false">IF($B50=0,M$8*0.2,IF(OR($B50=1,$B50=2),M$8*0.4,0))</f>
        <v>0</v>
      </c>
      <c r="N50" s="29" t="n">
        <f aca="false">IF($B50&lt;4,0,INDEX($AB$5:$AB$12,INT(($B50-1)/12)+1))</f>
        <v>2890000</v>
      </c>
      <c r="O50" s="29" t="n">
        <f aca="false">IF($B50=0,35000000,IF(AND($B50&gt;=1,$B50&lt;=30),15000000/30,0))</f>
        <v>0</v>
      </c>
      <c r="P50" s="29" t="n">
        <f aca="false">IF(AND($B50&gt;=7,$B50&lt;=36),P$8/30,0)</f>
        <v>1666666.66666667</v>
      </c>
      <c r="Q50" s="29" t="n">
        <f aca="false">IF(AND($B50&gt;=13,$B50&lt;=36),Q$8/24,0)</f>
        <v>1666666.66666667</v>
      </c>
      <c r="R50" s="29" t="n">
        <f aca="false">IF(AND($B50&gt;=14,$B50&lt;=38),R$8/25,0)</f>
        <v>2000000</v>
      </c>
      <c r="S50" s="29" t="n">
        <f aca="false">IF($B50=0,S$8,0)</f>
        <v>0</v>
      </c>
      <c r="T50" s="29" t="n">
        <f aca="false">IF($B50=0,T$8,0)</f>
        <v>0</v>
      </c>
      <c r="U50" s="30" t="n">
        <f aca="false">U49+SUM(C50:T50)</f>
        <v>554048333.333334</v>
      </c>
      <c r="V50" s="31" t="n">
        <f aca="false">U50/1000000000</f>
        <v>0.554048333333334</v>
      </c>
      <c r="W50" s="31"/>
    </row>
    <row r="51" customFormat="false" ht="15" hidden="false" customHeight="true" outlineLevel="0" collapsed="false">
      <c r="A51" s="27" t="s">
        <v>125</v>
      </c>
      <c r="B51" s="28" t="n">
        <v>36</v>
      </c>
      <c r="C51" s="29" t="n">
        <f aca="false">IF(AND($B51&gt;=13,$B51&lt;=60),C$8/48,0)</f>
        <v>215237.395833333</v>
      </c>
      <c r="D51" s="29" t="n">
        <f aca="false">IF(AND($B51&gt;=13,$B51&lt;=60),D$8/48,0)</f>
        <v>568942.8125</v>
      </c>
      <c r="E51" s="29" t="n">
        <f aca="false">IF(AND($B51&gt;=13,$B51&lt;=60),E$8/48,0)</f>
        <v>341365.708333333</v>
      </c>
      <c r="F51" s="29" t="n">
        <f aca="false">IF(AND($B51&gt;=13,$B51&lt;=60),F$8/48,0)</f>
        <v>227577.145833333</v>
      </c>
      <c r="G51" s="29" t="n">
        <f aca="false">IF(AND($B51&gt;=13,$B51&lt;=60),G$8/48,0)</f>
        <v>227577.145833333</v>
      </c>
      <c r="H51" s="29" t="n">
        <f aca="false">IF(AND($B51&gt;=13,$B51&lt;=60),H$8/48,0)</f>
        <v>227577.145833333</v>
      </c>
      <c r="I51" s="29" t="n">
        <f aca="false">IF(AND($B51&gt;=13,$B51&lt;=60),I$8/48,0)</f>
        <v>227577.145833333</v>
      </c>
      <c r="J51" s="29" t="n">
        <f aca="false">IF(AND($B51&gt;=13,$B51&lt;=60),J$8/48,0)</f>
        <v>47478.8333333333</v>
      </c>
      <c r="K51" s="29" t="n">
        <f aca="false">IF(AND($B51&gt;=13,$B51&lt;=36),K$8/24,0)</f>
        <v>7291666.66666667</v>
      </c>
      <c r="L51" s="29" t="n">
        <f aca="false">IF(AND($B51&gt;=13,$B51&lt;=36),L$8/24,0)</f>
        <v>833333.333333333</v>
      </c>
      <c r="M51" s="29" t="n">
        <f aca="false">IF($B51=0,M$8*0.2,IF(OR($B51=1,$B51=2),M$8*0.4,0))</f>
        <v>0</v>
      </c>
      <c r="N51" s="29" t="n">
        <f aca="false">IF($B51&lt;4,0,INDEX($AB$5:$AB$12,INT(($B51-1)/12)+1))</f>
        <v>2890000</v>
      </c>
      <c r="O51" s="29" t="n">
        <f aca="false">IF($B51=0,35000000,IF(AND($B51&gt;=1,$B51&lt;=30),15000000/30,0))</f>
        <v>0</v>
      </c>
      <c r="P51" s="29" t="n">
        <f aca="false">IF(AND($B51&gt;=7,$B51&lt;=36),P$8/30,0)</f>
        <v>1666666.66666667</v>
      </c>
      <c r="Q51" s="29" t="n">
        <f aca="false">IF(AND($B51&gt;=13,$B51&lt;=36),Q$8/24,0)</f>
        <v>1666666.66666667</v>
      </c>
      <c r="R51" s="29" t="n">
        <f aca="false">IF(AND($B51&gt;=14,$B51&lt;=38),R$8/25,0)</f>
        <v>2000000</v>
      </c>
      <c r="S51" s="29" t="n">
        <f aca="false">IF($B51=0,S$8,0)</f>
        <v>0</v>
      </c>
      <c r="T51" s="29" t="n">
        <f aca="false">IF($B51=0,T$8,0)</f>
        <v>0</v>
      </c>
      <c r="U51" s="30" t="n">
        <f aca="false">U50+SUM(C51:T51)</f>
        <v>572480000</v>
      </c>
      <c r="V51" s="31" t="n">
        <f aca="false">U51/1000000000</f>
        <v>0.57248</v>
      </c>
      <c r="W51" s="31"/>
    </row>
    <row r="52" customFormat="false" ht="15" hidden="false" customHeight="true" outlineLevel="0" collapsed="false">
      <c r="A52" s="27" t="s">
        <v>126</v>
      </c>
      <c r="B52" s="28" t="n">
        <v>37</v>
      </c>
      <c r="C52" s="29" t="n">
        <f aca="false">IF(AND($B52&gt;=13,$B52&lt;=60),C$8/48,0)</f>
        <v>215237.395833333</v>
      </c>
      <c r="D52" s="29" t="n">
        <f aca="false">IF(AND($B52&gt;=13,$B52&lt;=60),D$8/48,0)</f>
        <v>568942.8125</v>
      </c>
      <c r="E52" s="29" t="n">
        <f aca="false">IF(AND($B52&gt;=13,$B52&lt;=60),E$8/48,0)</f>
        <v>341365.708333333</v>
      </c>
      <c r="F52" s="29" t="n">
        <f aca="false">IF(AND($B52&gt;=13,$B52&lt;=60),F$8/48,0)</f>
        <v>227577.145833333</v>
      </c>
      <c r="G52" s="29" t="n">
        <f aca="false">IF(AND($B52&gt;=13,$B52&lt;=60),G$8/48,0)</f>
        <v>227577.145833333</v>
      </c>
      <c r="H52" s="29" t="n">
        <f aca="false">IF(AND($B52&gt;=13,$B52&lt;=60),H$8/48,0)</f>
        <v>227577.145833333</v>
      </c>
      <c r="I52" s="29" t="n">
        <f aca="false">IF(AND($B52&gt;=13,$B52&lt;=60),I$8/48,0)</f>
        <v>227577.145833333</v>
      </c>
      <c r="J52" s="29" t="n">
        <f aca="false">IF(AND($B52&gt;=13,$B52&lt;=60),J$8/48,0)</f>
        <v>47478.8333333333</v>
      </c>
      <c r="K52" s="29" t="n">
        <f aca="false">IF(AND($B52&gt;=13,$B52&lt;=36),K$8/24,0)</f>
        <v>0</v>
      </c>
      <c r="L52" s="29" t="n">
        <f aca="false">IF(AND($B52&gt;=13,$B52&lt;=36),L$8/24,0)</f>
        <v>0</v>
      </c>
      <c r="M52" s="29" t="n">
        <f aca="false">IF($B52=0,M$8*0.2,IF(OR($B52=1,$B52=2),M$8*0.4,0))</f>
        <v>0</v>
      </c>
      <c r="N52" s="29" t="n">
        <f aca="false">IF($B52&lt;4,0,INDEX($AB$5:$AB$12,INT(($B52-1)/12)+1))</f>
        <v>2456500</v>
      </c>
      <c r="O52" s="29" t="n">
        <f aca="false">IF($B52=0,35000000,IF(AND($B52&gt;=1,$B52&lt;=30),15000000/30,0))</f>
        <v>0</v>
      </c>
      <c r="P52" s="29" t="n">
        <f aca="false">IF(AND($B52&gt;=7,$B52&lt;=36),P$8/30,0)</f>
        <v>0</v>
      </c>
      <c r="Q52" s="29" t="n">
        <f aca="false">IF(AND($B52&gt;=13,$B52&lt;=36),Q$8/24,0)</f>
        <v>0</v>
      </c>
      <c r="R52" s="29" t="n">
        <f aca="false">IF(AND($B52&gt;=14,$B52&lt;=38),R$8/25,0)</f>
        <v>2000000</v>
      </c>
      <c r="S52" s="29" t="n">
        <f aca="false">IF($B52=0,S$8,0)</f>
        <v>0</v>
      </c>
      <c r="T52" s="29" t="n">
        <f aca="false">IF($B52=0,T$8,0)</f>
        <v>0</v>
      </c>
      <c r="U52" s="30" t="n">
        <f aca="false">U51+SUM(C52:T52)</f>
        <v>579019833.333334</v>
      </c>
      <c r="V52" s="31" t="n">
        <f aca="false">U52/1000000000</f>
        <v>0.579019833333334</v>
      </c>
      <c r="W52" s="31"/>
    </row>
    <row r="53" customFormat="false" ht="15" hidden="false" customHeight="true" outlineLevel="0" collapsed="false">
      <c r="A53" s="27" t="s">
        <v>127</v>
      </c>
      <c r="B53" s="28" t="n">
        <v>38</v>
      </c>
      <c r="C53" s="29" t="n">
        <f aca="false">IF(AND($B53&gt;=13,$B53&lt;=60),C$8/48,0)</f>
        <v>215237.395833333</v>
      </c>
      <c r="D53" s="29" t="n">
        <f aca="false">IF(AND($B53&gt;=13,$B53&lt;=60),D$8/48,0)</f>
        <v>568942.8125</v>
      </c>
      <c r="E53" s="29" t="n">
        <f aca="false">IF(AND($B53&gt;=13,$B53&lt;=60),E$8/48,0)</f>
        <v>341365.708333333</v>
      </c>
      <c r="F53" s="29" t="n">
        <f aca="false">IF(AND($B53&gt;=13,$B53&lt;=60),F$8/48,0)</f>
        <v>227577.145833333</v>
      </c>
      <c r="G53" s="29" t="n">
        <f aca="false">IF(AND($B53&gt;=13,$B53&lt;=60),G$8/48,0)</f>
        <v>227577.145833333</v>
      </c>
      <c r="H53" s="29" t="n">
        <f aca="false">IF(AND($B53&gt;=13,$B53&lt;=60),H$8/48,0)</f>
        <v>227577.145833333</v>
      </c>
      <c r="I53" s="29" t="n">
        <f aca="false">IF(AND($B53&gt;=13,$B53&lt;=60),I$8/48,0)</f>
        <v>227577.145833333</v>
      </c>
      <c r="J53" s="29" t="n">
        <f aca="false">IF(AND($B53&gt;=13,$B53&lt;=60),J$8/48,0)</f>
        <v>47478.8333333333</v>
      </c>
      <c r="K53" s="29" t="n">
        <f aca="false">IF(AND($B53&gt;=13,$B53&lt;=36),K$8/24,0)</f>
        <v>0</v>
      </c>
      <c r="L53" s="29" t="n">
        <f aca="false">IF(AND($B53&gt;=13,$B53&lt;=36),L$8/24,0)</f>
        <v>0</v>
      </c>
      <c r="M53" s="29" t="n">
        <f aca="false">IF($B53=0,M$8*0.2,IF(OR($B53=1,$B53=2),M$8*0.4,0))</f>
        <v>0</v>
      </c>
      <c r="N53" s="29" t="n">
        <f aca="false">IF($B53&lt;4,0,INDEX($AB$5:$AB$12,INT(($B53-1)/12)+1))</f>
        <v>2456500</v>
      </c>
      <c r="O53" s="29" t="n">
        <f aca="false">IF($B53=0,35000000,IF(AND($B53&gt;=1,$B53&lt;=30),15000000/30,0))</f>
        <v>0</v>
      </c>
      <c r="P53" s="29" t="n">
        <f aca="false">IF(AND($B53&gt;=7,$B53&lt;=36),P$8/30,0)</f>
        <v>0</v>
      </c>
      <c r="Q53" s="29" t="n">
        <f aca="false">IF(AND($B53&gt;=13,$B53&lt;=36),Q$8/24,0)</f>
        <v>0</v>
      </c>
      <c r="R53" s="29" t="n">
        <f aca="false">IF(AND($B53&gt;=14,$B53&lt;=38),R$8/25,0)</f>
        <v>2000000</v>
      </c>
      <c r="S53" s="29" t="n">
        <f aca="false">IF($B53=0,S$8,0)</f>
        <v>0</v>
      </c>
      <c r="T53" s="29" t="n">
        <f aca="false">IF($B53=0,T$8,0)</f>
        <v>0</v>
      </c>
      <c r="U53" s="30" t="n">
        <f aca="false">U52+SUM(C53:T53)</f>
        <v>585559666.666667</v>
      </c>
      <c r="V53" s="31" t="n">
        <f aca="false">U53/1000000000</f>
        <v>0.585559666666667</v>
      </c>
      <c r="W53" s="31"/>
    </row>
    <row r="54" customFormat="false" ht="15" hidden="false" customHeight="true" outlineLevel="0" collapsed="false">
      <c r="A54" s="27" t="s">
        <v>128</v>
      </c>
      <c r="B54" s="28" t="n">
        <v>39</v>
      </c>
      <c r="C54" s="29" t="n">
        <f aca="false">IF(AND($B54&gt;=13,$B54&lt;=60),C$8/48,0)</f>
        <v>215237.395833333</v>
      </c>
      <c r="D54" s="29" t="n">
        <f aca="false">IF(AND($B54&gt;=13,$B54&lt;=60),D$8/48,0)</f>
        <v>568942.8125</v>
      </c>
      <c r="E54" s="29" t="n">
        <f aca="false">IF(AND($B54&gt;=13,$B54&lt;=60),E$8/48,0)</f>
        <v>341365.708333333</v>
      </c>
      <c r="F54" s="29" t="n">
        <f aca="false">IF(AND($B54&gt;=13,$B54&lt;=60),F$8/48,0)</f>
        <v>227577.145833333</v>
      </c>
      <c r="G54" s="29" t="n">
        <f aca="false">IF(AND($B54&gt;=13,$B54&lt;=60),G$8/48,0)</f>
        <v>227577.145833333</v>
      </c>
      <c r="H54" s="29" t="n">
        <f aca="false">IF(AND($B54&gt;=13,$B54&lt;=60),H$8/48,0)</f>
        <v>227577.145833333</v>
      </c>
      <c r="I54" s="29" t="n">
        <f aca="false">IF(AND($B54&gt;=13,$B54&lt;=60),I$8/48,0)</f>
        <v>227577.145833333</v>
      </c>
      <c r="J54" s="29" t="n">
        <f aca="false">IF(AND($B54&gt;=13,$B54&lt;=60),J$8/48,0)</f>
        <v>47478.8333333333</v>
      </c>
      <c r="K54" s="29" t="n">
        <f aca="false">IF(AND($B54&gt;=13,$B54&lt;=36),K$8/24,0)</f>
        <v>0</v>
      </c>
      <c r="L54" s="29" t="n">
        <f aca="false">IF(AND($B54&gt;=13,$B54&lt;=36),L$8/24,0)</f>
        <v>0</v>
      </c>
      <c r="M54" s="29" t="n">
        <f aca="false">IF($B54=0,M$8*0.2,IF(OR($B54=1,$B54=2),M$8*0.4,0))</f>
        <v>0</v>
      </c>
      <c r="N54" s="29" t="n">
        <f aca="false">IF($B54&lt;4,0,INDEX($AB$5:$AB$12,INT(($B54-1)/12)+1))</f>
        <v>2456500</v>
      </c>
      <c r="O54" s="29" t="n">
        <f aca="false">IF($B54=0,35000000,IF(AND($B54&gt;=1,$B54&lt;=30),15000000/30,0))</f>
        <v>0</v>
      </c>
      <c r="P54" s="29" t="n">
        <f aca="false">IF(AND($B54&gt;=7,$B54&lt;=36),P$8/30,0)</f>
        <v>0</v>
      </c>
      <c r="Q54" s="29" t="n">
        <f aca="false">IF(AND($B54&gt;=13,$B54&lt;=36),Q$8/24,0)</f>
        <v>0</v>
      </c>
      <c r="R54" s="29" t="n">
        <f aca="false">IF(AND($B54&gt;=14,$B54&lt;=38),R$8/25,0)</f>
        <v>0</v>
      </c>
      <c r="S54" s="29" t="n">
        <f aca="false">IF($B54=0,S$8,0)</f>
        <v>0</v>
      </c>
      <c r="T54" s="29" t="n">
        <f aca="false">IF($B54=0,T$8,0)</f>
        <v>0</v>
      </c>
      <c r="U54" s="30" t="n">
        <f aca="false">U53+SUM(C54:T54)</f>
        <v>590099500</v>
      </c>
      <c r="V54" s="31" t="n">
        <f aca="false">U54/1000000000</f>
        <v>0.5900995</v>
      </c>
      <c r="W54" s="31"/>
    </row>
    <row r="55" customFormat="false" ht="15" hidden="false" customHeight="true" outlineLevel="0" collapsed="false">
      <c r="A55" s="27" t="s">
        <v>129</v>
      </c>
      <c r="B55" s="28" t="n">
        <v>40</v>
      </c>
      <c r="C55" s="29" t="n">
        <f aca="false">IF(AND($B55&gt;=13,$B55&lt;=60),C$8/48,0)</f>
        <v>215237.395833333</v>
      </c>
      <c r="D55" s="29" t="n">
        <f aca="false">IF(AND($B55&gt;=13,$B55&lt;=60),D$8/48,0)</f>
        <v>568942.8125</v>
      </c>
      <c r="E55" s="29" t="n">
        <f aca="false">IF(AND($B55&gt;=13,$B55&lt;=60),E$8/48,0)</f>
        <v>341365.708333333</v>
      </c>
      <c r="F55" s="29" t="n">
        <f aca="false">IF(AND($B55&gt;=13,$B55&lt;=60),F$8/48,0)</f>
        <v>227577.145833333</v>
      </c>
      <c r="G55" s="29" t="n">
        <f aca="false">IF(AND($B55&gt;=13,$B55&lt;=60),G$8/48,0)</f>
        <v>227577.145833333</v>
      </c>
      <c r="H55" s="29" t="n">
        <f aca="false">IF(AND($B55&gt;=13,$B55&lt;=60),H$8/48,0)</f>
        <v>227577.145833333</v>
      </c>
      <c r="I55" s="29" t="n">
        <f aca="false">IF(AND($B55&gt;=13,$B55&lt;=60),I$8/48,0)</f>
        <v>227577.145833333</v>
      </c>
      <c r="J55" s="29" t="n">
        <f aca="false">IF(AND($B55&gt;=13,$B55&lt;=60),J$8/48,0)</f>
        <v>47478.8333333333</v>
      </c>
      <c r="K55" s="29" t="n">
        <f aca="false">IF(AND($B55&gt;=13,$B55&lt;=36),K$8/24,0)</f>
        <v>0</v>
      </c>
      <c r="L55" s="29" t="n">
        <f aca="false">IF(AND($B55&gt;=13,$B55&lt;=36),L$8/24,0)</f>
        <v>0</v>
      </c>
      <c r="M55" s="29" t="n">
        <f aca="false">IF($B55=0,M$8*0.2,IF(OR($B55=1,$B55=2),M$8*0.4,0))</f>
        <v>0</v>
      </c>
      <c r="N55" s="29" t="n">
        <f aca="false">IF($B55&lt;4,0,INDEX($AB$5:$AB$12,INT(($B55-1)/12)+1))</f>
        <v>2456500</v>
      </c>
      <c r="O55" s="29" t="n">
        <f aca="false">IF($B55=0,35000000,IF(AND($B55&gt;=1,$B55&lt;=30),15000000/30,0))</f>
        <v>0</v>
      </c>
      <c r="P55" s="29" t="n">
        <f aca="false">IF(AND($B55&gt;=7,$B55&lt;=36),P$8/30,0)</f>
        <v>0</v>
      </c>
      <c r="Q55" s="29" t="n">
        <f aca="false">IF(AND($B55&gt;=13,$B55&lt;=36),Q$8/24,0)</f>
        <v>0</v>
      </c>
      <c r="R55" s="29" t="n">
        <f aca="false">IF(AND($B55&gt;=14,$B55&lt;=38),R$8/25,0)</f>
        <v>0</v>
      </c>
      <c r="S55" s="29" t="n">
        <f aca="false">IF($B55=0,S$8,0)</f>
        <v>0</v>
      </c>
      <c r="T55" s="29" t="n">
        <f aca="false">IF($B55=0,T$8,0)</f>
        <v>0</v>
      </c>
      <c r="U55" s="30" t="n">
        <f aca="false">U54+SUM(C55:T55)</f>
        <v>594639333.333334</v>
      </c>
      <c r="V55" s="31" t="n">
        <f aca="false">U55/1000000000</f>
        <v>0.594639333333334</v>
      </c>
      <c r="W55" s="31"/>
    </row>
    <row r="56" customFormat="false" ht="15" hidden="false" customHeight="true" outlineLevel="0" collapsed="false">
      <c r="A56" s="27" t="s">
        <v>130</v>
      </c>
      <c r="B56" s="28" t="n">
        <v>41</v>
      </c>
      <c r="C56" s="29" t="n">
        <f aca="false">IF(AND($B56&gt;=13,$B56&lt;=60),C$8/48,0)</f>
        <v>215237.395833333</v>
      </c>
      <c r="D56" s="29" t="n">
        <f aca="false">IF(AND($B56&gt;=13,$B56&lt;=60),D$8/48,0)</f>
        <v>568942.8125</v>
      </c>
      <c r="E56" s="29" t="n">
        <f aca="false">IF(AND($B56&gt;=13,$B56&lt;=60),E$8/48,0)</f>
        <v>341365.708333333</v>
      </c>
      <c r="F56" s="29" t="n">
        <f aca="false">IF(AND($B56&gt;=13,$B56&lt;=60),F$8/48,0)</f>
        <v>227577.145833333</v>
      </c>
      <c r="G56" s="29" t="n">
        <f aca="false">IF(AND($B56&gt;=13,$B56&lt;=60),G$8/48,0)</f>
        <v>227577.145833333</v>
      </c>
      <c r="H56" s="29" t="n">
        <f aca="false">IF(AND($B56&gt;=13,$B56&lt;=60),H$8/48,0)</f>
        <v>227577.145833333</v>
      </c>
      <c r="I56" s="29" t="n">
        <f aca="false">IF(AND($B56&gt;=13,$B56&lt;=60),I$8/48,0)</f>
        <v>227577.145833333</v>
      </c>
      <c r="J56" s="29" t="n">
        <f aca="false">IF(AND($B56&gt;=13,$B56&lt;=60),J$8/48,0)</f>
        <v>47478.8333333333</v>
      </c>
      <c r="K56" s="29" t="n">
        <f aca="false">IF(AND($B56&gt;=13,$B56&lt;=36),K$8/24,0)</f>
        <v>0</v>
      </c>
      <c r="L56" s="29" t="n">
        <f aca="false">IF(AND($B56&gt;=13,$B56&lt;=36),L$8/24,0)</f>
        <v>0</v>
      </c>
      <c r="M56" s="29" t="n">
        <f aca="false">IF($B56=0,M$8*0.2,IF(OR($B56=1,$B56=2),M$8*0.4,0))</f>
        <v>0</v>
      </c>
      <c r="N56" s="29" t="n">
        <f aca="false">IF($B56&lt;4,0,INDEX($AB$5:$AB$12,INT(($B56-1)/12)+1))</f>
        <v>2456500</v>
      </c>
      <c r="O56" s="29" t="n">
        <f aca="false">IF($B56=0,35000000,IF(AND($B56&gt;=1,$B56&lt;=30),15000000/30,0))</f>
        <v>0</v>
      </c>
      <c r="P56" s="29" t="n">
        <f aca="false">IF(AND($B56&gt;=7,$B56&lt;=36),P$8/30,0)</f>
        <v>0</v>
      </c>
      <c r="Q56" s="29" t="n">
        <f aca="false">IF(AND($B56&gt;=13,$B56&lt;=36),Q$8/24,0)</f>
        <v>0</v>
      </c>
      <c r="R56" s="29" t="n">
        <f aca="false">IF(AND($B56&gt;=14,$B56&lt;=38),R$8/25,0)</f>
        <v>0</v>
      </c>
      <c r="S56" s="29" t="n">
        <f aca="false">IF($B56=0,S$8,0)</f>
        <v>0</v>
      </c>
      <c r="T56" s="29" t="n">
        <f aca="false">IF($B56=0,T$8,0)</f>
        <v>0</v>
      </c>
      <c r="U56" s="30" t="n">
        <f aca="false">U55+SUM(C56:T56)</f>
        <v>599179166.666667</v>
      </c>
      <c r="V56" s="31" t="n">
        <f aca="false">U56/1000000000</f>
        <v>0.599179166666667</v>
      </c>
      <c r="W56" s="31"/>
    </row>
    <row r="57" customFormat="false" ht="15" hidden="false" customHeight="true" outlineLevel="0" collapsed="false">
      <c r="A57" s="27" t="s">
        <v>131</v>
      </c>
      <c r="B57" s="28" t="n">
        <v>42</v>
      </c>
      <c r="C57" s="29" t="n">
        <f aca="false">IF(AND($B57&gt;=13,$B57&lt;=60),C$8/48,0)</f>
        <v>215237.395833333</v>
      </c>
      <c r="D57" s="29" t="n">
        <f aca="false">IF(AND($B57&gt;=13,$B57&lt;=60),D$8/48,0)</f>
        <v>568942.8125</v>
      </c>
      <c r="E57" s="29" t="n">
        <f aca="false">IF(AND($B57&gt;=13,$B57&lt;=60),E$8/48,0)</f>
        <v>341365.708333333</v>
      </c>
      <c r="F57" s="29" t="n">
        <f aca="false">IF(AND($B57&gt;=13,$B57&lt;=60),F$8/48,0)</f>
        <v>227577.145833333</v>
      </c>
      <c r="G57" s="29" t="n">
        <f aca="false">IF(AND($B57&gt;=13,$B57&lt;=60),G$8/48,0)</f>
        <v>227577.145833333</v>
      </c>
      <c r="H57" s="29" t="n">
        <f aca="false">IF(AND($B57&gt;=13,$B57&lt;=60),H$8/48,0)</f>
        <v>227577.145833333</v>
      </c>
      <c r="I57" s="29" t="n">
        <f aca="false">IF(AND($B57&gt;=13,$B57&lt;=60),I$8/48,0)</f>
        <v>227577.145833333</v>
      </c>
      <c r="J57" s="29" t="n">
        <f aca="false">IF(AND($B57&gt;=13,$B57&lt;=60),J$8/48,0)</f>
        <v>47478.8333333333</v>
      </c>
      <c r="K57" s="29" t="n">
        <f aca="false">IF(AND($B57&gt;=13,$B57&lt;=36),K$8/24,0)</f>
        <v>0</v>
      </c>
      <c r="L57" s="29" t="n">
        <f aca="false">IF(AND($B57&gt;=13,$B57&lt;=36),L$8/24,0)</f>
        <v>0</v>
      </c>
      <c r="M57" s="29" t="n">
        <f aca="false">IF($B57=0,M$8*0.2,IF(OR($B57=1,$B57=2),M$8*0.4,0))</f>
        <v>0</v>
      </c>
      <c r="N57" s="29" t="n">
        <f aca="false">IF($B57&lt;4,0,INDEX($AB$5:$AB$12,INT(($B57-1)/12)+1))</f>
        <v>2456500</v>
      </c>
      <c r="O57" s="29" t="n">
        <f aca="false">IF($B57=0,35000000,IF(AND($B57&gt;=1,$B57&lt;=30),15000000/30,0))</f>
        <v>0</v>
      </c>
      <c r="P57" s="29" t="n">
        <f aca="false">IF(AND($B57&gt;=7,$B57&lt;=36),P$8/30,0)</f>
        <v>0</v>
      </c>
      <c r="Q57" s="29" t="n">
        <f aca="false">IF(AND($B57&gt;=13,$B57&lt;=36),Q$8/24,0)</f>
        <v>0</v>
      </c>
      <c r="R57" s="29" t="n">
        <f aca="false">IF(AND($B57&gt;=14,$B57&lt;=38),R$8/25,0)</f>
        <v>0</v>
      </c>
      <c r="S57" s="29" t="n">
        <f aca="false">IF($B57=0,S$8,0)</f>
        <v>0</v>
      </c>
      <c r="T57" s="29" t="n">
        <f aca="false">IF($B57=0,T$8,0)</f>
        <v>0</v>
      </c>
      <c r="U57" s="30" t="n">
        <f aca="false">U56+SUM(C57:T57)</f>
        <v>603719000.000001</v>
      </c>
      <c r="V57" s="31" t="n">
        <f aca="false">U57/1000000000</f>
        <v>0.603719</v>
      </c>
      <c r="W57" s="31"/>
    </row>
    <row r="58" customFormat="false" ht="15" hidden="false" customHeight="true" outlineLevel="0" collapsed="false">
      <c r="A58" s="27" t="s">
        <v>132</v>
      </c>
      <c r="B58" s="28" t="n">
        <v>43</v>
      </c>
      <c r="C58" s="29" t="n">
        <f aca="false">IF(AND($B58&gt;=13,$B58&lt;=60),C$8/48,0)</f>
        <v>215237.395833333</v>
      </c>
      <c r="D58" s="29" t="n">
        <f aca="false">IF(AND($B58&gt;=13,$B58&lt;=60),D$8/48,0)</f>
        <v>568942.8125</v>
      </c>
      <c r="E58" s="29" t="n">
        <f aca="false">IF(AND($B58&gt;=13,$B58&lt;=60),E$8/48,0)</f>
        <v>341365.708333333</v>
      </c>
      <c r="F58" s="29" t="n">
        <f aca="false">IF(AND($B58&gt;=13,$B58&lt;=60),F$8/48,0)</f>
        <v>227577.145833333</v>
      </c>
      <c r="G58" s="29" t="n">
        <f aca="false">IF(AND($B58&gt;=13,$B58&lt;=60),G$8/48,0)</f>
        <v>227577.145833333</v>
      </c>
      <c r="H58" s="29" t="n">
        <f aca="false">IF(AND($B58&gt;=13,$B58&lt;=60),H$8/48,0)</f>
        <v>227577.145833333</v>
      </c>
      <c r="I58" s="29" t="n">
        <f aca="false">IF(AND($B58&gt;=13,$B58&lt;=60),I$8/48,0)</f>
        <v>227577.145833333</v>
      </c>
      <c r="J58" s="29" t="n">
        <f aca="false">IF(AND($B58&gt;=13,$B58&lt;=60),J$8/48,0)</f>
        <v>47478.8333333333</v>
      </c>
      <c r="K58" s="29" t="n">
        <f aca="false">IF(AND($B58&gt;=13,$B58&lt;=36),K$8/24,0)</f>
        <v>0</v>
      </c>
      <c r="L58" s="29" t="n">
        <f aca="false">IF(AND($B58&gt;=13,$B58&lt;=36),L$8/24,0)</f>
        <v>0</v>
      </c>
      <c r="M58" s="29" t="n">
        <f aca="false">IF($B58=0,M$8*0.2,IF(OR($B58=1,$B58=2),M$8*0.4,0))</f>
        <v>0</v>
      </c>
      <c r="N58" s="29" t="n">
        <f aca="false">IF($B58&lt;4,0,INDEX($AB$5:$AB$12,INT(($B58-1)/12)+1))</f>
        <v>2456500</v>
      </c>
      <c r="O58" s="29" t="n">
        <f aca="false">IF($B58=0,35000000,IF(AND($B58&gt;=1,$B58&lt;=30),15000000/30,0))</f>
        <v>0</v>
      </c>
      <c r="P58" s="29" t="n">
        <f aca="false">IF(AND($B58&gt;=7,$B58&lt;=36),P$8/30,0)</f>
        <v>0</v>
      </c>
      <c r="Q58" s="29" t="n">
        <f aca="false">IF(AND($B58&gt;=13,$B58&lt;=36),Q$8/24,0)</f>
        <v>0</v>
      </c>
      <c r="R58" s="29" t="n">
        <f aca="false">IF(AND($B58&gt;=14,$B58&lt;=38),R$8/25,0)</f>
        <v>0</v>
      </c>
      <c r="S58" s="29" t="n">
        <f aca="false">IF($B58=0,S$8,0)</f>
        <v>0</v>
      </c>
      <c r="T58" s="29" t="n">
        <f aca="false">IF($B58=0,T$8,0)</f>
        <v>0</v>
      </c>
      <c r="U58" s="30" t="n">
        <f aca="false">U57+SUM(C58:T58)</f>
        <v>608258833.333334</v>
      </c>
      <c r="V58" s="31" t="n">
        <f aca="false">U58/1000000000</f>
        <v>0.608258833333334</v>
      </c>
      <c r="W58" s="31"/>
    </row>
    <row r="59" customFormat="false" ht="15" hidden="false" customHeight="true" outlineLevel="0" collapsed="false">
      <c r="A59" s="27" t="s">
        <v>133</v>
      </c>
      <c r="B59" s="28" t="n">
        <v>44</v>
      </c>
      <c r="C59" s="29" t="n">
        <f aca="false">IF(AND($B59&gt;=13,$B59&lt;=60),C$8/48,0)</f>
        <v>215237.395833333</v>
      </c>
      <c r="D59" s="29" t="n">
        <f aca="false">IF(AND($B59&gt;=13,$B59&lt;=60),D$8/48,0)</f>
        <v>568942.8125</v>
      </c>
      <c r="E59" s="29" t="n">
        <f aca="false">IF(AND($B59&gt;=13,$B59&lt;=60),E$8/48,0)</f>
        <v>341365.708333333</v>
      </c>
      <c r="F59" s="29" t="n">
        <f aca="false">IF(AND($B59&gt;=13,$B59&lt;=60),F$8/48,0)</f>
        <v>227577.145833333</v>
      </c>
      <c r="G59" s="29" t="n">
        <f aca="false">IF(AND($B59&gt;=13,$B59&lt;=60),G$8/48,0)</f>
        <v>227577.145833333</v>
      </c>
      <c r="H59" s="29" t="n">
        <f aca="false">IF(AND($B59&gt;=13,$B59&lt;=60),H$8/48,0)</f>
        <v>227577.145833333</v>
      </c>
      <c r="I59" s="29" t="n">
        <f aca="false">IF(AND($B59&gt;=13,$B59&lt;=60),I$8/48,0)</f>
        <v>227577.145833333</v>
      </c>
      <c r="J59" s="29" t="n">
        <f aca="false">IF(AND($B59&gt;=13,$B59&lt;=60),J$8/48,0)</f>
        <v>47478.8333333333</v>
      </c>
      <c r="K59" s="29" t="n">
        <f aca="false">IF(AND($B59&gt;=13,$B59&lt;=36),K$8/24,0)</f>
        <v>0</v>
      </c>
      <c r="L59" s="29" t="n">
        <f aca="false">IF(AND($B59&gt;=13,$B59&lt;=36),L$8/24,0)</f>
        <v>0</v>
      </c>
      <c r="M59" s="29" t="n">
        <f aca="false">IF($B59=0,M$8*0.2,IF(OR($B59=1,$B59=2),M$8*0.4,0))</f>
        <v>0</v>
      </c>
      <c r="N59" s="29" t="n">
        <f aca="false">IF($B59&lt;4,0,INDEX($AB$5:$AB$12,INT(($B59-1)/12)+1))</f>
        <v>2456500</v>
      </c>
      <c r="O59" s="29" t="n">
        <f aca="false">IF($B59=0,35000000,IF(AND($B59&gt;=1,$B59&lt;=30),15000000/30,0))</f>
        <v>0</v>
      </c>
      <c r="P59" s="29" t="n">
        <f aca="false">IF(AND($B59&gt;=7,$B59&lt;=36),P$8/30,0)</f>
        <v>0</v>
      </c>
      <c r="Q59" s="29" t="n">
        <f aca="false">IF(AND($B59&gt;=13,$B59&lt;=36),Q$8/24,0)</f>
        <v>0</v>
      </c>
      <c r="R59" s="29" t="n">
        <f aca="false">IF(AND($B59&gt;=14,$B59&lt;=38),R$8/25,0)</f>
        <v>0</v>
      </c>
      <c r="S59" s="29" t="n">
        <f aca="false">IF($B59=0,S$8,0)</f>
        <v>0</v>
      </c>
      <c r="T59" s="29" t="n">
        <f aca="false">IF($B59=0,T$8,0)</f>
        <v>0</v>
      </c>
      <c r="U59" s="30" t="n">
        <f aca="false">U58+SUM(C59:T59)</f>
        <v>612798666.666667</v>
      </c>
      <c r="V59" s="31" t="n">
        <f aca="false">U59/1000000000</f>
        <v>0.612798666666667</v>
      </c>
      <c r="W59" s="31"/>
    </row>
    <row r="60" customFormat="false" ht="15" hidden="false" customHeight="true" outlineLevel="0" collapsed="false">
      <c r="A60" s="27" t="s">
        <v>134</v>
      </c>
      <c r="B60" s="28" t="n">
        <v>45</v>
      </c>
      <c r="C60" s="29" t="n">
        <f aca="false">IF(AND($B60&gt;=13,$B60&lt;=60),C$8/48,0)</f>
        <v>215237.395833333</v>
      </c>
      <c r="D60" s="29" t="n">
        <f aca="false">IF(AND($B60&gt;=13,$B60&lt;=60),D$8/48,0)</f>
        <v>568942.8125</v>
      </c>
      <c r="E60" s="29" t="n">
        <f aca="false">IF(AND($B60&gt;=13,$B60&lt;=60),E$8/48,0)</f>
        <v>341365.708333333</v>
      </c>
      <c r="F60" s="29" t="n">
        <f aca="false">IF(AND($B60&gt;=13,$B60&lt;=60),F$8/48,0)</f>
        <v>227577.145833333</v>
      </c>
      <c r="G60" s="29" t="n">
        <f aca="false">IF(AND($B60&gt;=13,$B60&lt;=60),G$8/48,0)</f>
        <v>227577.145833333</v>
      </c>
      <c r="H60" s="29" t="n">
        <f aca="false">IF(AND($B60&gt;=13,$B60&lt;=60),H$8/48,0)</f>
        <v>227577.145833333</v>
      </c>
      <c r="I60" s="29" t="n">
        <f aca="false">IF(AND($B60&gt;=13,$B60&lt;=60),I$8/48,0)</f>
        <v>227577.145833333</v>
      </c>
      <c r="J60" s="29" t="n">
        <f aca="false">IF(AND($B60&gt;=13,$B60&lt;=60),J$8/48,0)</f>
        <v>47478.8333333333</v>
      </c>
      <c r="K60" s="29" t="n">
        <f aca="false">IF(AND($B60&gt;=13,$B60&lt;=36),K$8/24,0)</f>
        <v>0</v>
      </c>
      <c r="L60" s="29" t="n">
        <f aca="false">IF(AND($B60&gt;=13,$B60&lt;=36),L$8/24,0)</f>
        <v>0</v>
      </c>
      <c r="M60" s="29" t="n">
        <f aca="false">IF($B60=0,M$8*0.2,IF(OR($B60=1,$B60=2),M$8*0.4,0))</f>
        <v>0</v>
      </c>
      <c r="N60" s="29" t="n">
        <f aca="false">IF($B60&lt;4,0,INDEX($AB$5:$AB$12,INT(($B60-1)/12)+1))</f>
        <v>2456500</v>
      </c>
      <c r="O60" s="29" t="n">
        <f aca="false">IF($B60=0,35000000,IF(AND($B60&gt;=1,$B60&lt;=30),15000000/30,0))</f>
        <v>0</v>
      </c>
      <c r="P60" s="29" t="n">
        <f aca="false">IF(AND($B60&gt;=7,$B60&lt;=36),P$8/30,0)</f>
        <v>0</v>
      </c>
      <c r="Q60" s="29" t="n">
        <f aca="false">IF(AND($B60&gt;=13,$B60&lt;=36),Q$8/24,0)</f>
        <v>0</v>
      </c>
      <c r="R60" s="29" t="n">
        <f aca="false">IF(AND($B60&gt;=14,$B60&lt;=38),R$8/25,0)</f>
        <v>0</v>
      </c>
      <c r="S60" s="29" t="n">
        <f aca="false">IF($B60=0,S$8,0)</f>
        <v>0</v>
      </c>
      <c r="T60" s="29" t="n">
        <f aca="false">IF($B60=0,T$8,0)</f>
        <v>0</v>
      </c>
      <c r="U60" s="30" t="n">
        <f aca="false">U59+SUM(C60:T60)</f>
        <v>617338500.000001</v>
      </c>
      <c r="V60" s="31" t="n">
        <f aca="false">U60/1000000000</f>
        <v>0.617338500000001</v>
      </c>
      <c r="W60" s="31"/>
    </row>
    <row r="61" customFormat="false" ht="15" hidden="false" customHeight="true" outlineLevel="0" collapsed="false">
      <c r="A61" s="27" t="s">
        <v>135</v>
      </c>
      <c r="B61" s="28" t="n">
        <v>46</v>
      </c>
      <c r="C61" s="29" t="n">
        <f aca="false">IF(AND($B61&gt;=13,$B61&lt;=60),C$8/48,0)</f>
        <v>215237.395833333</v>
      </c>
      <c r="D61" s="29" t="n">
        <f aca="false">IF(AND($B61&gt;=13,$B61&lt;=60),D$8/48,0)</f>
        <v>568942.8125</v>
      </c>
      <c r="E61" s="29" t="n">
        <f aca="false">IF(AND($B61&gt;=13,$B61&lt;=60),E$8/48,0)</f>
        <v>341365.708333333</v>
      </c>
      <c r="F61" s="29" t="n">
        <f aca="false">IF(AND($B61&gt;=13,$B61&lt;=60),F$8/48,0)</f>
        <v>227577.145833333</v>
      </c>
      <c r="G61" s="29" t="n">
        <f aca="false">IF(AND($B61&gt;=13,$B61&lt;=60),G$8/48,0)</f>
        <v>227577.145833333</v>
      </c>
      <c r="H61" s="29" t="n">
        <f aca="false">IF(AND($B61&gt;=13,$B61&lt;=60),H$8/48,0)</f>
        <v>227577.145833333</v>
      </c>
      <c r="I61" s="29" t="n">
        <f aca="false">IF(AND($B61&gt;=13,$B61&lt;=60),I$8/48,0)</f>
        <v>227577.145833333</v>
      </c>
      <c r="J61" s="29" t="n">
        <f aca="false">IF(AND($B61&gt;=13,$B61&lt;=60),J$8/48,0)</f>
        <v>47478.8333333333</v>
      </c>
      <c r="K61" s="29" t="n">
        <f aca="false">IF(AND($B61&gt;=13,$B61&lt;=36),K$8/24,0)</f>
        <v>0</v>
      </c>
      <c r="L61" s="29" t="n">
        <f aca="false">IF(AND($B61&gt;=13,$B61&lt;=36),L$8/24,0)</f>
        <v>0</v>
      </c>
      <c r="M61" s="29" t="n">
        <f aca="false">IF($B61=0,M$8*0.2,IF(OR($B61=1,$B61=2),M$8*0.4,0))</f>
        <v>0</v>
      </c>
      <c r="N61" s="29" t="n">
        <f aca="false">IF($B61&lt;4,0,INDEX($AB$5:$AB$12,INT(($B61-1)/12)+1))</f>
        <v>2456500</v>
      </c>
      <c r="O61" s="29" t="n">
        <f aca="false">IF($B61=0,35000000,IF(AND($B61&gt;=1,$B61&lt;=30),15000000/30,0))</f>
        <v>0</v>
      </c>
      <c r="P61" s="29" t="n">
        <f aca="false">IF(AND($B61&gt;=7,$B61&lt;=36),P$8/30,0)</f>
        <v>0</v>
      </c>
      <c r="Q61" s="29" t="n">
        <f aca="false">IF(AND($B61&gt;=13,$B61&lt;=36),Q$8/24,0)</f>
        <v>0</v>
      </c>
      <c r="R61" s="29" t="n">
        <f aca="false">IF(AND($B61&gt;=14,$B61&lt;=38),R$8/25,0)</f>
        <v>0</v>
      </c>
      <c r="S61" s="29" t="n">
        <f aca="false">IF($B61=0,S$8,0)</f>
        <v>0</v>
      </c>
      <c r="T61" s="29" t="n">
        <f aca="false">IF($B61=0,T$8,0)</f>
        <v>0</v>
      </c>
      <c r="U61" s="30" t="n">
        <f aca="false">U60+SUM(C61:T61)</f>
        <v>621878333.333334</v>
      </c>
      <c r="V61" s="31" t="n">
        <f aca="false">U61/1000000000</f>
        <v>0.621878333333334</v>
      </c>
      <c r="W61" s="31"/>
    </row>
    <row r="62" customFormat="false" ht="15" hidden="false" customHeight="true" outlineLevel="0" collapsed="false">
      <c r="A62" s="27" t="s">
        <v>136</v>
      </c>
      <c r="B62" s="28" t="n">
        <v>47</v>
      </c>
      <c r="C62" s="29" t="n">
        <f aca="false">IF(AND($B62&gt;=13,$B62&lt;=60),C$8/48,0)</f>
        <v>215237.395833333</v>
      </c>
      <c r="D62" s="29" t="n">
        <f aca="false">IF(AND($B62&gt;=13,$B62&lt;=60),D$8/48,0)</f>
        <v>568942.8125</v>
      </c>
      <c r="E62" s="29" t="n">
        <f aca="false">IF(AND($B62&gt;=13,$B62&lt;=60),E$8/48,0)</f>
        <v>341365.708333333</v>
      </c>
      <c r="F62" s="29" t="n">
        <f aca="false">IF(AND($B62&gt;=13,$B62&lt;=60),F$8/48,0)</f>
        <v>227577.145833333</v>
      </c>
      <c r="G62" s="29" t="n">
        <f aca="false">IF(AND($B62&gt;=13,$B62&lt;=60),G$8/48,0)</f>
        <v>227577.145833333</v>
      </c>
      <c r="H62" s="29" t="n">
        <f aca="false">IF(AND($B62&gt;=13,$B62&lt;=60),H$8/48,0)</f>
        <v>227577.145833333</v>
      </c>
      <c r="I62" s="29" t="n">
        <f aca="false">IF(AND($B62&gt;=13,$B62&lt;=60),I$8/48,0)</f>
        <v>227577.145833333</v>
      </c>
      <c r="J62" s="29" t="n">
        <f aca="false">IF(AND($B62&gt;=13,$B62&lt;=60),J$8/48,0)</f>
        <v>47478.8333333333</v>
      </c>
      <c r="K62" s="29" t="n">
        <f aca="false">IF(AND($B62&gt;=13,$B62&lt;=36),K$8/24,0)</f>
        <v>0</v>
      </c>
      <c r="L62" s="29" t="n">
        <f aca="false">IF(AND($B62&gt;=13,$B62&lt;=36),L$8/24,0)</f>
        <v>0</v>
      </c>
      <c r="M62" s="29" t="n">
        <f aca="false">IF($B62=0,M$8*0.2,IF(OR($B62=1,$B62=2),M$8*0.4,0))</f>
        <v>0</v>
      </c>
      <c r="N62" s="29" t="n">
        <f aca="false">IF($B62&lt;4,0,INDEX($AB$5:$AB$12,INT(($B62-1)/12)+1))</f>
        <v>2456500</v>
      </c>
      <c r="O62" s="29" t="n">
        <f aca="false">IF($B62=0,35000000,IF(AND($B62&gt;=1,$B62&lt;=30),15000000/30,0))</f>
        <v>0</v>
      </c>
      <c r="P62" s="29" t="n">
        <f aca="false">IF(AND($B62&gt;=7,$B62&lt;=36),P$8/30,0)</f>
        <v>0</v>
      </c>
      <c r="Q62" s="29" t="n">
        <f aca="false">IF(AND($B62&gt;=13,$B62&lt;=36),Q$8/24,0)</f>
        <v>0</v>
      </c>
      <c r="R62" s="29" t="n">
        <f aca="false">IF(AND($B62&gt;=14,$B62&lt;=38),R$8/25,0)</f>
        <v>0</v>
      </c>
      <c r="S62" s="29" t="n">
        <f aca="false">IF($B62=0,S$8,0)</f>
        <v>0</v>
      </c>
      <c r="T62" s="29" t="n">
        <f aca="false">IF($B62=0,T$8,0)</f>
        <v>0</v>
      </c>
      <c r="U62" s="30" t="n">
        <f aca="false">U61+SUM(C62:T62)</f>
        <v>626418166.666667</v>
      </c>
      <c r="V62" s="31" t="n">
        <f aca="false">U62/1000000000</f>
        <v>0.626418166666667</v>
      </c>
      <c r="W62" s="31"/>
    </row>
    <row r="63" customFormat="false" ht="15" hidden="false" customHeight="true" outlineLevel="0" collapsed="false">
      <c r="A63" s="27" t="s">
        <v>137</v>
      </c>
      <c r="B63" s="28" t="n">
        <v>48</v>
      </c>
      <c r="C63" s="29" t="n">
        <f aca="false">IF(AND($B63&gt;=13,$B63&lt;=60),C$8/48,0)</f>
        <v>215237.395833333</v>
      </c>
      <c r="D63" s="29" t="n">
        <f aca="false">IF(AND($B63&gt;=13,$B63&lt;=60),D$8/48,0)</f>
        <v>568942.8125</v>
      </c>
      <c r="E63" s="29" t="n">
        <f aca="false">IF(AND($B63&gt;=13,$B63&lt;=60),E$8/48,0)</f>
        <v>341365.708333333</v>
      </c>
      <c r="F63" s="29" t="n">
        <f aca="false">IF(AND($B63&gt;=13,$B63&lt;=60),F$8/48,0)</f>
        <v>227577.145833333</v>
      </c>
      <c r="G63" s="29" t="n">
        <f aca="false">IF(AND($B63&gt;=13,$B63&lt;=60),G$8/48,0)</f>
        <v>227577.145833333</v>
      </c>
      <c r="H63" s="29" t="n">
        <f aca="false">IF(AND($B63&gt;=13,$B63&lt;=60),H$8/48,0)</f>
        <v>227577.145833333</v>
      </c>
      <c r="I63" s="29" t="n">
        <f aca="false">IF(AND($B63&gt;=13,$B63&lt;=60),I$8/48,0)</f>
        <v>227577.145833333</v>
      </c>
      <c r="J63" s="29" t="n">
        <f aca="false">IF(AND($B63&gt;=13,$B63&lt;=60),J$8/48,0)</f>
        <v>47478.8333333333</v>
      </c>
      <c r="K63" s="29" t="n">
        <f aca="false">IF(AND($B63&gt;=13,$B63&lt;=36),K$8/24,0)</f>
        <v>0</v>
      </c>
      <c r="L63" s="29" t="n">
        <f aca="false">IF(AND($B63&gt;=13,$B63&lt;=36),L$8/24,0)</f>
        <v>0</v>
      </c>
      <c r="M63" s="29" t="n">
        <f aca="false">IF($B63=0,M$8*0.2,IF(OR($B63=1,$B63=2),M$8*0.4,0))</f>
        <v>0</v>
      </c>
      <c r="N63" s="29" t="n">
        <f aca="false">IF($B63&lt;4,0,INDEX($AB$5:$AB$12,INT(($B63-1)/12)+1))</f>
        <v>2456500</v>
      </c>
      <c r="O63" s="29" t="n">
        <f aca="false">IF($B63=0,35000000,IF(AND($B63&gt;=1,$B63&lt;=30),15000000/30,0))</f>
        <v>0</v>
      </c>
      <c r="P63" s="29" t="n">
        <f aca="false">IF(AND($B63&gt;=7,$B63&lt;=36),P$8/30,0)</f>
        <v>0</v>
      </c>
      <c r="Q63" s="29" t="n">
        <f aca="false">IF(AND($B63&gt;=13,$B63&lt;=36),Q$8/24,0)</f>
        <v>0</v>
      </c>
      <c r="R63" s="29" t="n">
        <f aca="false">IF(AND($B63&gt;=14,$B63&lt;=38),R$8/25,0)</f>
        <v>0</v>
      </c>
      <c r="S63" s="29" t="n">
        <f aca="false">IF($B63=0,S$8,0)</f>
        <v>0</v>
      </c>
      <c r="T63" s="29" t="n">
        <f aca="false">IF($B63=0,T$8,0)</f>
        <v>0</v>
      </c>
      <c r="U63" s="30" t="n">
        <f aca="false">U62+SUM(C63:T63)</f>
        <v>630958000.000001</v>
      </c>
      <c r="V63" s="31" t="n">
        <f aca="false">U63/1000000000</f>
        <v>0.630958000000001</v>
      </c>
      <c r="W63" s="31"/>
    </row>
    <row r="64" customFormat="false" ht="15" hidden="false" customHeight="true" outlineLevel="0" collapsed="false">
      <c r="A64" s="27" t="s">
        <v>138</v>
      </c>
      <c r="B64" s="28" t="n">
        <v>49</v>
      </c>
      <c r="C64" s="29" t="n">
        <f aca="false">IF(AND($B64&gt;=13,$B64&lt;=60),C$8/48,0)</f>
        <v>215237.395833333</v>
      </c>
      <c r="D64" s="29" t="n">
        <f aca="false">IF(AND($B64&gt;=13,$B64&lt;=60),D$8/48,0)</f>
        <v>568942.8125</v>
      </c>
      <c r="E64" s="29" t="n">
        <f aca="false">IF(AND($B64&gt;=13,$B64&lt;=60),E$8/48,0)</f>
        <v>341365.708333333</v>
      </c>
      <c r="F64" s="29" t="n">
        <f aca="false">IF(AND($B64&gt;=13,$B64&lt;=60),F$8/48,0)</f>
        <v>227577.145833333</v>
      </c>
      <c r="G64" s="29" t="n">
        <f aca="false">IF(AND($B64&gt;=13,$B64&lt;=60),G$8/48,0)</f>
        <v>227577.145833333</v>
      </c>
      <c r="H64" s="29" t="n">
        <f aca="false">IF(AND($B64&gt;=13,$B64&lt;=60),H$8/48,0)</f>
        <v>227577.145833333</v>
      </c>
      <c r="I64" s="29" t="n">
        <f aca="false">IF(AND($B64&gt;=13,$B64&lt;=60),I$8/48,0)</f>
        <v>227577.145833333</v>
      </c>
      <c r="J64" s="29" t="n">
        <f aca="false">IF(AND($B64&gt;=13,$B64&lt;=60),J$8/48,0)</f>
        <v>47478.8333333333</v>
      </c>
      <c r="K64" s="29" t="n">
        <f aca="false">IF(AND($B64&gt;=13,$B64&lt;=36),K$8/24,0)</f>
        <v>0</v>
      </c>
      <c r="L64" s="29" t="n">
        <f aca="false">IF(AND($B64&gt;=13,$B64&lt;=36),L$8/24,0)</f>
        <v>0</v>
      </c>
      <c r="M64" s="29" t="n">
        <f aca="false">IF($B64=0,M$8*0.2,IF(OR($B64=1,$B64=2),M$8*0.4,0))</f>
        <v>0</v>
      </c>
      <c r="N64" s="29" t="n">
        <f aca="false">IF($B64&lt;4,0,INDEX($AB$5:$AB$12,INT(($B64-1)/12)+1))</f>
        <v>2088025</v>
      </c>
      <c r="O64" s="29" t="n">
        <f aca="false">IF($B64=0,35000000,IF(AND($B64&gt;=1,$B64&lt;=30),15000000/30,0))</f>
        <v>0</v>
      </c>
      <c r="P64" s="29" t="n">
        <f aca="false">IF(AND($B64&gt;=7,$B64&lt;=36),P$8/30,0)</f>
        <v>0</v>
      </c>
      <c r="Q64" s="29" t="n">
        <f aca="false">IF(AND($B64&gt;=13,$B64&lt;=36),Q$8/24,0)</f>
        <v>0</v>
      </c>
      <c r="R64" s="29" t="n">
        <f aca="false">IF(AND($B64&gt;=14,$B64&lt;=38),R$8/25,0)</f>
        <v>0</v>
      </c>
      <c r="S64" s="29" t="n">
        <f aca="false">IF($B64=0,S$8,0)</f>
        <v>0</v>
      </c>
      <c r="T64" s="29" t="n">
        <f aca="false">IF($B64=0,T$8,0)</f>
        <v>0</v>
      </c>
      <c r="U64" s="30" t="n">
        <f aca="false">U63+SUM(C64:T64)</f>
        <v>635129358.333334</v>
      </c>
      <c r="V64" s="31" t="n">
        <f aca="false">U64/1000000000</f>
        <v>0.635129358333334</v>
      </c>
      <c r="W64" s="31"/>
    </row>
    <row r="65" customFormat="false" ht="15" hidden="false" customHeight="true" outlineLevel="0" collapsed="false">
      <c r="A65" s="27" t="s">
        <v>139</v>
      </c>
      <c r="B65" s="28" t="n">
        <v>50</v>
      </c>
      <c r="C65" s="29" t="n">
        <f aca="false">IF(AND($B65&gt;=13,$B65&lt;=60),C$8/48,0)</f>
        <v>215237.395833333</v>
      </c>
      <c r="D65" s="29" t="n">
        <f aca="false">IF(AND($B65&gt;=13,$B65&lt;=60),D$8/48,0)</f>
        <v>568942.8125</v>
      </c>
      <c r="E65" s="29" t="n">
        <f aca="false">IF(AND($B65&gt;=13,$B65&lt;=60),E$8/48,0)</f>
        <v>341365.708333333</v>
      </c>
      <c r="F65" s="29" t="n">
        <f aca="false">IF(AND($B65&gt;=13,$B65&lt;=60),F$8/48,0)</f>
        <v>227577.145833333</v>
      </c>
      <c r="G65" s="29" t="n">
        <f aca="false">IF(AND($B65&gt;=13,$B65&lt;=60),G$8/48,0)</f>
        <v>227577.145833333</v>
      </c>
      <c r="H65" s="29" t="n">
        <f aca="false">IF(AND($B65&gt;=13,$B65&lt;=60),H$8/48,0)</f>
        <v>227577.145833333</v>
      </c>
      <c r="I65" s="29" t="n">
        <f aca="false">IF(AND($B65&gt;=13,$B65&lt;=60),I$8/48,0)</f>
        <v>227577.145833333</v>
      </c>
      <c r="J65" s="29" t="n">
        <f aca="false">IF(AND($B65&gt;=13,$B65&lt;=60),J$8/48,0)</f>
        <v>47478.8333333333</v>
      </c>
      <c r="K65" s="29" t="n">
        <f aca="false">IF(AND($B65&gt;=13,$B65&lt;=36),K$8/24,0)</f>
        <v>0</v>
      </c>
      <c r="L65" s="29" t="n">
        <f aca="false">IF(AND($B65&gt;=13,$B65&lt;=36),L$8/24,0)</f>
        <v>0</v>
      </c>
      <c r="M65" s="29" t="n">
        <f aca="false">IF($B65=0,M$8*0.2,IF(OR($B65=1,$B65=2),M$8*0.4,0))</f>
        <v>0</v>
      </c>
      <c r="N65" s="29" t="n">
        <f aca="false">IF($B65&lt;4,0,INDEX($AB$5:$AB$12,INT(($B65-1)/12)+1))</f>
        <v>2088025</v>
      </c>
      <c r="O65" s="29" t="n">
        <f aca="false">IF($B65=0,35000000,IF(AND($B65&gt;=1,$B65&lt;=30),15000000/30,0))</f>
        <v>0</v>
      </c>
      <c r="P65" s="29" t="n">
        <f aca="false">IF(AND($B65&gt;=7,$B65&lt;=36),P$8/30,0)</f>
        <v>0</v>
      </c>
      <c r="Q65" s="29" t="n">
        <f aca="false">IF(AND($B65&gt;=13,$B65&lt;=36),Q$8/24,0)</f>
        <v>0</v>
      </c>
      <c r="R65" s="29" t="n">
        <f aca="false">IF(AND($B65&gt;=14,$B65&lt;=38),R$8/25,0)</f>
        <v>0</v>
      </c>
      <c r="S65" s="29" t="n">
        <f aca="false">IF($B65=0,S$8,0)</f>
        <v>0</v>
      </c>
      <c r="T65" s="29" t="n">
        <f aca="false">IF($B65=0,T$8,0)</f>
        <v>0</v>
      </c>
      <c r="U65" s="30" t="n">
        <f aca="false">U64+SUM(C65:T65)</f>
        <v>639300716.666668</v>
      </c>
      <c r="V65" s="31" t="n">
        <f aca="false">U65/1000000000</f>
        <v>0.639300716666667</v>
      </c>
      <c r="W65" s="31"/>
    </row>
    <row r="66" customFormat="false" ht="15" hidden="false" customHeight="true" outlineLevel="0" collapsed="false">
      <c r="A66" s="27" t="s">
        <v>140</v>
      </c>
      <c r="B66" s="28" t="n">
        <v>51</v>
      </c>
      <c r="C66" s="29" t="n">
        <f aca="false">IF(AND($B66&gt;=13,$B66&lt;=60),C$8/48,0)</f>
        <v>215237.395833333</v>
      </c>
      <c r="D66" s="29" t="n">
        <f aca="false">IF(AND($B66&gt;=13,$B66&lt;=60),D$8/48,0)</f>
        <v>568942.8125</v>
      </c>
      <c r="E66" s="29" t="n">
        <f aca="false">IF(AND($B66&gt;=13,$B66&lt;=60),E$8/48,0)</f>
        <v>341365.708333333</v>
      </c>
      <c r="F66" s="29" t="n">
        <f aca="false">IF(AND($B66&gt;=13,$B66&lt;=60),F$8/48,0)</f>
        <v>227577.145833333</v>
      </c>
      <c r="G66" s="29" t="n">
        <f aca="false">IF(AND($B66&gt;=13,$B66&lt;=60),G$8/48,0)</f>
        <v>227577.145833333</v>
      </c>
      <c r="H66" s="29" t="n">
        <f aca="false">IF(AND($B66&gt;=13,$B66&lt;=60),H$8/48,0)</f>
        <v>227577.145833333</v>
      </c>
      <c r="I66" s="29" t="n">
        <f aca="false">IF(AND($B66&gt;=13,$B66&lt;=60),I$8/48,0)</f>
        <v>227577.145833333</v>
      </c>
      <c r="J66" s="29" t="n">
        <f aca="false">IF(AND($B66&gt;=13,$B66&lt;=60),J$8/48,0)</f>
        <v>47478.8333333333</v>
      </c>
      <c r="K66" s="29" t="n">
        <f aca="false">IF(AND($B66&gt;=13,$B66&lt;=36),K$8/24,0)</f>
        <v>0</v>
      </c>
      <c r="L66" s="29" t="n">
        <f aca="false">IF(AND($B66&gt;=13,$B66&lt;=36),L$8/24,0)</f>
        <v>0</v>
      </c>
      <c r="M66" s="29" t="n">
        <f aca="false">IF($B66=0,M$8*0.2,IF(OR($B66=1,$B66=2),M$8*0.4,0))</f>
        <v>0</v>
      </c>
      <c r="N66" s="29" t="n">
        <f aca="false">IF($B66&lt;4,0,INDEX($AB$5:$AB$12,INT(($B66-1)/12)+1))</f>
        <v>2088025</v>
      </c>
      <c r="O66" s="29" t="n">
        <f aca="false">IF($B66=0,35000000,IF(AND($B66&gt;=1,$B66&lt;=30),15000000/30,0))</f>
        <v>0</v>
      </c>
      <c r="P66" s="29" t="n">
        <f aca="false">IF(AND($B66&gt;=7,$B66&lt;=36),P$8/30,0)</f>
        <v>0</v>
      </c>
      <c r="Q66" s="29" t="n">
        <f aca="false">IF(AND($B66&gt;=13,$B66&lt;=36),Q$8/24,0)</f>
        <v>0</v>
      </c>
      <c r="R66" s="29" t="n">
        <f aca="false">IF(AND($B66&gt;=14,$B66&lt;=38),R$8/25,0)</f>
        <v>0</v>
      </c>
      <c r="S66" s="29" t="n">
        <f aca="false">IF($B66=0,S$8,0)</f>
        <v>0</v>
      </c>
      <c r="T66" s="29" t="n">
        <f aca="false">IF($B66=0,T$8,0)</f>
        <v>0</v>
      </c>
      <c r="U66" s="30" t="n">
        <f aca="false">U65+SUM(C66:T66)</f>
        <v>643472075.000001</v>
      </c>
      <c r="V66" s="31" t="n">
        <f aca="false">U66/1000000000</f>
        <v>0.643472075000001</v>
      </c>
      <c r="W66" s="31"/>
    </row>
    <row r="67" customFormat="false" ht="15" hidden="false" customHeight="true" outlineLevel="0" collapsed="false">
      <c r="A67" s="27" t="s">
        <v>141</v>
      </c>
      <c r="B67" s="28" t="n">
        <v>52</v>
      </c>
      <c r="C67" s="29" t="n">
        <f aca="false">IF(AND($B67&gt;=13,$B67&lt;=60),C$8/48,0)</f>
        <v>215237.395833333</v>
      </c>
      <c r="D67" s="29" t="n">
        <f aca="false">IF(AND($B67&gt;=13,$B67&lt;=60),D$8/48,0)</f>
        <v>568942.8125</v>
      </c>
      <c r="E67" s="29" t="n">
        <f aca="false">IF(AND($B67&gt;=13,$B67&lt;=60),E$8/48,0)</f>
        <v>341365.708333333</v>
      </c>
      <c r="F67" s="29" t="n">
        <f aca="false">IF(AND($B67&gt;=13,$B67&lt;=60),F$8/48,0)</f>
        <v>227577.145833333</v>
      </c>
      <c r="G67" s="29" t="n">
        <f aca="false">IF(AND($B67&gt;=13,$B67&lt;=60),G$8/48,0)</f>
        <v>227577.145833333</v>
      </c>
      <c r="H67" s="29" t="n">
        <f aca="false">IF(AND($B67&gt;=13,$B67&lt;=60),H$8/48,0)</f>
        <v>227577.145833333</v>
      </c>
      <c r="I67" s="29" t="n">
        <f aca="false">IF(AND($B67&gt;=13,$B67&lt;=60),I$8/48,0)</f>
        <v>227577.145833333</v>
      </c>
      <c r="J67" s="29" t="n">
        <f aca="false">IF(AND($B67&gt;=13,$B67&lt;=60),J$8/48,0)</f>
        <v>47478.8333333333</v>
      </c>
      <c r="K67" s="29" t="n">
        <f aca="false">IF(AND($B67&gt;=13,$B67&lt;=36),K$8/24,0)</f>
        <v>0</v>
      </c>
      <c r="L67" s="29" t="n">
        <f aca="false">IF(AND($B67&gt;=13,$B67&lt;=36),L$8/24,0)</f>
        <v>0</v>
      </c>
      <c r="M67" s="29" t="n">
        <f aca="false">IF($B67=0,M$8*0.2,IF(OR($B67=1,$B67=2),M$8*0.4,0))</f>
        <v>0</v>
      </c>
      <c r="N67" s="29" t="n">
        <f aca="false">IF($B67&lt;4,0,INDEX($AB$5:$AB$12,INT(($B67-1)/12)+1))</f>
        <v>2088025</v>
      </c>
      <c r="O67" s="29" t="n">
        <f aca="false">IF($B67=0,35000000,IF(AND($B67&gt;=1,$B67&lt;=30),15000000/30,0))</f>
        <v>0</v>
      </c>
      <c r="P67" s="29" t="n">
        <f aca="false">IF(AND($B67&gt;=7,$B67&lt;=36),P$8/30,0)</f>
        <v>0</v>
      </c>
      <c r="Q67" s="29" t="n">
        <f aca="false">IF(AND($B67&gt;=13,$B67&lt;=36),Q$8/24,0)</f>
        <v>0</v>
      </c>
      <c r="R67" s="29" t="n">
        <f aca="false">IF(AND($B67&gt;=14,$B67&lt;=38),R$8/25,0)</f>
        <v>0</v>
      </c>
      <c r="S67" s="29" t="n">
        <f aca="false">IF($B67=0,S$8,0)</f>
        <v>0</v>
      </c>
      <c r="T67" s="29" t="n">
        <f aca="false">IF($B67=0,T$8,0)</f>
        <v>0</v>
      </c>
      <c r="U67" s="30" t="n">
        <f aca="false">U66+SUM(C67:T67)</f>
        <v>647643433.333334</v>
      </c>
      <c r="V67" s="31" t="n">
        <f aca="false">U67/1000000000</f>
        <v>0.647643433333334</v>
      </c>
      <c r="W67" s="31"/>
    </row>
    <row r="68" customFormat="false" ht="15" hidden="false" customHeight="true" outlineLevel="0" collapsed="false">
      <c r="A68" s="27" t="s">
        <v>142</v>
      </c>
      <c r="B68" s="28" t="n">
        <v>53</v>
      </c>
      <c r="C68" s="29" t="n">
        <f aca="false">IF(AND($B68&gt;=13,$B68&lt;=60),C$8/48,0)</f>
        <v>215237.395833333</v>
      </c>
      <c r="D68" s="29" t="n">
        <f aca="false">IF(AND($B68&gt;=13,$B68&lt;=60),D$8/48,0)</f>
        <v>568942.8125</v>
      </c>
      <c r="E68" s="29" t="n">
        <f aca="false">IF(AND($B68&gt;=13,$B68&lt;=60),E$8/48,0)</f>
        <v>341365.708333333</v>
      </c>
      <c r="F68" s="29" t="n">
        <f aca="false">IF(AND($B68&gt;=13,$B68&lt;=60),F$8/48,0)</f>
        <v>227577.145833333</v>
      </c>
      <c r="G68" s="29" t="n">
        <f aca="false">IF(AND($B68&gt;=13,$B68&lt;=60),G$8/48,0)</f>
        <v>227577.145833333</v>
      </c>
      <c r="H68" s="29" t="n">
        <f aca="false">IF(AND($B68&gt;=13,$B68&lt;=60),H$8/48,0)</f>
        <v>227577.145833333</v>
      </c>
      <c r="I68" s="29" t="n">
        <f aca="false">IF(AND($B68&gt;=13,$B68&lt;=60),I$8/48,0)</f>
        <v>227577.145833333</v>
      </c>
      <c r="J68" s="29" t="n">
        <f aca="false">IF(AND($B68&gt;=13,$B68&lt;=60),J$8/48,0)</f>
        <v>47478.8333333333</v>
      </c>
      <c r="K68" s="29" t="n">
        <f aca="false">IF(AND($B68&gt;=13,$B68&lt;=36),K$8/24,0)</f>
        <v>0</v>
      </c>
      <c r="L68" s="29" t="n">
        <f aca="false">IF(AND($B68&gt;=13,$B68&lt;=36),L$8/24,0)</f>
        <v>0</v>
      </c>
      <c r="M68" s="29" t="n">
        <f aca="false">IF($B68=0,M$8*0.2,IF(OR($B68=1,$B68=2),M$8*0.4,0))</f>
        <v>0</v>
      </c>
      <c r="N68" s="29" t="n">
        <f aca="false">IF($B68&lt;4,0,INDEX($AB$5:$AB$12,INT(($B68-1)/12)+1))</f>
        <v>2088025</v>
      </c>
      <c r="O68" s="29" t="n">
        <f aca="false">IF($B68=0,35000000,IF(AND($B68&gt;=1,$B68&lt;=30),15000000/30,0))</f>
        <v>0</v>
      </c>
      <c r="P68" s="29" t="n">
        <f aca="false">IF(AND($B68&gt;=7,$B68&lt;=36),P$8/30,0)</f>
        <v>0</v>
      </c>
      <c r="Q68" s="29" t="n">
        <f aca="false">IF(AND($B68&gt;=13,$B68&lt;=36),Q$8/24,0)</f>
        <v>0</v>
      </c>
      <c r="R68" s="29" t="n">
        <f aca="false">IF(AND($B68&gt;=14,$B68&lt;=38),R$8/25,0)</f>
        <v>0</v>
      </c>
      <c r="S68" s="29" t="n">
        <f aca="false">IF($B68=0,S$8,0)</f>
        <v>0</v>
      </c>
      <c r="T68" s="29" t="n">
        <f aca="false">IF($B68=0,T$8,0)</f>
        <v>0</v>
      </c>
      <c r="U68" s="30" t="n">
        <f aca="false">U67+SUM(C68:T68)</f>
        <v>651814791.666668</v>
      </c>
      <c r="V68" s="31" t="n">
        <f aca="false">U68/1000000000</f>
        <v>0.651814791666668</v>
      </c>
      <c r="W68" s="31"/>
    </row>
    <row r="69" customFormat="false" ht="15" hidden="false" customHeight="true" outlineLevel="0" collapsed="false">
      <c r="A69" s="27" t="s">
        <v>143</v>
      </c>
      <c r="B69" s="28" t="n">
        <v>54</v>
      </c>
      <c r="C69" s="29" t="n">
        <f aca="false">IF(AND($B69&gt;=13,$B69&lt;=60),C$8/48,0)</f>
        <v>215237.395833333</v>
      </c>
      <c r="D69" s="29" t="n">
        <f aca="false">IF(AND($B69&gt;=13,$B69&lt;=60),D$8/48,0)</f>
        <v>568942.8125</v>
      </c>
      <c r="E69" s="29" t="n">
        <f aca="false">IF(AND($B69&gt;=13,$B69&lt;=60),E$8/48,0)</f>
        <v>341365.708333333</v>
      </c>
      <c r="F69" s="29" t="n">
        <f aca="false">IF(AND($B69&gt;=13,$B69&lt;=60),F$8/48,0)</f>
        <v>227577.145833333</v>
      </c>
      <c r="G69" s="29" t="n">
        <f aca="false">IF(AND($B69&gt;=13,$B69&lt;=60),G$8/48,0)</f>
        <v>227577.145833333</v>
      </c>
      <c r="H69" s="29" t="n">
        <f aca="false">IF(AND($B69&gt;=13,$B69&lt;=60),H$8/48,0)</f>
        <v>227577.145833333</v>
      </c>
      <c r="I69" s="29" t="n">
        <f aca="false">IF(AND($B69&gt;=13,$B69&lt;=60),I$8/48,0)</f>
        <v>227577.145833333</v>
      </c>
      <c r="J69" s="29" t="n">
        <f aca="false">IF(AND($B69&gt;=13,$B69&lt;=60),J$8/48,0)</f>
        <v>47478.8333333333</v>
      </c>
      <c r="K69" s="29" t="n">
        <f aca="false">IF(AND($B69&gt;=13,$B69&lt;=36),K$8/24,0)</f>
        <v>0</v>
      </c>
      <c r="L69" s="29" t="n">
        <f aca="false">IF(AND($B69&gt;=13,$B69&lt;=36),L$8/24,0)</f>
        <v>0</v>
      </c>
      <c r="M69" s="29" t="n">
        <f aca="false">IF($B69=0,M$8*0.2,IF(OR($B69=1,$B69=2),M$8*0.4,0))</f>
        <v>0</v>
      </c>
      <c r="N69" s="29" t="n">
        <f aca="false">IF($B69&lt;4,0,INDEX($AB$5:$AB$12,INT(($B69-1)/12)+1))</f>
        <v>2088025</v>
      </c>
      <c r="O69" s="29" t="n">
        <f aca="false">IF($B69=0,35000000,IF(AND($B69&gt;=1,$B69&lt;=30),15000000/30,0))</f>
        <v>0</v>
      </c>
      <c r="P69" s="29" t="n">
        <f aca="false">IF(AND($B69&gt;=7,$B69&lt;=36),P$8/30,0)</f>
        <v>0</v>
      </c>
      <c r="Q69" s="29" t="n">
        <f aca="false">IF(AND($B69&gt;=13,$B69&lt;=36),Q$8/24,0)</f>
        <v>0</v>
      </c>
      <c r="R69" s="29" t="n">
        <f aca="false">IF(AND($B69&gt;=14,$B69&lt;=38),R$8/25,0)</f>
        <v>0</v>
      </c>
      <c r="S69" s="29" t="n">
        <f aca="false">IF($B69=0,S$8,0)</f>
        <v>0</v>
      </c>
      <c r="T69" s="29" t="n">
        <f aca="false">IF($B69=0,T$8,0)</f>
        <v>0</v>
      </c>
      <c r="U69" s="30" t="n">
        <f aca="false">U68+SUM(C69:T69)</f>
        <v>655986150.000001</v>
      </c>
      <c r="V69" s="31" t="n">
        <f aca="false">U69/1000000000</f>
        <v>0.655986150000001</v>
      </c>
      <c r="W69" s="31"/>
    </row>
    <row r="70" customFormat="false" ht="15" hidden="false" customHeight="true" outlineLevel="0" collapsed="false">
      <c r="A70" s="27" t="s">
        <v>144</v>
      </c>
      <c r="B70" s="28" t="n">
        <v>55</v>
      </c>
      <c r="C70" s="29" t="n">
        <f aca="false">IF(AND($B70&gt;=13,$B70&lt;=60),C$8/48,0)</f>
        <v>215237.395833333</v>
      </c>
      <c r="D70" s="29" t="n">
        <f aca="false">IF(AND($B70&gt;=13,$B70&lt;=60),D$8/48,0)</f>
        <v>568942.8125</v>
      </c>
      <c r="E70" s="29" t="n">
        <f aca="false">IF(AND($B70&gt;=13,$B70&lt;=60),E$8/48,0)</f>
        <v>341365.708333333</v>
      </c>
      <c r="F70" s="29" t="n">
        <f aca="false">IF(AND($B70&gt;=13,$B70&lt;=60),F$8/48,0)</f>
        <v>227577.145833333</v>
      </c>
      <c r="G70" s="29" t="n">
        <f aca="false">IF(AND($B70&gt;=13,$B70&lt;=60),G$8/48,0)</f>
        <v>227577.145833333</v>
      </c>
      <c r="H70" s="29" t="n">
        <f aca="false">IF(AND($B70&gt;=13,$B70&lt;=60),H$8/48,0)</f>
        <v>227577.145833333</v>
      </c>
      <c r="I70" s="29" t="n">
        <f aca="false">IF(AND($B70&gt;=13,$B70&lt;=60),I$8/48,0)</f>
        <v>227577.145833333</v>
      </c>
      <c r="J70" s="29" t="n">
        <f aca="false">IF(AND($B70&gt;=13,$B70&lt;=60),J$8/48,0)</f>
        <v>47478.8333333333</v>
      </c>
      <c r="K70" s="29" t="n">
        <f aca="false">IF(AND($B70&gt;=13,$B70&lt;=36),K$8/24,0)</f>
        <v>0</v>
      </c>
      <c r="L70" s="29" t="n">
        <f aca="false">IF(AND($B70&gt;=13,$B70&lt;=36),L$8/24,0)</f>
        <v>0</v>
      </c>
      <c r="M70" s="29" t="n">
        <f aca="false">IF($B70=0,M$8*0.2,IF(OR($B70=1,$B70=2),M$8*0.4,0))</f>
        <v>0</v>
      </c>
      <c r="N70" s="29" t="n">
        <f aca="false">IF($B70&lt;4,0,INDEX($AB$5:$AB$12,INT(($B70-1)/12)+1))</f>
        <v>2088025</v>
      </c>
      <c r="O70" s="29" t="n">
        <f aca="false">IF($B70=0,35000000,IF(AND($B70&gt;=1,$B70&lt;=30),15000000/30,0))</f>
        <v>0</v>
      </c>
      <c r="P70" s="29" t="n">
        <f aca="false">IF(AND($B70&gt;=7,$B70&lt;=36),P$8/30,0)</f>
        <v>0</v>
      </c>
      <c r="Q70" s="29" t="n">
        <f aca="false">IF(AND($B70&gt;=13,$B70&lt;=36),Q$8/24,0)</f>
        <v>0</v>
      </c>
      <c r="R70" s="29" t="n">
        <f aca="false">IF(AND($B70&gt;=14,$B70&lt;=38),R$8/25,0)</f>
        <v>0</v>
      </c>
      <c r="S70" s="29" t="n">
        <f aca="false">IF($B70=0,S$8,0)</f>
        <v>0</v>
      </c>
      <c r="T70" s="29" t="n">
        <f aca="false">IF($B70=0,T$8,0)</f>
        <v>0</v>
      </c>
      <c r="U70" s="30" t="n">
        <f aca="false">U69+SUM(C70:T70)</f>
        <v>660157508.333334</v>
      </c>
      <c r="V70" s="31" t="n">
        <f aca="false">U70/1000000000</f>
        <v>0.660157508333334</v>
      </c>
      <c r="W70" s="31"/>
    </row>
    <row r="71" customFormat="false" ht="15" hidden="false" customHeight="true" outlineLevel="0" collapsed="false">
      <c r="A71" s="27" t="s">
        <v>145</v>
      </c>
      <c r="B71" s="28" t="n">
        <v>56</v>
      </c>
      <c r="C71" s="29" t="n">
        <f aca="false">IF(AND($B71&gt;=13,$B71&lt;=60),C$8/48,0)</f>
        <v>215237.395833333</v>
      </c>
      <c r="D71" s="29" t="n">
        <f aca="false">IF(AND($B71&gt;=13,$B71&lt;=60),D$8/48,0)</f>
        <v>568942.8125</v>
      </c>
      <c r="E71" s="29" t="n">
        <f aca="false">IF(AND($B71&gt;=13,$B71&lt;=60),E$8/48,0)</f>
        <v>341365.708333333</v>
      </c>
      <c r="F71" s="29" t="n">
        <f aca="false">IF(AND($B71&gt;=13,$B71&lt;=60),F$8/48,0)</f>
        <v>227577.145833333</v>
      </c>
      <c r="G71" s="29" t="n">
        <f aca="false">IF(AND($B71&gt;=13,$B71&lt;=60),G$8/48,0)</f>
        <v>227577.145833333</v>
      </c>
      <c r="H71" s="29" t="n">
        <f aca="false">IF(AND($B71&gt;=13,$B71&lt;=60),H$8/48,0)</f>
        <v>227577.145833333</v>
      </c>
      <c r="I71" s="29" t="n">
        <f aca="false">IF(AND($B71&gt;=13,$B71&lt;=60),I$8/48,0)</f>
        <v>227577.145833333</v>
      </c>
      <c r="J71" s="29" t="n">
        <f aca="false">IF(AND($B71&gt;=13,$B71&lt;=60),J$8/48,0)</f>
        <v>47478.8333333333</v>
      </c>
      <c r="K71" s="29" t="n">
        <f aca="false">IF(AND($B71&gt;=13,$B71&lt;=36),K$8/24,0)</f>
        <v>0</v>
      </c>
      <c r="L71" s="29" t="n">
        <f aca="false">IF(AND($B71&gt;=13,$B71&lt;=36),L$8/24,0)</f>
        <v>0</v>
      </c>
      <c r="M71" s="29" t="n">
        <f aca="false">IF($B71=0,M$8*0.2,IF(OR($B71=1,$B71=2),M$8*0.4,0))</f>
        <v>0</v>
      </c>
      <c r="N71" s="29" t="n">
        <f aca="false">IF($B71&lt;4,0,INDEX($AB$5:$AB$12,INT(($B71-1)/12)+1))</f>
        <v>2088025</v>
      </c>
      <c r="O71" s="29" t="n">
        <f aca="false">IF($B71=0,35000000,IF(AND($B71&gt;=1,$B71&lt;=30),15000000/30,0))</f>
        <v>0</v>
      </c>
      <c r="P71" s="29" t="n">
        <f aca="false">IF(AND($B71&gt;=7,$B71&lt;=36),P$8/30,0)</f>
        <v>0</v>
      </c>
      <c r="Q71" s="29" t="n">
        <f aca="false">IF(AND($B71&gt;=13,$B71&lt;=36),Q$8/24,0)</f>
        <v>0</v>
      </c>
      <c r="R71" s="29" t="n">
        <f aca="false">IF(AND($B71&gt;=14,$B71&lt;=38),R$8/25,0)</f>
        <v>0</v>
      </c>
      <c r="S71" s="29" t="n">
        <f aca="false">IF($B71=0,S$8,0)</f>
        <v>0</v>
      </c>
      <c r="T71" s="29" t="n">
        <f aca="false">IF($B71=0,T$8,0)</f>
        <v>0</v>
      </c>
      <c r="U71" s="30" t="n">
        <f aca="false">U70+SUM(C71:T71)</f>
        <v>664328866.666668</v>
      </c>
      <c r="V71" s="31" t="n">
        <f aca="false">U71/1000000000</f>
        <v>0.664328866666668</v>
      </c>
      <c r="W71" s="31"/>
    </row>
    <row r="72" customFormat="false" ht="15" hidden="false" customHeight="true" outlineLevel="0" collapsed="false">
      <c r="A72" s="27" t="s">
        <v>146</v>
      </c>
      <c r="B72" s="28" t="n">
        <v>57</v>
      </c>
      <c r="C72" s="29" t="n">
        <f aca="false">IF(AND($B72&gt;=13,$B72&lt;=60),C$8/48,0)</f>
        <v>215237.395833333</v>
      </c>
      <c r="D72" s="29" t="n">
        <f aca="false">IF(AND($B72&gt;=13,$B72&lt;=60),D$8/48,0)</f>
        <v>568942.8125</v>
      </c>
      <c r="E72" s="29" t="n">
        <f aca="false">IF(AND($B72&gt;=13,$B72&lt;=60),E$8/48,0)</f>
        <v>341365.708333333</v>
      </c>
      <c r="F72" s="29" t="n">
        <f aca="false">IF(AND($B72&gt;=13,$B72&lt;=60),F$8/48,0)</f>
        <v>227577.145833333</v>
      </c>
      <c r="G72" s="29" t="n">
        <f aca="false">IF(AND($B72&gt;=13,$B72&lt;=60),G$8/48,0)</f>
        <v>227577.145833333</v>
      </c>
      <c r="H72" s="29" t="n">
        <f aca="false">IF(AND($B72&gt;=13,$B72&lt;=60),H$8/48,0)</f>
        <v>227577.145833333</v>
      </c>
      <c r="I72" s="29" t="n">
        <f aca="false">IF(AND($B72&gt;=13,$B72&lt;=60),I$8/48,0)</f>
        <v>227577.145833333</v>
      </c>
      <c r="J72" s="29" t="n">
        <f aca="false">IF(AND($B72&gt;=13,$B72&lt;=60),J$8/48,0)</f>
        <v>47478.8333333333</v>
      </c>
      <c r="K72" s="29" t="n">
        <f aca="false">IF(AND($B72&gt;=13,$B72&lt;=36),K$8/24,0)</f>
        <v>0</v>
      </c>
      <c r="L72" s="29" t="n">
        <f aca="false">IF(AND($B72&gt;=13,$B72&lt;=36),L$8/24,0)</f>
        <v>0</v>
      </c>
      <c r="M72" s="29" t="n">
        <f aca="false">IF($B72=0,M$8*0.2,IF(OR($B72=1,$B72=2),M$8*0.4,0))</f>
        <v>0</v>
      </c>
      <c r="N72" s="29" t="n">
        <f aca="false">IF($B72&lt;4,0,INDEX($AB$5:$AB$12,INT(($B72-1)/12)+1))</f>
        <v>2088025</v>
      </c>
      <c r="O72" s="29" t="n">
        <f aca="false">IF($B72=0,35000000,IF(AND($B72&gt;=1,$B72&lt;=30),15000000/30,0))</f>
        <v>0</v>
      </c>
      <c r="P72" s="29" t="n">
        <f aca="false">IF(AND($B72&gt;=7,$B72&lt;=36),P$8/30,0)</f>
        <v>0</v>
      </c>
      <c r="Q72" s="29" t="n">
        <f aca="false">IF(AND($B72&gt;=13,$B72&lt;=36),Q$8/24,0)</f>
        <v>0</v>
      </c>
      <c r="R72" s="29" t="n">
        <f aca="false">IF(AND($B72&gt;=14,$B72&lt;=38),R$8/25,0)</f>
        <v>0</v>
      </c>
      <c r="S72" s="29" t="n">
        <f aca="false">IF($B72=0,S$8,0)</f>
        <v>0</v>
      </c>
      <c r="T72" s="29" t="n">
        <f aca="false">IF($B72=0,T$8,0)</f>
        <v>0</v>
      </c>
      <c r="U72" s="30" t="n">
        <f aca="false">U71+SUM(C72:T72)</f>
        <v>668500225.000001</v>
      </c>
      <c r="V72" s="31" t="n">
        <f aca="false">U72/1000000000</f>
        <v>0.668500225000001</v>
      </c>
      <c r="W72" s="31"/>
    </row>
    <row r="73" customFormat="false" ht="15" hidden="false" customHeight="true" outlineLevel="0" collapsed="false">
      <c r="A73" s="27" t="s">
        <v>147</v>
      </c>
      <c r="B73" s="28" t="n">
        <v>58</v>
      </c>
      <c r="C73" s="29" t="n">
        <f aca="false">IF(AND($B73&gt;=13,$B73&lt;=60),C$8/48,0)</f>
        <v>215237.395833333</v>
      </c>
      <c r="D73" s="29" t="n">
        <f aca="false">IF(AND($B73&gt;=13,$B73&lt;=60),D$8/48,0)</f>
        <v>568942.8125</v>
      </c>
      <c r="E73" s="29" t="n">
        <f aca="false">IF(AND($B73&gt;=13,$B73&lt;=60),E$8/48,0)</f>
        <v>341365.708333333</v>
      </c>
      <c r="F73" s="29" t="n">
        <f aca="false">IF(AND($B73&gt;=13,$B73&lt;=60),F$8/48,0)</f>
        <v>227577.145833333</v>
      </c>
      <c r="G73" s="29" t="n">
        <f aca="false">IF(AND($B73&gt;=13,$B73&lt;=60),G$8/48,0)</f>
        <v>227577.145833333</v>
      </c>
      <c r="H73" s="29" t="n">
        <f aca="false">IF(AND($B73&gt;=13,$B73&lt;=60),H$8/48,0)</f>
        <v>227577.145833333</v>
      </c>
      <c r="I73" s="29" t="n">
        <f aca="false">IF(AND($B73&gt;=13,$B73&lt;=60),I$8/48,0)</f>
        <v>227577.145833333</v>
      </c>
      <c r="J73" s="29" t="n">
        <f aca="false">IF(AND($B73&gt;=13,$B73&lt;=60),J$8/48,0)</f>
        <v>47478.8333333333</v>
      </c>
      <c r="K73" s="29" t="n">
        <f aca="false">IF(AND($B73&gt;=13,$B73&lt;=36),K$8/24,0)</f>
        <v>0</v>
      </c>
      <c r="L73" s="29" t="n">
        <f aca="false">IF(AND($B73&gt;=13,$B73&lt;=36),L$8/24,0)</f>
        <v>0</v>
      </c>
      <c r="M73" s="29" t="n">
        <f aca="false">IF($B73=0,M$8*0.2,IF(OR($B73=1,$B73=2),M$8*0.4,0))</f>
        <v>0</v>
      </c>
      <c r="N73" s="29" t="n">
        <f aca="false">IF($B73&lt;4,0,INDEX($AB$5:$AB$12,INT(($B73-1)/12)+1))</f>
        <v>2088025</v>
      </c>
      <c r="O73" s="29" t="n">
        <f aca="false">IF($B73=0,35000000,IF(AND($B73&gt;=1,$B73&lt;=30),15000000/30,0))</f>
        <v>0</v>
      </c>
      <c r="P73" s="29" t="n">
        <f aca="false">IF(AND($B73&gt;=7,$B73&lt;=36),P$8/30,0)</f>
        <v>0</v>
      </c>
      <c r="Q73" s="29" t="n">
        <f aca="false">IF(AND($B73&gt;=13,$B73&lt;=36),Q$8/24,0)</f>
        <v>0</v>
      </c>
      <c r="R73" s="29" t="n">
        <f aca="false">IF(AND($B73&gt;=14,$B73&lt;=38),R$8/25,0)</f>
        <v>0</v>
      </c>
      <c r="S73" s="29" t="n">
        <f aca="false">IF($B73=0,S$8,0)</f>
        <v>0</v>
      </c>
      <c r="T73" s="29" t="n">
        <f aca="false">IF($B73=0,T$8,0)</f>
        <v>0</v>
      </c>
      <c r="U73" s="30" t="n">
        <f aca="false">U72+SUM(C73:T73)</f>
        <v>672671583.333334</v>
      </c>
      <c r="V73" s="31" t="n">
        <f aca="false">U73/1000000000</f>
        <v>0.672671583333334</v>
      </c>
      <c r="W73" s="31"/>
    </row>
    <row r="74" customFormat="false" ht="15" hidden="false" customHeight="true" outlineLevel="0" collapsed="false">
      <c r="A74" s="27" t="s">
        <v>148</v>
      </c>
      <c r="B74" s="28" t="n">
        <v>59</v>
      </c>
      <c r="C74" s="29" t="n">
        <f aca="false">IF(AND($B74&gt;=13,$B74&lt;=60),C$8/48,0)</f>
        <v>215237.395833333</v>
      </c>
      <c r="D74" s="29" t="n">
        <f aca="false">IF(AND($B74&gt;=13,$B74&lt;=60),D$8/48,0)</f>
        <v>568942.8125</v>
      </c>
      <c r="E74" s="29" t="n">
        <f aca="false">IF(AND($B74&gt;=13,$B74&lt;=60),E$8/48,0)</f>
        <v>341365.708333333</v>
      </c>
      <c r="F74" s="29" t="n">
        <f aca="false">IF(AND($B74&gt;=13,$B74&lt;=60),F$8/48,0)</f>
        <v>227577.145833333</v>
      </c>
      <c r="G74" s="29" t="n">
        <f aca="false">IF(AND($B74&gt;=13,$B74&lt;=60),G$8/48,0)</f>
        <v>227577.145833333</v>
      </c>
      <c r="H74" s="29" t="n">
        <f aca="false">IF(AND($B74&gt;=13,$B74&lt;=60),H$8/48,0)</f>
        <v>227577.145833333</v>
      </c>
      <c r="I74" s="29" t="n">
        <f aca="false">IF(AND($B74&gt;=13,$B74&lt;=60),I$8/48,0)</f>
        <v>227577.145833333</v>
      </c>
      <c r="J74" s="29" t="n">
        <f aca="false">IF(AND($B74&gt;=13,$B74&lt;=60),J$8/48,0)</f>
        <v>47478.8333333333</v>
      </c>
      <c r="K74" s="29" t="n">
        <f aca="false">IF(AND($B74&gt;=13,$B74&lt;=36),K$8/24,0)</f>
        <v>0</v>
      </c>
      <c r="L74" s="29" t="n">
        <f aca="false">IF(AND($B74&gt;=13,$B74&lt;=36),L$8/24,0)</f>
        <v>0</v>
      </c>
      <c r="M74" s="29" t="n">
        <f aca="false">IF($B74=0,M$8*0.2,IF(OR($B74=1,$B74=2),M$8*0.4,0))</f>
        <v>0</v>
      </c>
      <c r="N74" s="29" t="n">
        <f aca="false">IF($B74&lt;4,0,INDEX($AB$5:$AB$12,INT(($B74-1)/12)+1))</f>
        <v>2088025</v>
      </c>
      <c r="O74" s="29" t="n">
        <f aca="false">IF($B74=0,35000000,IF(AND($B74&gt;=1,$B74&lt;=30),15000000/30,0))</f>
        <v>0</v>
      </c>
      <c r="P74" s="29" t="n">
        <f aca="false">IF(AND($B74&gt;=7,$B74&lt;=36),P$8/30,0)</f>
        <v>0</v>
      </c>
      <c r="Q74" s="29" t="n">
        <f aca="false">IF(AND($B74&gt;=13,$B74&lt;=36),Q$8/24,0)</f>
        <v>0</v>
      </c>
      <c r="R74" s="29" t="n">
        <f aca="false">IF(AND($B74&gt;=14,$B74&lt;=38),R$8/25,0)</f>
        <v>0</v>
      </c>
      <c r="S74" s="29" t="n">
        <f aca="false">IF($B74=0,S$8,0)</f>
        <v>0</v>
      </c>
      <c r="T74" s="29" t="n">
        <f aca="false">IF($B74=0,T$8,0)</f>
        <v>0</v>
      </c>
      <c r="U74" s="30" t="n">
        <f aca="false">U73+SUM(C74:T74)</f>
        <v>676842941.666668</v>
      </c>
      <c r="V74" s="31" t="n">
        <f aca="false">U74/1000000000</f>
        <v>0.676842941666668</v>
      </c>
      <c r="W74" s="31"/>
    </row>
    <row r="75" customFormat="false" ht="15" hidden="false" customHeight="true" outlineLevel="0" collapsed="false">
      <c r="A75" s="27" t="s">
        <v>149</v>
      </c>
      <c r="B75" s="28" t="n">
        <v>60</v>
      </c>
      <c r="C75" s="29" t="n">
        <f aca="false">IF(AND($B75&gt;=13,$B75&lt;=60),C$8/48,0)</f>
        <v>215237.395833333</v>
      </c>
      <c r="D75" s="29" t="n">
        <f aca="false">IF(AND($B75&gt;=13,$B75&lt;=60),D$8/48,0)</f>
        <v>568942.8125</v>
      </c>
      <c r="E75" s="29" t="n">
        <f aca="false">IF(AND($B75&gt;=13,$B75&lt;=60),E$8/48,0)</f>
        <v>341365.708333333</v>
      </c>
      <c r="F75" s="29" t="n">
        <f aca="false">IF(AND($B75&gt;=13,$B75&lt;=60),F$8/48,0)</f>
        <v>227577.145833333</v>
      </c>
      <c r="G75" s="29" t="n">
        <f aca="false">IF(AND($B75&gt;=13,$B75&lt;=60),G$8/48,0)</f>
        <v>227577.145833333</v>
      </c>
      <c r="H75" s="29" t="n">
        <f aca="false">IF(AND($B75&gt;=13,$B75&lt;=60),H$8/48,0)</f>
        <v>227577.145833333</v>
      </c>
      <c r="I75" s="29" t="n">
        <f aca="false">IF(AND($B75&gt;=13,$B75&lt;=60),I$8/48,0)</f>
        <v>227577.145833333</v>
      </c>
      <c r="J75" s="29" t="n">
        <f aca="false">IF(AND($B75&gt;=13,$B75&lt;=60),J$8/48,0)</f>
        <v>47478.8333333333</v>
      </c>
      <c r="K75" s="29" t="n">
        <f aca="false">IF(AND($B75&gt;=13,$B75&lt;=36),K$8/24,0)</f>
        <v>0</v>
      </c>
      <c r="L75" s="29" t="n">
        <f aca="false">IF(AND($B75&gt;=13,$B75&lt;=36),L$8/24,0)</f>
        <v>0</v>
      </c>
      <c r="M75" s="29" t="n">
        <f aca="false">IF($B75=0,M$8*0.2,IF(OR($B75=1,$B75=2),M$8*0.4,0))</f>
        <v>0</v>
      </c>
      <c r="N75" s="29" t="n">
        <f aca="false">IF($B75&lt;4,0,INDEX($AB$5:$AB$12,INT(($B75-1)/12)+1))</f>
        <v>2088025</v>
      </c>
      <c r="O75" s="29" t="n">
        <f aca="false">IF($B75=0,35000000,IF(AND($B75&gt;=1,$B75&lt;=30),15000000/30,0))</f>
        <v>0</v>
      </c>
      <c r="P75" s="29" t="n">
        <f aca="false">IF(AND($B75&gt;=7,$B75&lt;=36),P$8/30,0)</f>
        <v>0</v>
      </c>
      <c r="Q75" s="29" t="n">
        <f aca="false">IF(AND($B75&gt;=13,$B75&lt;=36),Q$8/24,0)</f>
        <v>0</v>
      </c>
      <c r="R75" s="29" t="n">
        <f aca="false">IF(AND($B75&gt;=14,$B75&lt;=38),R$8/25,0)</f>
        <v>0</v>
      </c>
      <c r="S75" s="29" t="n">
        <f aca="false">IF($B75=0,S$8,0)</f>
        <v>0</v>
      </c>
      <c r="T75" s="29" t="n">
        <f aca="false">IF($B75=0,T$8,0)</f>
        <v>0</v>
      </c>
      <c r="U75" s="30" t="n">
        <f aca="false">U74+SUM(C75:T75)</f>
        <v>681014300.000001</v>
      </c>
      <c r="V75" s="31" t="n">
        <f aca="false">U75/1000000000</f>
        <v>0.681014300000001</v>
      </c>
      <c r="W75" s="31"/>
    </row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W1"/>
    <mergeCell ref="A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4" min="4" style="1" width="38.13"/>
    <col collapsed="false" customWidth="true" hidden="false" outlineLevel="0" max="7" min="7" style="1" width="15.88"/>
    <col collapsed="false" customWidth="true" hidden="false" outlineLevel="0" max="12" min="10" style="1" width="19.13"/>
    <col collapsed="false" customWidth="true" hidden="false" outlineLevel="0" max="13" min="13" style="1" width="22.13"/>
    <col collapsed="false" customWidth="true" hidden="false" outlineLevel="0" max="15" min="14" style="1" width="15.13"/>
  </cols>
  <sheetData>
    <row r="1" customFormat="false" ht="15.75" hidden="false" customHeight="true" outlineLevel="0" collapsed="false">
      <c r="A1" s="42" t="s">
        <v>150</v>
      </c>
      <c r="B1" s="43"/>
      <c r="C1" s="43"/>
      <c r="D1" s="43"/>
      <c r="E1" s="43"/>
      <c r="F1" s="44"/>
      <c r="G1" s="43"/>
      <c r="H1" s="1"/>
      <c r="I1" s="1"/>
    </row>
    <row r="2" customFormat="false" ht="15.75" hidden="false" customHeight="true" outlineLevel="0" collapsed="false">
      <c r="A2" s="45"/>
      <c r="B2" s="43"/>
      <c r="C2" s="43"/>
      <c r="D2" s="43"/>
      <c r="E2" s="43"/>
      <c r="F2" s="44"/>
      <c r="G2" s="43"/>
      <c r="H2" s="1"/>
      <c r="I2" s="1"/>
    </row>
    <row r="3" customFormat="false" ht="15.75" hidden="false" customHeight="true" outlineLevel="0" collapsed="false">
      <c r="A3" s="46"/>
      <c r="B3" s="43"/>
      <c r="C3" s="43"/>
      <c r="D3" s="43"/>
      <c r="E3" s="43"/>
      <c r="F3" s="44"/>
      <c r="G3" s="43"/>
      <c r="H3" s="1"/>
      <c r="I3" s="1"/>
      <c r="J3" s="42"/>
      <c r="K3" s="42"/>
      <c r="L3" s="42"/>
      <c r="N3" s="47"/>
    </row>
    <row r="4" customFormat="false" ht="15.75" hidden="false" customHeight="true" outlineLevel="0" collapsed="false">
      <c r="A4" s="46"/>
      <c r="B4" s="43"/>
      <c r="C4" s="43"/>
      <c r="D4" s="43"/>
      <c r="E4" s="43"/>
      <c r="F4" s="44"/>
      <c r="G4" s="43"/>
      <c r="H4" s="1"/>
      <c r="I4" s="1"/>
      <c r="J4" s="42"/>
      <c r="K4" s="42"/>
      <c r="L4" s="48"/>
      <c r="N4" s="47"/>
    </row>
    <row r="5" customFormat="false" ht="15.75" hidden="false" customHeight="true" outlineLevel="0" collapsed="false">
      <c r="A5" s="49"/>
      <c r="B5" s="43"/>
      <c r="C5" s="43"/>
      <c r="D5" s="43"/>
      <c r="E5" s="43"/>
      <c r="F5" s="44"/>
      <c r="G5" s="43"/>
      <c r="H5" s="1"/>
      <c r="I5" s="1"/>
      <c r="J5" s="42"/>
      <c r="K5" s="42"/>
      <c r="L5" s="42"/>
      <c r="N5" s="47"/>
    </row>
    <row r="6" customFormat="false" ht="15.75" hidden="false" customHeight="true" outlineLevel="0" collapsed="false">
      <c r="A6" s="42" t="s">
        <v>151</v>
      </c>
      <c r="B6" s="43"/>
      <c r="C6" s="43"/>
      <c r="D6" s="43"/>
      <c r="E6" s="43"/>
      <c r="F6" s="44"/>
      <c r="G6" s="43"/>
      <c r="H6" s="1"/>
      <c r="I6" s="1"/>
      <c r="J6" s="42"/>
      <c r="K6" s="42"/>
      <c r="L6" s="42" t="s">
        <v>152</v>
      </c>
      <c r="N6" s="47" t="s">
        <v>153</v>
      </c>
    </row>
    <row r="7" customFormat="false" ht="54.75" hidden="false" customHeight="true" outlineLevel="0" collapsed="false">
      <c r="A7" s="50" t="s">
        <v>154</v>
      </c>
      <c r="B7" s="51" t="s">
        <v>155</v>
      </c>
      <c r="C7" s="51" t="s">
        <v>156</v>
      </c>
      <c r="D7" s="51" t="s">
        <v>157</v>
      </c>
      <c r="E7" s="51" t="s">
        <v>158</v>
      </c>
      <c r="F7" s="51" t="s">
        <v>159</v>
      </c>
      <c r="G7" s="51" t="s">
        <v>160</v>
      </c>
      <c r="H7" s="50" t="s">
        <v>161</v>
      </c>
      <c r="I7" s="50" t="s">
        <v>162</v>
      </c>
      <c r="J7" s="51" t="s">
        <v>163</v>
      </c>
      <c r="K7" s="52"/>
      <c r="L7" s="53" t="s">
        <v>164</v>
      </c>
      <c r="M7" s="53" t="s">
        <v>165</v>
      </c>
      <c r="N7" s="53" t="s">
        <v>166</v>
      </c>
      <c r="O7" s="53" t="s">
        <v>167</v>
      </c>
      <c r="P7" s="51" t="s">
        <v>163</v>
      </c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customFormat="false" ht="15.75" hidden="false" customHeight="true" outlineLevel="0" collapsed="false">
      <c r="A8" s="55"/>
      <c r="B8" s="56" t="s">
        <v>168</v>
      </c>
      <c r="C8" s="57" t="s">
        <v>169</v>
      </c>
      <c r="D8" s="58" t="s">
        <v>170</v>
      </c>
      <c r="E8" s="59" t="s">
        <v>169</v>
      </c>
      <c r="F8" s="56" t="s">
        <v>169</v>
      </c>
      <c r="G8" s="56" t="s">
        <v>169</v>
      </c>
      <c r="H8" s="60" t="s">
        <v>169</v>
      </c>
      <c r="I8" s="60" t="n">
        <v>2000000</v>
      </c>
      <c r="J8" s="56" t="s">
        <v>169</v>
      </c>
      <c r="K8" s="61"/>
      <c r="L8" s="62"/>
      <c r="M8" s="63"/>
      <c r="N8" s="64"/>
      <c r="O8" s="65"/>
      <c r="P8" s="66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 customFormat="false" ht="15.75" hidden="false" customHeight="true" outlineLevel="0" collapsed="false">
      <c r="A9" s="67"/>
      <c r="B9" s="66" t="s">
        <v>171</v>
      </c>
      <c r="C9" s="68" t="n">
        <v>0.0967923499198317</v>
      </c>
      <c r="D9" s="47" t="s">
        <v>172</v>
      </c>
      <c r="E9" s="69" t="n">
        <v>10331395</v>
      </c>
      <c r="F9" s="66" t="n">
        <v>0.010331395</v>
      </c>
      <c r="G9" s="66" t="s">
        <v>173</v>
      </c>
      <c r="H9" s="70" t="n">
        <f aca="false">C9*1000000000</f>
        <v>96792349.9198317</v>
      </c>
      <c r="I9" s="70" t="n">
        <f aca="false">C9*E9</f>
        <v>1000000</v>
      </c>
      <c r="J9" s="66" t="s">
        <v>174</v>
      </c>
      <c r="K9" s="61"/>
      <c r="L9" s="62"/>
      <c r="M9" s="63"/>
      <c r="N9" s="64"/>
      <c r="O9" s="65"/>
      <c r="P9" s="66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 customFormat="false" ht="15.75" hidden="false" customHeight="true" outlineLevel="0" collapsed="false">
      <c r="A10" s="67" t="s">
        <v>175</v>
      </c>
      <c r="B10" s="66" t="s">
        <v>176</v>
      </c>
      <c r="C10" s="68" t="n">
        <v>0.171645107125771</v>
      </c>
      <c r="D10" s="47" t="s">
        <v>177</v>
      </c>
      <c r="E10" s="71" t="n">
        <v>27309255</v>
      </c>
      <c r="F10" s="66" t="n">
        <v>0.027309255</v>
      </c>
      <c r="G10" s="66" t="s">
        <v>173</v>
      </c>
      <c r="H10" s="70" t="n">
        <f aca="false">C10*1000000000</f>
        <v>171645107.125771</v>
      </c>
      <c r="I10" s="70" t="n">
        <f aca="false">C10*E10</f>
        <v>4687500</v>
      </c>
      <c r="J10" s="66" t="s">
        <v>174</v>
      </c>
      <c r="K10" s="52"/>
      <c r="L10" s="72"/>
      <c r="M10" s="62"/>
      <c r="N10" s="62"/>
      <c r="O10" s="73"/>
      <c r="P10" s="66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</row>
    <row r="11" customFormat="false" ht="15.75" hidden="false" customHeight="true" outlineLevel="0" collapsed="false">
      <c r="A11" s="67" t="s">
        <v>178</v>
      </c>
      <c r="B11" s="66" t="s">
        <v>176</v>
      </c>
      <c r="C11" s="68" t="n">
        <v>0.171645096650379</v>
      </c>
      <c r="D11" s="47" t="s">
        <v>179</v>
      </c>
      <c r="E11" s="66" t="n">
        <v>16385554</v>
      </c>
      <c r="F11" s="66" t="n">
        <v>0.016385554</v>
      </c>
      <c r="G11" s="66" t="s">
        <v>173</v>
      </c>
      <c r="H11" s="70" t="n">
        <f aca="false">C11*1000000000</f>
        <v>171645096.650379</v>
      </c>
      <c r="I11" s="70" t="n">
        <f aca="false">C11*E11</f>
        <v>2812500</v>
      </c>
      <c r="J11" s="66" t="s">
        <v>174</v>
      </c>
      <c r="K11" s="52"/>
      <c r="L11" s="74"/>
      <c r="M11" s="62"/>
      <c r="N11" s="62"/>
      <c r="O11" s="73"/>
      <c r="P11" s="66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 customFormat="false" ht="15.75" hidden="false" customHeight="true" outlineLevel="0" collapsed="false">
      <c r="A12" s="67" t="s">
        <v>180</v>
      </c>
      <c r="B12" s="66" t="s">
        <v>176</v>
      </c>
      <c r="C12" s="68" t="n">
        <v>0.171645091412683</v>
      </c>
      <c r="D12" s="47" t="s">
        <v>181</v>
      </c>
      <c r="E12" s="66" t="n">
        <v>10923703</v>
      </c>
      <c r="F12" s="66" t="n">
        <v>0.010923703</v>
      </c>
      <c r="G12" s="66" t="s">
        <v>173</v>
      </c>
      <c r="H12" s="70" t="n">
        <f aca="false">C12*1000000000</f>
        <v>171645091.412683</v>
      </c>
      <c r="I12" s="70" t="n">
        <f aca="false">C12*E12</f>
        <v>1875000</v>
      </c>
      <c r="J12" s="66" t="s">
        <v>174</v>
      </c>
      <c r="K12" s="52"/>
      <c r="L12" s="72"/>
      <c r="M12" s="62"/>
      <c r="N12" s="62"/>
      <c r="O12" s="73"/>
      <c r="P12" s="66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customFormat="false" ht="15.75" hidden="false" customHeight="true" outlineLevel="0" collapsed="false">
      <c r="A13" s="67" t="s">
        <v>178</v>
      </c>
      <c r="B13" s="66" t="s">
        <v>176</v>
      </c>
      <c r="C13" s="68" t="n">
        <v>0.171645091412683</v>
      </c>
      <c r="D13" s="47" t="s">
        <v>182</v>
      </c>
      <c r="E13" s="66" t="n">
        <v>10923703</v>
      </c>
      <c r="F13" s="66" t="n">
        <v>0.010923703</v>
      </c>
      <c r="G13" s="66" t="s">
        <v>173</v>
      </c>
      <c r="H13" s="70" t="n">
        <f aca="false">C13*1000000000</f>
        <v>171645091.412683</v>
      </c>
      <c r="I13" s="70" t="n">
        <f aca="false">C13*E13</f>
        <v>1875000</v>
      </c>
      <c r="J13" s="66" t="s">
        <v>174</v>
      </c>
      <c r="K13" s="52"/>
      <c r="L13" s="74"/>
      <c r="M13" s="62"/>
      <c r="N13" s="62"/>
      <c r="O13" s="73"/>
      <c r="P13" s="66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 customFormat="false" ht="15.75" hidden="false" customHeight="true" outlineLevel="0" collapsed="false">
      <c r="A14" s="75" t="n">
        <v>46174</v>
      </c>
      <c r="B14" s="66" t="s">
        <v>176</v>
      </c>
      <c r="C14" s="68" t="n">
        <v>0.171645091412683</v>
      </c>
      <c r="D14" s="47" t="s">
        <v>183</v>
      </c>
      <c r="E14" s="66" t="n">
        <v>10923703</v>
      </c>
      <c r="F14" s="66" t="n">
        <v>0.010923703</v>
      </c>
      <c r="G14" s="66" t="s">
        <v>173</v>
      </c>
      <c r="H14" s="70" t="n">
        <f aca="false">C14*1000000000</f>
        <v>171645091.412683</v>
      </c>
      <c r="I14" s="70" t="n">
        <f aca="false">C14*E14</f>
        <v>1875000</v>
      </c>
      <c r="J14" s="66" t="s">
        <v>174</v>
      </c>
      <c r="K14" s="52"/>
      <c r="L14" s="62"/>
      <c r="M14" s="62"/>
      <c r="N14" s="62"/>
      <c r="O14" s="73"/>
      <c r="P14" s="66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customFormat="false" ht="15.75" hidden="false" customHeight="true" outlineLevel="0" collapsed="false">
      <c r="A15" s="67" t="s">
        <v>178</v>
      </c>
      <c r="B15" s="66" t="s">
        <v>176</v>
      </c>
      <c r="C15" s="68" t="n">
        <v>0.171645091412683</v>
      </c>
      <c r="D15" s="47" t="s">
        <v>184</v>
      </c>
      <c r="E15" s="66" t="n">
        <v>10923703</v>
      </c>
      <c r="F15" s="66" t="n">
        <v>0.010923703</v>
      </c>
      <c r="G15" s="66" t="s">
        <v>173</v>
      </c>
      <c r="H15" s="60" t="n">
        <f aca="false">C15*1000000000</f>
        <v>171645091.412683</v>
      </c>
      <c r="I15" s="70" t="n">
        <f aca="false">C15*E15</f>
        <v>1875000</v>
      </c>
      <c r="J15" s="66" t="s">
        <v>174</v>
      </c>
      <c r="K15" s="52"/>
      <c r="L15" s="62"/>
      <c r="M15" s="62"/>
      <c r="N15" s="62"/>
      <c r="O15" s="73"/>
      <c r="P15" s="66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customFormat="false" ht="15.75" hidden="false" customHeight="true" outlineLevel="0" collapsed="false">
      <c r="A16" s="67"/>
      <c r="B16" s="66" t="s">
        <v>176</v>
      </c>
      <c r="C16" s="68" t="n">
        <v>0.219396011556027</v>
      </c>
      <c r="D16" s="76" t="s">
        <v>185</v>
      </c>
      <c r="E16" s="66" t="n">
        <v>2278984</v>
      </c>
      <c r="F16" s="66" t="n">
        <v>0.002278984</v>
      </c>
      <c r="G16" s="66" t="s">
        <v>173</v>
      </c>
      <c r="H16" s="60" t="n">
        <f aca="false">C16*1000000000</f>
        <v>219396011.556027</v>
      </c>
      <c r="I16" s="70" t="n">
        <f aca="false">C16*E16</f>
        <v>500000.000000001</v>
      </c>
      <c r="J16" s="66" t="s">
        <v>174</v>
      </c>
      <c r="K16" s="52"/>
      <c r="L16" s="62"/>
      <c r="M16" s="62"/>
      <c r="N16" s="62"/>
      <c r="O16" s="73"/>
      <c r="P16" s="66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customFormat="false" ht="15.75" hidden="false" customHeight="true" outlineLevel="0" collapsed="false">
      <c r="A17" s="67"/>
      <c r="B17" s="66" t="s">
        <v>186</v>
      </c>
      <c r="C17" s="68" t="n">
        <v>0.16</v>
      </c>
      <c r="D17" s="66" t="s">
        <v>187</v>
      </c>
      <c r="E17" s="69" t="n">
        <v>175000000</v>
      </c>
      <c r="F17" s="66" t="n">
        <v>0.175</v>
      </c>
      <c r="G17" s="66" t="s">
        <v>173</v>
      </c>
      <c r="H17" s="70" t="n">
        <f aca="false">C17*1000000000</f>
        <v>160000000</v>
      </c>
      <c r="I17" s="70" t="n">
        <f aca="false">C17*E17</f>
        <v>28000000</v>
      </c>
      <c r="J17" s="66" t="s">
        <v>188</v>
      </c>
      <c r="K17" s="52"/>
      <c r="L17" s="62"/>
      <c r="M17" s="62"/>
      <c r="N17" s="62"/>
      <c r="O17" s="73"/>
      <c r="P17" s="66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customFormat="false" ht="15.75" hidden="false" customHeight="true" outlineLevel="0" collapsed="false">
      <c r="A18" s="67"/>
      <c r="B18" s="66" t="s">
        <v>13</v>
      </c>
      <c r="C18" s="68" t="n">
        <v>0.2</v>
      </c>
      <c r="D18" s="66" t="s">
        <v>189</v>
      </c>
      <c r="E18" s="69" t="n">
        <v>20000000</v>
      </c>
      <c r="F18" s="66" t="n">
        <v>0.02</v>
      </c>
      <c r="G18" s="66"/>
      <c r="H18" s="70" t="n">
        <f aca="false">C18*1000000000</f>
        <v>200000000</v>
      </c>
      <c r="I18" s="70" t="n">
        <f aca="false">C18*E18</f>
        <v>4000000</v>
      </c>
      <c r="J18" s="66" t="s">
        <v>188</v>
      </c>
      <c r="K18" s="52"/>
      <c r="L18" s="62"/>
      <c r="M18" s="62"/>
      <c r="N18" s="62"/>
      <c r="O18" s="73"/>
      <c r="P18" s="66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customFormat="false" ht="15.75" hidden="false" customHeight="true" outlineLevel="0" collapsed="false">
      <c r="A19" s="67"/>
      <c r="B19" s="66"/>
      <c r="C19" s="77"/>
      <c r="D19" s="66"/>
      <c r="E19" s="66"/>
      <c r="F19" s="66"/>
      <c r="G19" s="66"/>
      <c r="H19" s="70"/>
      <c r="I19" s="70"/>
      <c r="J19" s="66"/>
      <c r="K19" s="61"/>
      <c r="L19" s="61"/>
      <c r="M19" s="61"/>
      <c r="N19" s="61"/>
      <c r="O19" s="61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customFormat="false" ht="15.75" hidden="false" customHeight="true" outlineLevel="0" collapsed="false">
      <c r="A20" s="1"/>
      <c r="B20" s="1"/>
      <c r="C20" s="1"/>
      <c r="D20" s="61"/>
      <c r="E20" s="78" t="n">
        <f aca="false">SUM(E9:E19)</f>
        <v>295000000</v>
      </c>
      <c r="F20" s="79" t="n">
        <f aca="false">SUM(F9:F19)</f>
        <v>0.295</v>
      </c>
      <c r="H20" s="1"/>
      <c r="I20" s="80" t="n">
        <f aca="false">SUM(I9:I19)</f>
        <v>48500000</v>
      </c>
      <c r="J20" s="81" t="s">
        <v>190</v>
      </c>
    </row>
    <row r="21" customFormat="false" ht="15.75" hidden="false" customHeight="true" outlineLevel="0" collapsed="false">
      <c r="A21" s="42"/>
      <c r="B21" s="1"/>
      <c r="C21" s="1"/>
      <c r="D21" s="82" t="s">
        <v>191</v>
      </c>
      <c r="E21" s="83" t="n">
        <f aca="false">SUM('Token Release Schedule'!C8:L8)</f>
        <v>295000000</v>
      </c>
      <c r="F21" s="79" t="n">
        <f aca="false">SUM('Token Release Schedule'!C9:L9)</f>
        <v>0.295</v>
      </c>
      <c r="H21" s="82" t="s">
        <v>191</v>
      </c>
      <c r="I21" s="84" t="n">
        <f aca="false">SUM('Token Release Schedule'!C6:L6)</f>
        <v>48500000</v>
      </c>
      <c r="J21" s="81" t="s">
        <v>192</v>
      </c>
    </row>
    <row r="22" customFormat="false" ht="15.75" hidden="false" customHeight="true" outlineLevel="0" collapsed="false">
      <c r="A22" s="42" t="s">
        <v>193</v>
      </c>
      <c r="B22" s="1"/>
      <c r="C22" s="1"/>
      <c r="E22" s="1"/>
      <c r="F22" s="1"/>
      <c r="H22" s="1"/>
      <c r="I22" s="1"/>
    </row>
    <row r="23" customFormat="false" ht="15.75" hidden="false" customHeight="true" outlineLevel="0" collapsed="false">
      <c r="A23" s="85" t="s">
        <v>154</v>
      </c>
      <c r="B23" s="86" t="s">
        <v>194</v>
      </c>
      <c r="C23" s="86" t="s">
        <v>195</v>
      </c>
      <c r="D23" s="86" t="s">
        <v>158</v>
      </c>
      <c r="E23" s="86" t="s">
        <v>159</v>
      </c>
      <c r="F23" s="86" t="s">
        <v>160</v>
      </c>
      <c r="G23" s="51" t="s">
        <v>163</v>
      </c>
      <c r="H23" s="1"/>
      <c r="I23" s="1"/>
    </row>
    <row r="24" customFormat="false" ht="15.75" hidden="false" customHeight="true" outlineLevel="0" collapsed="false">
      <c r="A24" s="87"/>
      <c r="B24" s="72" t="s">
        <v>196</v>
      </c>
      <c r="C24" s="88" t="s">
        <v>197</v>
      </c>
      <c r="D24" s="72" t="n">
        <v>10000000</v>
      </c>
      <c r="E24" s="89" t="n">
        <v>0.01</v>
      </c>
      <c r="F24" s="72"/>
      <c r="G24" s="66"/>
      <c r="H24" s="1"/>
      <c r="I24" s="1"/>
    </row>
    <row r="25" customFormat="false" ht="15.75" hidden="false" customHeight="true" outlineLevel="0" collapsed="false">
      <c r="A25" s="90"/>
      <c r="B25" s="74" t="s">
        <v>198</v>
      </c>
      <c r="C25" s="91" t="s">
        <v>199</v>
      </c>
      <c r="D25" s="74" t="n">
        <v>10000000</v>
      </c>
      <c r="E25" s="92" t="n">
        <v>0.01</v>
      </c>
      <c r="F25" s="74"/>
      <c r="G25" s="66"/>
      <c r="H25" s="1"/>
      <c r="I25" s="1"/>
    </row>
    <row r="26" customFormat="false" ht="15.75" hidden="false" customHeight="true" outlineLevel="0" collapsed="false">
      <c r="A26" s="90"/>
      <c r="B26" s="74" t="s">
        <v>200</v>
      </c>
      <c r="C26" s="91" t="s">
        <v>201</v>
      </c>
      <c r="D26" s="74" t="n">
        <v>17500000</v>
      </c>
      <c r="E26" s="92" t="n">
        <v>0.0175</v>
      </c>
      <c r="F26" s="74"/>
      <c r="G26" s="66"/>
      <c r="H26" s="1"/>
      <c r="I26" s="1"/>
    </row>
    <row r="27" customFormat="false" ht="15.75" hidden="false" customHeight="true" outlineLevel="0" collapsed="false">
      <c r="A27" s="90"/>
      <c r="B27" s="74"/>
      <c r="C27" s="91"/>
      <c r="D27" s="74"/>
      <c r="E27" s="74"/>
      <c r="F27" s="74"/>
      <c r="G27" s="66"/>
      <c r="H27" s="1"/>
      <c r="I27" s="1"/>
    </row>
    <row r="28" customFormat="false" ht="15.75" hidden="false" customHeight="true" outlineLevel="0" collapsed="false">
      <c r="A28" s="90"/>
      <c r="B28" s="74"/>
      <c r="C28" s="91"/>
      <c r="D28" s="74"/>
      <c r="E28" s="74"/>
      <c r="F28" s="74"/>
      <c r="G28" s="66"/>
      <c r="H28" s="1"/>
      <c r="I28" s="1"/>
    </row>
    <row r="29" customFormat="false" ht="15.75" hidden="false" customHeight="true" outlineLevel="0" collapsed="false">
      <c r="A29" s="90"/>
      <c r="B29" s="74"/>
      <c r="C29" s="91"/>
      <c r="D29" s="74"/>
      <c r="E29" s="74"/>
      <c r="F29" s="74"/>
      <c r="G29" s="66"/>
      <c r="H29" s="1"/>
      <c r="I29" s="1"/>
    </row>
    <row r="30" customFormat="false" ht="15.75" hidden="false" customHeight="true" outlineLevel="0" collapsed="false">
      <c r="A30" s="90"/>
      <c r="B30" s="74"/>
      <c r="C30" s="91"/>
      <c r="D30" s="74"/>
      <c r="E30" s="74"/>
      <c r="F30" s="74"/>
      <c r="G30" s="66"/>
      <c r="H30" s="1"/>
      <c r="I30" s="1"/>
    </row>
    <row r="31" customFormat="false" ht="15.75" hidden="false" customHeight="true" outlineLevel="0" collapsed="false">
      <c r="A31" s="90"/>
      <c r="B31" s="74"/>
      <c r="C31" s="91"/>
      <c r="D31" s="74"/>
      <c r="E31" s="74"/>
      <c r="F31" s="74"/>
      <c r="G31" s="66"/>
      <c r="H31" s="1"/>
      <c r="I31" s="1"/>
    </row>
    <row r="32" customFormat="false" ht="15.75" hidden="false" customHeight="true" outlineLevel="0" collapsed="false">
      <c r="A32" s="90"/>
      <c r="B32" s="74"/>
      <c r="C32" s="91"/>
      <c r="D32" s="74"/>
      <c r="E32" s="74"/>
      <c r="F32" s="74"/>
      <c r="G32" s="66"/>
      <c r="H32" s="1"/>
      <c r="I32" s="1"/>
    </row>
    <row r="33" customFormat="false" ht="15.75" hidden="false" customHeight="true" outlineLevel="0" collapsed="false">
      <c r="A33" s="90"/>
      <c r="B33" s="74"/>
      <c r="C33" s="91"/>
      <c r="D33" s="74"/>
      <c r="E33" s="74"/>
      <c r="F33" s="74"/>
      <c r="G33" s="66"/>
      <c r="H33" s="1"/>
      <c r="I33" s="1"/>
    </row>
    <row r="34" customFormat="false" ht="15.75" hidden="false" customHeight="true" outlineLevel="0" collapsed="false">
      <c r="A34" s="90"/>
      <c r="B34" s="74"/>
      <c r="C34" s="91"/>
      <c r="D34" s="74"/>
      <c r="E34" s="74"/>
      <c r="F34" s="74"/>
      <c r="G34" s="66"/>
      <c r="H34" s="1"/>
      <c r="I34" s="1"/>
    </row>
    <row r="35" customFormat="false" ht="15.75" hidden="false" customHeight="true" outlineLevel="0" collapsed="false">
      <c r="A35" s="1"/>
      <c r="B35" s="1"/>
      <c r="C35" s="1"/>
      <c r="D35" s="93" t="n">
        <f aca="false">SUM(D24:D34)</f>
        <v>37500000</v>
      </c>
      <c r="E35" s="79" t="n">
        <f aca="false">SUM(E24:E34)</f>
        <v>0.0375</v>
      </c>
      <c r="F35" s="81" t="s">
        <v>190</v>
      </c>
      <c r="H35" s="1"/>
      <c r="I35" s="1"/>
    </row>
    <row r="36" customFormat="false" ht="15.75" hidden="false" customHeight="true" outlineLevel="0" collapsed="false">
      <c r="A36" s="42"/>
      <c r="B36" s="1"/>
      <c r="C36" s="82" t="s">
        <v>191</v>
      </c>
      <c r="D36" s="83" t="n">
        <f aca="false">'Token Release Schedule'!R8-D50</f>
        <v>37500000</v>
      </c>
      <c r="E36" s="79" t="n">
        <f aca="false">'Token Release Schedule'!R9-E50</f>
        <v>0.0375</v>
      </c>
      <c r="F36" s="81" t="s">
        <v>192</v>
      </c>
      <c r="H36" s="1"/>
      <c r="I36" s="1"/>
      <c r="J36" s="42"/>
      <c r="K36" s="42"/>
      <c r="L36" s="42"/>
      <c r="M36" s="47"/>
      <c r="N36" s="47"/>
      <c r="O36" s="47"/>
    </row>
    <row r="37" customFormat="false" ht="15.75" hidden="false" customHeight="true" outlineLevel="0" collapsed="false">
      <c r="A37" s="42" t="s">
        <v>202</v>
      </c>
      <c r="B37" s="1"/>
      <c r="C37" s="1"/>
      <c r="E37" s="1"/>
      <c r="F37" s="1"/>
      <c r="H37" s="1"/>
      <c r="I37" s="1"/>
      <c r="J37" s="42"/>
      <c r="K37" s="42"/>
      <c r="L37" s="94" t="s">
        <v>203</v>
      </c>
      <c r="M37" s="95"/>
      <c r="N37" s="95"/>
      <c r="O37" s="95"/>
    </row>
    <row r="38" customFormat="false" ht="15.75" hidden="false" customHeight="true" outlineLevel="0" collapsed="false">
      <c r="A38" s="85" t="s">
        <v>154</v>
      </c>
      <c r="B38" s="86" t="s">
        <v>204</v>
      </c>
      <c r="C38" s="86" t="s">
        <v>195</v>
      </c>
      <c r="D38" s="86" t="s">
        <v>158</v>
      </c>
      <c r="E38" s="86" t="s">
        <v>159</v>
      </c>
      <c r="F38" s="86" t="s">
        <v>160</v>
      </c>
      <c r="G38" s="51" t="s">
        <v>163</v>
      </c>
      <c r="H38" s="1"/>
      <c r="I38" s="96"/>
      <c r="J38" s="97"/>
      <c r="K38" s="97"/>
      <c r="L38" s="85" t="s">
        <v>164</v>
      </c>
      <c r="M38" s="85" t="s">
        <v>165</v>
      </c>
      <c r="N38" s="98" t="s">
        <v>205</v>
      </c>
      <c r="O38" s="98" t="s">
        <v>206</v>
      </c>
    </row>
    <row r="39" customFormat="false" ht="15.75" hidden="false" customHeight="true" outlineLevel="0" collapsed="false">
      <c r="A39" s="87"/>
      <c r="B39" s="72" t="s">
        <v>207</v>
      </c>
      <c r="C39" s="88" t="s">
        <v>208</v>
      </c>
      <c r="D39" s="72" t="n">
        <v>10000000</v>
      </c>
      <c r="E39" s="89" t="n">
        <v>0.01</v>
      </c>
      <c r="F39" s="72"/>
      <c r="G39" s="66"/>
      <c r="H39" s="1"/>
      <c r="I39" s="96"/>
      <c r="J39" s="99"/>
      <c r="K39" s="99"/>
      <c r="L39" s="87" t="s">
        <v>209</v>
      </c>
      <c r="M39" s="100"/>
      <c r="N39" s="87"/>
      <c r="O39" s="101"/>
    </row>
    <row r="40" customFormat="false" ht="15.75" hidden="false" customHeight="true" outlineLevel="0" collapsed="false">
      <c r="A40" s="90"/>
      <c r="B40" s="74" t="s">
        <v>210</v>
      </c>
      <c r="C40" s="91" t="s">
        <v>204</v>
      </c>
      <c r="D40" s="74" t="n">
        <v>2500000</v>
      </c>
      <c r="E40" s="92" t="n">
        <v>0.0025</v>
      </c>
      <c r="F40" s="74"/>
      <c r="G40" s="66"/>
      <c r="H40" s="1"/>
      <c r="I40" s="96"/>
      <c r="J40" s="102"/>
      <c r="K40" s="102"/>
      <c r="L40" s="103"/>
      <c r="M40" s="100"/>
      <c r="N40" s="104"/>
      <c r="O40" s="104"/>
    </row>
    <row r="41" customFormat="false" ht="15.75" hidden="false" customHeight="true" outlineLevel="0" collapsed="false">
      <c r="A41" s="90"/>
      <c r="B41" s="74"/>
      <c r="C41" s="91"/>
      <c r="D41" s="74"/>
      <c r="E41" s="92"/>
      <c r="F41" s="74"/>
      <c r="G41" s="66"/>
      <c r="H41" s="1"/>
      <c r="I41" s="96"/>
      <c r="J41" s="102"/>
      <c r="K41" s="102"/>
      <c r="L41" s="103"/>
      <c r="M41" s="104"/>
      <c r="N41" s="104"/>
      <c r="O41" s="104"/>
    </row>
    <row r="42" customFormat="false" ht="15.75" hidden="false" customHeight="true" outlineLevel="0" collapsed="false">
      <c r="A42" s="90"/>
      <c r="B42" s="74"/>
      <c r="C42" s="91"/>
      <c r="D42" s="74"/>
      <c r="E42" s="74"/>
      <c r="F42" s="74"/>
      <c r="G42" s="66"/>
      <c r="H42" s="1"/>
      <c r="I42" s="96"/>
      <c r="J42" s="102"/>
      <c r="K42" s="102"/>
      <c r="L42" s="103"/>
      <c r="M42" s="100"/>
      <c r="N42" s="104"/>
      <c r="O42" s="104"/>
    </row>
    <row r="43" customFormat="false" ht="15.75" hidden="false" customHeight="true" outlineLevel="0" collapsed="false">
      <c r="A43" s="90"/>
      <c r="B43" s="74"/>
      <c r="C43" s="91"/>
      <c r="D43" s="74"/>
      <c r="E43" s="74"/>
      <c r="F43" s="74"/>
      <c r="G43" s="66"/>
      <c r="H43" s="1"/>
      <c r="I43" s="96"/>
      <c r="J43" s="102"/>
      <c r="K43" s="102"/>
      <c r="L43" s="103"/>
      <c r="M43" s="104"/>
      <c r="N43" s="104"/>
      <c r="O43" s="104"/>
    </row>
    <row r="44" customFormat="false" ht="15.75" hidden="false" customHeight="true" outlineLevel="0" collapsed="false">
      <c r="A44" s="90"/>
      <c r="B44" s="74"/>
      <c r="C44" s="91"/>
      <c r="D44" s="74"/>
      <c r="E44" s="74"/>
      <c r="F44" s="74"/>
      <c r="G44" s="66"/>
      <c r="H44" s="1"/>
      <c r="I44" s="96"/>
      <c r="J44" s="102"/>
      <c r="K44" s="102"/>
      <c r="L44" s="103"/>
      <c r="M44" s="104"/>
      <c r="N44" s="104"/>
      <c r="O44" s="104"/>
    </row>
    <row r="45" customFormat="false" ht="15.75" hidden="false" customHeight="true" outlineLevel="0" collapsed="false">
      <c r="A45" s="90"/>
      <c r="B45" s="74"/>
      <c r="C45" s="91"/>
      <c r="D45" s="74"/>
      <c r="E45" s="74"/>
      <c r="F45" s="74"/>
      <c r="G45" s="66"/>
      <c r="H45" s="1"/>
      <c r="I45" s="96"/>
      <c r="J45" s="102"/>
      <c r="K45" s="102"/>
      <c r="L45" s="103"/>
      <c r="M45" s="104"/>
      <c r="N45" s="104"/>
      <c r="O45" s="104"/>
    </row>
    <row r="46" customFormat="false" ht="15.75" hidden="false" customHeight="true" outlineLevel="0" collapsed="false">
      <c r="A46" s="90"/>
      <c r="B46" s="74"/>
      <c r="C46" s="91"/>
      <c r="D46" s="74"/>
      <c r="E46" s="74"/>
      <c r="F46" s="74"/>
      <c r="G46" s="66"/>
      <c r="H46" s="1"/>
      <c r="I46" s="96"/>
      <c r="J46" s="102"/>
      <c r="K46" s="102"/>
      <c r="L46" s="103"/>
      <c r="M46" s="104"/>
      <c r="N46" s="104"/>
      <c r="O46" s="104"/>
    </row>
    <row r="47" customFormat="false" ht="15.75" hidden="false" customHeight="true" outlineLevel="0" collapsed="false">
      <c r="A47" s="90"/>
      <c r="B47" s="74"/>
      <c r="C47" s="91"/>
      <c r="D47" s="74"/>
      <c r="E47" s="74"/>
      <c r="F47" s="74"/>
      <c r="G47" s="66"/>
      <c r="H47" s="1"/>
      <c r="I47" s="96"/>
      <c r="J47" s="102"/>
      <c r="K47" s="102"/>
      <c r="L47" s="103"/>
      <c r="M47" s="104"/>
      <c r="N47" s="104"/>
      <c r="O47" s="104"/>
    </row>
    <row r="48" customFormat="false" ht="15.75" hidden="false" customHeight="true" outlineLevel="0" collapsed="false">
      <c r="A48" s="90"/>
      <c r="B48" s="74"/>
      <c r="C48" s="91"/>
      <c r="D48" s="74"/>
      <c r="E48" s="74"/>
      <c r="F48" s="74"/>
      <c r="G48" s="66"/>
      <c r="H48" s="1"/>
      <c r="I48" s="96"/>
      <c r="J48" s="102"/>
      <c r="K48" s="102"/>
      <c r="L48" s="103"/>
      <c r="M48" s="104"/>
      <c r="N48" s="104"/>
      <c r="O48" s="104"/>
    </row>
    <row r="49" customFormat="false" ht="15.75" hidden="false" customHeight="true" outlineLevel="0" collapsed="false">
      <c r="A49" s="90"/>
      <c r="B49" s="74"/>
      <c r="C49" s="91"/>
      <c r="D49" s="74"/>
      <c r="E49" s="74"/>
      <c r="F49" s="74"/>
      <c r="G49" s="66"/>
      <c r="H49" s="1"/>
      <c r="I49" s="1"/>
    </row>
    <row r="50" customFormat="false" ht="15.75" hidden="false" customHeight="true" outlineLevel="0" collapsed="false">
      <c r="C50" s="1"/>
      <c r="D50" s="93" t="n">
        <f aca="false">SUM(D39:D49)</f>
        <v>12500000</v>
      </c>
      <c r="E50" s="79" t="n">
        <f aca="false">SUM(E39:E49)</f>
        <v>0.0125</v>
      </c>
      <c r="F50" s="81" t="s">
        <v>190</v>
      </c>
    </row>
    <row r="51" customFormat="false" ht="15.75" hidden="false" customHeight="true" outlineLevel="0" collapsed="false">
      <c r="C51" s="82" t="s">
        <v>191</v>
      </c>
      <c r="D51" s="83" t="n">
        <f aca="false">'Token Release Schedule'!R8-D35</f>
        <v>12500000</v>
      </c>
      <c r="E51" s="79" t="n">
        <f aca="false">'Token Release Schedule'!R9-E35</f>
        <v>0.0125</v>
      </c>
      <c r="F51" s="81" t="s">
        <v>192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>
      <c r="E56" s="105"/>
      <c r="F56" s="105"/>
      <c r="G56" s="105"/>
      <c r="H56" s="105"/>
      <c r="I56" s="105"/>
      <c r="J56" s="105"/>
      <c r="K56" s="105"/>
      <c r="L56" s="105"/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5" hidden="false" customHeight="true" outlineLevel="0" collapsed="false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customFormat="false" ht="15" hidden="false" customHeight="true" outlineLevel="0" collapsed="false">
      <c r="A2" s="47"/>
      <c r="B2" s="42" t="s">
        <v>211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customFormat="false" ht="15" hidden="false" customHeight="true" outlineLevel="0" collapsed="false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customFormat="false" ht="15" hidden="false" customHeight="true" outlineLevel="0" collapsed="false">
      <c r="A4" s="47"/>
      <c r="B4" s="42" t="s">
        <v>212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customFormat="false" ht="15" hidden="false" customHeight="true" outlineLevel="0" collapsed="false">
      <c r="A5" s="47"/>
      <c r="B5" s="106" t="s">
        <v>213</v>
      </c>
      <c r="C5" s="107" t="s">
        <v>214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customFormat="false" ht="15" hidden="false" customHeight="true" outlineLevel="0" collapsed="false">
      <c r="A6" s="47"/>
      <c r="B6" s="106" t="s">
        <v>215</v>
      </c>
      <c r="C6" s="47" t="s">
        <v>216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customFormat="false" ht="15" hidden="false" customHeight="true" outlineLevel="0" collapsed="false">
      <c r="A7" s="47"/>
      <c r="B7" s="106" t="s">
        <v>217</v>
      </c>
      <c r="C7" s="47" t="s">
        <v>218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customFormat="false" ht="15" hidden="false" customHeight="true" outlineLevel="0" collapsed="false">
      <c r="A8" s="47"/>
      <c r="B8" s="106" t="s">
        <v>219</v>
      </c>
      <c r="C8" s="47" t="s">
        <v>220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customFormat="false" ht="15" hidden="false" customHeight="true" outlineLevel="0" collapsed="false">
      <c r="A9" s="47"/>
      <c r="B9" s="108" t="s">
        <v>221</v>
      </c>
      <c r="C9" s="109" t="s">
        <v>222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customFormat="false" ht="15" hidden="false" customHeight="true" outlineLevel="0" collapsed="false">
      <c r="A10" s="47"/>
      <c r="B10" s="106" t="s">
        <v>223</v>
      </c>
      <c r="C10" s="47" t="s">
        <v>223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customFormat="false" ht="15" hidden="false" customHeight="true" outlineLevel="0" collapsed="false">
      <c r="A11" s="47"/>
      <c r="B11" s="42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customFormat="false" ht="15" hidden="false" customHeight="true" outlineLevel="0" collapsed="false">
      <c r="A12" s="47"/>
      <c r="B12" s="42" t="s">
        <v>224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customFormat="false" ht="15" hidden="false" customHeight="true" outlineLevel="0" collapsed="false">
      <c r="A13" s="47"/>
      <c r="B13" s="108" t="s">
        <v>225</v>
      </c>
      <c r="C13" s="47" t="s">
        <v>226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customFormat="false" ht="15" hidden="false" customHeight="true" outlineLevel="0" collapsed="false">
      <c r="A14" s="47"/>
      <c r="B14" s="108" t="s">
        <v>227</v>
      </c>
      <c r="C14" s="47" t="s">
        <v>228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customFormat="false" ht="15" hidden="false" customHeight="true" outlineLevel="0" collapsed="false">
      <c r="A15" s="47"/>
      <c r="B15" s="108" t="s">
        <v>229</v>
      </c>
      <c r="C15" s="47" t="s">
        <v>230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customFormat="false" ht="15" hidden="false" customHeight="true" outlineLevel="0" collapsed="false">
      <c r="A16" s="47"/>
      <c r="B16" s="108" t="s">
        <v>231</v>
      </c>
      <c r="C16" s="47" t="s">
        <v>232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customFormat="false" ht="15" hidden="false" customHeight="true" outlineLevel="0" collapsed="false">
      <c r="A17" s="47"/>
      <c r="B17" s="108" t="s">
        <v>233</v>
      </c>
      <c r="C17" s="47" t="s">
        <v>234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customFormat="false" ht="15" hidden="false" customHeight="true" outlineLevel="0" collapsed="false">
      <c r="A18" s="47"/>
      <c r="B18" s="108" t="s">
        <v>235</v>
      </c>
      <c r="C18" s="47" t="s">
        <v>235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customFormat="false" ht="15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customFormat="false" ht="15" hidden="false" customHeight="true" outlineLevel="0" collapsed="false">
      <c r="A20" s="47"/>
      <c r="B20" s="110" t="s">
        <v>236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customFormat="false" ht="15.75" hidden="false" customHeight="true" outlineLevel="0" collapsed="false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customFormat="false" ht="15.75" hidden="false" customHeight="true" outlineLevel="0" collapsed="false">
      <c r="A22" s="47"/>
      <c r="B22" s="42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customFormat="false" ht="15.75" hidden="false" customHeight="true" outlineLevel="0" collapsed="false">
      <c r="A23" s="47"/>
      <c r="B23" s="108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customFormat="false" ht="15.75" hidden="false" customHeight="true" outlineLevel="0" collapsed="false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customFormat="false" ht="15.75" hidden="false" customHeight="true" outlineLevel="0" collapsed="false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customFormat="false" ht="15.75" hidden="false" customHeight="true" outlineLevel="0" collapsed="false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customFormat="false" ht="15.75" hidden="false" customHeight="true" outlineLevel="0" collapsed="false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customFormat="false" ht="15.75" hidden="false" customHeight="true" outlineLevel="0" collapsed="false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customFormat="false" ht="15.75" hidden="false" customHeight="true" outlineLevel="0" collapsed="false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customFormat="false" ht="15.75" hidden="false" customHeight="true" outlineLevel="0" collapsed="false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customFormat="false" ht="15.75" hidden="false" customHeight="true" outlineLevel="0" collapsed="false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customFormat="false" ht="15.75" hidden="false" customHeight="true" outlineLevel="0" collapsed="false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customFormat="false" ht="15.75" hidden="false" customHeight="true" outlineLevel="0" collapsed="false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customFormat="false" ht="15.75" hidden="false" customHeight="true" outlineLevel="0" collapsed="false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customFormat="false" ht="15.75" hidden="false" customHeight="true" outlineLevel="0" collapsed="false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customFormat="false" ht="15.75" hidden="false" customHeight="true" outlineLevel="0" collapsed="false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customFormat="false" ht="15.75" hidden="false" customHeight="true" outlineLevel="0" collapsed="false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customFormat="false" ht="15.75" hidden="false" customHeight="true" outlineLevel="0" collapsed="false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customFormat="false" ht="15.75" hidden="false" customHeight="true" outlineLevel="0" collapsed="false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customFormat="false" ht="15.75" hidden="false" customHeight="true" outlineLevel="0" collapsed="false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customFormat="false" ht="15.75" hidden="false" customHeight="true" outlineLevel="0" collapsed="false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customFormat="false" ht="15.75" hidden="false" customHeight="true" outlineLevel="0" collapsed="false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customFormat="false" ht="15.75" hidden="false" customHeight="true" outlineLevel="0" collapsed="false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customFormat="false" ht="15.75" hidden="false" customHeight="true" outlineLevel="0" collapsed="false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customFormat="false" ht="15.75" hidden="false" customHeight="true" outlineLevel="0" collapsed="false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customFormat="false" ht="15.75" hidden="false" customHeight="true" outlineLevel="0" collapsed="false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customFormat="false" ht="15.75" hidden="false" customHeight="true" outlineLevel="0" collapsed="false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customFormat="false" ht="15.75" hidden="false" customHeight="true" outlineLevel="0" collapsed="false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customFormat="false" ht="15.75" hidden="false" customHeight="true" outlineLevel="0" collapsed="false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customFormat="false" ht="15.75" hidden="false" customHeight="true" outlineLevel="0" collapsed="false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customFormat="false" ht="15.75" hidden="false" customHeight="true" outlineLevel="0" collapsed="false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customFormat="false" ht="15.75" hidden="false" customHeight="true" outlineLevel="0" collapsed="false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customFormat="false" ht="15.75" hidden="false" customHeight="true" outlineLevel="0" collapsed="false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customFormat="false" ht="15.75" hidden="false" customHeight="true" outlineLevel="0" collapsed="false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customFormat="false" ht="15.75" hidden="false" customHeight="true" outlineLevel="0" collapsed="false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customFormat="false" ht="15.75" hidden="false" customHeight="true" outlineLevel="0" collapsed="false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customFormat="false" ht="15.75" hidden="false" customHeight="true" outlineLevel="0" collapsed="false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customFormat="false" ht="15.75" hidden="false" customHeight="true" outlineLevel="0" collapsed="false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customFormat="false" ht="15.75" hidden="false" customHeight="true" outlineLevel="0" collapsed="false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customFormat="false" ht="15.75" hidden="false" customHeight="true" outlineLevel="0" collapsed="false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customFormat="false" ht="15.75" hidden="false" customHeight="true" outlineLevel="0" collapsed="false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customFormat="false" ht="15.75" hidden="false" customHeight="true" outlineLevel="0" collapsed="false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customFormat="false" ht="15.75" hidden="false" customHeight="true" outlineLevel="0" collapsed="false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customFormat="false" ht="15.75" hidden="false" customHeight="true" outlineLevel="0" collapsed="false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customFormat="false" ht="15.75" hidden="false" customHeight="true" outlineLevel="0" collapsed="false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customFormat="false" ht="15.75" hidden="false" customHeight="true" outlineLevel="0" collapsed="false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customFormat="false" ht="15.75" hidden="false" customHeight="true" outlineLevel="0" collapsed="false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customFormat="false" ht="15.75" hidden="false" customHeight="true" outlineLevel="0" collapsed="false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customFormat="false" ht="15.75" hidden="false" customHeight="true" outlineLevel="0" collapsed="false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customFormat="false" ht="15.75" hidden="false" customHeight="true" outlineLevel="0" collapsed="false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customFormat="false" ht="15.75" hidden="false" customHeight="true" outlineLevel="0" collapsed="false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customFormat="false" ht="15.75" hidden="false" customHeight="true" outlineLevel="0" collapsed="false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customFormat="false" ht="15.75" hidden="false" customHeight="true" outlineLevel="0" collapsed="false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customFormat="false" ht="15.75" hidden="false" customHeight="true" outlineLevel="0" collapsed="false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customFormat="false" ht="15.75" hidden="false" customHeight="true" outlineLevel="0" collapsed="false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customFormat="false" ht="15.75" hidden="false" customHeight="true" outlineLevel="0" collapsed="false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customFormat="false" ht="15.75" hidden="false" customHeight="true" outlineLevel="0" collapsed="false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customFormat="false" ht="15.75" hidden="false" customHeight="true" outlineLevel="0" collapsed="false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customFormat="false" ht="15.75" hidden="false" customHeight="true" outlineLevel="0" collapsed="false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customFormat="false" ht="15.75" hidden="false" customHeight="true" outlineLevel="0" collapsed="false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customFormat="false" ht="15.75" hidden="false" customHeight="true" outlineLevel="0" collapsed="false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customFormat="false" ht="15.75" hidden="false" customHeight="true" outlineLevel="0" collapsed="false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customFormat="false" ht="15.75" hidden="false" customHeight="true" outlineLevel="0" collapsed="false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customFormat="false" ht="15.75" hidden="false" customHeight="true" outlineLevel="0" collapsed="false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customFormat="false" ht="15.75" hidden="false" customHeight="true" outlineLevel="0" collapsed="false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customFormat="false" ht="15.75" hidden="false" customHeight="true" outlineLevel="0" collapsed="false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customFormat="false" ht="15.75" hidden="false" customHeight="true" outlineLevel="0" collapsed="false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customFormat="false" ht="15.75" hidden="false" customHeight="true" outlineLevel="0" collapsed="false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customFormat="false" ht="15.75" hidden="false" customHeight="true" outlineLevel="0" collapsed="false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customFormat="false" ht="15.75" hidden="false" customHeight="true" outlineLevel="0" collapsed="false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customFormat="false" ht="15.75" hidden="false" customHeight="true" outlineLevel="0" collapsed="false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customFormat="false" ht="15.75" hidden="false" customHeight="true" outlineLevel="0" collapsed="false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customFormat="false" ht="15.75" hidden="false" customHeight="true" outlineLevel="0" collapsed="false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customFormat="false" ht="15.75" hidden="false" customHeight="true" outlineLevel="0" collapsed="false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customFormat="false" ht="15.75" hidden="false" customHeight="true" outlineLevel="0" collapsed="false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customFormat="false" ht="15.75" hidden="false" customHeight="true" outlineLevel="0" collapsed="false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customFormat="false" ht="15.75" hidden="false" customHeight="true" outlineLevel="0" collapsed="false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customFormat="false" ht="15.75" hidden="false" customHeight="true" outlineLevel="0" collapsed="false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customFormat="false" ht="15.75" hidden="false" customHeight="true" outlineLevel="0" collapsed="false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customFormat="false" ht="15.75" hidden="false" customHeight="true" outlineLevel="0" collapsed="false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customFormat="false" ht="15.75" hidden="false" customHeight="true" outlineLevel="0" collapsed="false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customFormat="false" ht="15.75" hidden="false" customHeight="true" outlineLevel="0" collapsed="false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customFormat="false" ht="15.75" hidden="false" customHeight="true" outlineLevel="0" collapsed="false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customFormat="false" ht="15.75" hidden="false" customHeight="true" outlineLevel="0" collapsed="false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customFormat="false" ht="15.75" hidden="false" customHeight="true" outlineLevel="0" collapsed="false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customFormat="false" ht="15.75" hidden="false" customHeight="true" outlineLevel="0" collapsed="false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customFormat="false" ht="15.75" hidden="false" customHeight="true" outlineLevel="0" collapsed="false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customFormat="false" ht="15.75" hidden="false" customHeight="true" outlineLevel="0" collapsed="false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customFormat="false" ht="15.75" hidden="false" customHeight="true" outlineLevel="0" collapsed="false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customFormat="false" ht="15.75" hidden="false" customHeight="true" outlineLevel="0" collapsed="false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customFormat="false" ht="15.75" hidden="false" customHeight="true" outlineLevel="0" collapsed="false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customFormat="false" ht="15.75" hidden="false" customHeight="true" outlineLevel="0" collapsed="false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customFormat="false" ht="15.75" hidden="false" customHeight="true" outlineLevel="0" collapsed="false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customFormat="false" ht="15.75" hidden="false" customHeight="true" outlineLevel="0" collapsed="false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customFormat="false" ht="15.75" hidden="false" customHeight="true" outlineLevel="0" collapsed="false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customFormat="false" ht="15.75" hidden="false" customHeight="true" outlineLevel="0" collapsed="false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customFormat="false" ht="15.75" hidden="false" customHeight="true" outlineLevel="0" collapsed="false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customFormat="false" ht="15.75" hidden="false" customHeight="true" outlineLevel="0" collapsed="false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customFormat="false" ht="15.75" hidden="false" customHeight="true" outlineLevel="0" collapsed="false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customFormat="false" ht="15.75" hidden="false" customHeight="true" outlineLevel="0" collapsed="false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customFormat="false" ht="15.75" hidden="false" customHeight="true" outlineLevel="0" collapsed="false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customFormat="false" ht="15.75" hidden="false" customHeight="true" outlineLevel="0" collapsed="false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customFormat="false" ht="15.75" hidden="false" customHeight="true" outlineLevel="0" collapsed="false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customFormat="false" ht="15.75" hidden="false" customHeight="true" outlineLevel="0" collapsed="false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customFormat="false" ht="15.75" hidden="false" customHeight="true" outlineLevel="0" collapsed="false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customFormat="false" ht="15.75" hidden="false" customHeight="true" outlineLevel="0" collapsed="false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customFormat="false" ht="15.75" hidden="false" customHeight="true" outlineLevel="0" collapsed="false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customFormat="false" ht="15.75" hidden="false" customHeight="true" outlineLevel="0" collapsed="false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customFormat="false" ht="15.75" hidden="false" customHeight="true" outlineLevel="0" collapsed="false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customFormat="false" ht="15.75" hidden="false" customHeight="true" outlineLevel="0" collapsed="false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customFormat="false" ht="15.75" hidden="false" customHeight="true" outlineLevel="0" collapsed="false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customFormat="false" ht="15.75" hidden="false" customHeight="true" outlineLevel="0" collapsed="false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customFormat="false" ht="15.75" hidden="false" customHeight="true" outlineLevel="0" collapsed="false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customFormat="false" ht="15.75" hidden="false" customHeight="true" outlineLevel="0" collapsed="false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customFormat="false" ht="15.75" hidden="false" customHeight="true" outlineLevel="0" collapsed="false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customFormat="false" ht="15.75" hidden="false" customHeight="true" outlineLevel="0" collapsed="false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customFormat="false" ht="15.75" hidden="false" customHeight="true" outlineLevel="0" collapsed="false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customFormat="false" ht="15.75" hidden="false" customHeight="true" outlineLevel="0" collapsed="false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customFormat="false" ht="15.75" hidden="false" customHeight="true" outlineLevel="0" collapsed="false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customFormat="false" ht="15.75" hidden="false" customHeight="true" outlineLevel="0" collapsed="false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customFormat="false" ht="15.75" hidden="false" customHeight="true" outlineLevel="0" collapsed="false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customFormat="false" ht="15.75" hidden="false" customHeight="true" outlineLevel="0" collapsed="false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customFormat="false" ht="15.75" hidden="false" customHeight="true" outlineLevel="0" collapsed="false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customFormat="false" ht="15.75" hidden="false" customHeight="true" outlineLevel="0" collapsed="false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customFormat="false" ht="15.75" hidden="false" customHeight="true" outlineLevel="0" collapsed="false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customFormat="false" ht="15.75" hidden="false" customHeight="true" outlineLevel="0" collapsed="false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customFormat="false" ht="15.75" hidden="false" customHeight="true" outlineLevel="0" collapsed="false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customFormat="false" ht="15.75" hidden="false" customHeight="true" outlineLevel="0" collapsed="false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customFormat="false" ht="15.75" hidden="false" customHeight="true" outlineLevel="0" collapsed="false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customFormat="false" ht="15.75" hidden="false" customHeight="true" outlineLevel="0" collapsed="false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customFormat="false" ht="15.75" hidden="false" customHeight="true" outlineLevel="0" collapsed="false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customFormat="false" ht="15.75" hidden="false" customHeight="true" outlineLevel="0" collapsed="false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customFormat="false" ht="15.75" hidden="false" customHeight="true" outlineLevel="0" collapsed="false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customFormat="false" ht="15.75" hidden="false" customHeight="true" outlineLevel="0" collapsed="false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customFormat="false" ht="15.75" hidden="false" customHeight="true" outlineLevel="0" collapsed="false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customFormat="false" ht="15.75" hidden="false" customHeight="true" outlineLevel="0" collapsed="false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customFormat="false" ht="15.75" hidden="false" customHeight="true" outlineLevel="0" collapsed="false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customFormat="false" ht="15.75" hidden="false" customHeight="true" outlineLevel="0" collapsed="false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customFormat="false" ht="15.75" hidden="false" customHeight="true" outlineLevel="0" collapsed="false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customFormat="false" ht="15.75" hidden="false" customHeight="true" outlineLevel="0" collapsed="false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customFormat="false" ht="15.75" hidden="false" customHeight="true" outlineLevel="0" collapsed="false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customFormat="false" ht="15.75" hidden="false" customHeight="true" outlineLevel="0" collapsed="false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customFormat="false" ht="15.75" hidden="false" customHeight="true" outlineLevel="0" collapsed="false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customFormat="false" ht="15.75" hidden="false" customHeight="true" outlineLevel="0" collapsed="false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customFormat="false" ht="15.75" hidden="false" customHeight="true" outlineLevel="0" collapsed="false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customFormat="false" ht="15.75" hidden="false" customHeight="true" outlineLevel="0" collapsed="false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customFormat="false" ht="15.75" hidden="false" customHeight="true" outlineLevel="0" collapsed="false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customFormat="false" ht="15.75" hidden="false" customHeight="true" outlineLevel="0" collapsed="false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customFormat="false" ht="15.75" hidden="false" customHeight="true" outlineLevel="0" collapsed="false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customFormat="false" ht="15.75" hidden="false" customHeight="true" outlineLevel="0" collapsed="false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customFormat="false" ht="15.75" hidden="false" customHeight="true" outlineLevel="0" collapsed="false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customFormat="false" ht="15.75" hidden="false" customHeight="true" outlineLevel="0" collapsed="false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customFormat="false" ht="15.75" hidden="false" customHeight="true" outlineLevel="0" collapsed="false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customFormat="false" ht="15.75" hidden="false" customHeight="true" outlineLevel="0" collapsed="false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customFormat="false" ht="15.75" hidden="false" customHeight="true" outlineLevel="0" collapsed="false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customFormat="false" ht="15.75" hidden="false" customHeight="true" outlineLevel="0" collapsed="false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customFormat="false" ht="15.75" hidden="false" customHeight="true" outlineLevel="0" collapsed="false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customFormat="false" ht="15.75" hidden="false" customHeight="true" outlineLevel="0" collapsed="false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customFormat="false" ht="15.75" hidden="false" customHeight="true" outlineLevel="0" collapsed="false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customFormat="false" ht="15.75" hidden="false" customHeight="true" outlineLevel="0" collapsed="false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customFormat="false" ht="15.75" hidden="false" customHeight="true" outlineLevel="0" collapsed="false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customFormat="false" ht="15.75" hidden="false" customHeight="true" outlineLevel="0" collapsed="false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customFormat="false" ht="15.75" hidden="false" customHeight="true" outlineLevel="0" collapsed="false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customFormat="false" ht="15.75" hidden="false" customHeight="true" outlineLevel="0" collapsed="false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customFormat="false" ht="15.75" hidden="false" customHeight="true" outlineLevel="0" collapsed="false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customFormat="false" ht="15.75" hidden="false" customHeight="true" outlineLevel="0" collapsed="false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customFormat="false" ht="15.75" hidden="false" customHeight="true" outlineLevel="0" collapsed="false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customFormat="false" ht="15.75" hidden="false" customHeight="true" outlineLevel="0" collapsed="false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customFormat="false" ht="15.75" hidden="false" customHeight="true" outlineLevel="0" collapsed="false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customFormat="false" ht="15.75" hidden="false" customHeight="true" outlineLevel="0" collapsed="false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customFormat="false" ht="15.75" hidden="false" customHeight="true" outlineLevel="0" collapsed="false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customFormat="false" ht="15.75" hidden="false" customHeight="true" outlineLevel="0" collapsed="false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customFormat="false" ht="15.75" hidden="false" customHeight="true" outlineLevel="0" collapsed="false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customFormat="false" ht="15.75" hidden="false" customHeight="true" outlineLevel="0" collapsed="false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customFormat="false" ht="15.75" hidden="false" customHeight="true" outlineLevel="0" collapsed="false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customFormat="false" ht="15.75" hidden="false" customHeight="true" outlineLevel="0" collapsed="false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customFormat="false" ht="15.75" hidden="false" customHeight="true" outlineLevel="0" collapsed="false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customFormat="false" ht="15.75" hidden="false" customHeight="true" outlineLevel="0" collapsed="false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customFormat="false" ht="15.75" hidden="false" customHeight="true" outlineLevel="0" collapsed="false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customFormat="false" ht="15.75" hidden="false" customHeight="true" outlineLevel="0" collapsed="false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customFormat="false" ht="15.75" hidden="false" customHeight="true" outlineLevel="0" collapsed="false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customFormat="false" ht="15.75" hidden="false" customHeight="true" outlineLevel="0" collapsed="false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customFormat="false" ht="15.75" hidden="false" customHeight="true" outlineLevel="0" collapsed="false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customFormat="false" ht="15.75" hidden="false" customHeight="true" outlineLevel="0" collapsed="false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customFormat="false" ht="15.75" hidden="false" customHeight="true" outlineLevel="0" collapsed="false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customFormat="false" ht="15.75" hidden="false" customHeight="true" outlineLevel="0" collapsed="false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customFormat="false" ht="15.75" hidden="false" customHeight="true" outlineLevel="0" collapsed="false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customFormat="false" ht="15.75" hidden="false" customHeight="true" outlineLevel="0" collapsed="false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customFormat="false" ht="15.75" hidden="false" customHeight="true" outlineLevel="0" collapsed="false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customFormat="false" ht="15.75" hidden="false" customHeight="true" outlineLevel="0" collapsed="false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customFormat="false" ht="15.75" hidden="false" customHeight="true" outlineLevel="0" collapsed="false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customFormat="false" ht="15.75" hidden="false" customHeight="true" outlineLevel="0" collapsed="false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customFormat="false" ht="15.75" hidden="false" customHeight="true" outlineLevel="0" collapsed="false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customFormat="false" ht="15.75" hidden="false" customHeight="true" outlineLevel="0" collapsed="false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customFormat="false" ht="15.75" hidden="false" customHeight="true" outlineLevel="0" collapsed="false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customFormat="false" ht="15.75" hidden="false" customHeight="true" outlineLevel="0" collapsed="false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customFormat="false" ht="15.75" hidden="false" customHeight="true" outlineLevel="0" collapsed="false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customFormat="false" ht="15.75" hidden="false" customHeight="true" outlineLevel="0" collapsed="false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customFormat="false" ht="15.75" hidden="false" customHeight="true" outlineLevel="0" collapsed="false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customFormat="false" ht="15.75" hidden="false" customHeight="true" outlineLevel="0" collapsed="false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2026-09-07T12:34:48Z</dcterms:created>
  <dc:creator>openpyxl</dc:creator>
  <dc:description/>
  <dc:language>en-US</dc:language>
  <cp:lastModifiedBy/>
  <dcterms:modified xsi:type="dcterms:W3CDTF">2026-10-19T14:12:11Z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