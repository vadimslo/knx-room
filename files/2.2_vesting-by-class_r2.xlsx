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lasses" sheetId="1" state="visible" r:id="rId3"/>
    <sheet name="Wallet regist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<sst xmlns="http://schemas.openxmlformats.org/spreadsheetml/2006/main" count="121" uniqueCount="78">
  <si>
    <t xml:space="preserve">Vesting and lockup by holder class (Token Release Schedule, 19 October 2026)</t>
  </si>
  <si>
    <t xml:space="preserve">TGE Q1 2027 target (model working date 5 February 2027). Vesting day is the 5th of each month.</t>
  </si>
  <si>
    <t xml:space="preserve">Class</t>
  </si>
  <si>
    <t xml:space="preserve">KNX</t>
  </si>
  <si>
    <t xml:space="preserve">% of supply</t>
  </si>
  <si>
    <t xml:space="preserve">Unlocked at TGE (KNX)</t>
  </si>
  <si>
    <t xml:space="preserve">Cliff</t>
  </si>
  <si>
    <t xml:space="preserve">Linear period</t>
  </si>
  <si>
    <t xml:space="preserve">Monthly amount (KNX)</t>
  </si>
  <si>
    <t xml:space="preserve">Vesting wallet (Base)</t>
  </si>
  <si>
    <t xml:space="preserve">Hardcoded in smart contract</t>
  </si>
  <si>
    <t xml:space="preserve">Legacy investors (pre-seed, seed, KOL round)</t>
  </si>
  <si>
    <t xml:space="preserve">12 months</t>
  </si>
  <si>
    <t xml:space="preserve">T+13 to T+60 (48 months)</t>
  </si>
  <si>
    <t xml:space="preserve">Investors Safe and KOL round Safe (see Wallet register)</t>
  </si>
  <si>
    <t xml:space="preserve">No</t>
  </si>
  <si>
    <t xml:space="preserve">New round, main close</t>
  </si>
  <si>
    <t xml:space="preserve">T+13 to T+36 (24 months)</t>
  </si>
  <si>
    <t xml:space="preserve">to be created at close</t>
  </si>
  <si>
    <t xml:space="preserve">New round, top-up close</t>
  </si>
  <si>
    <t xml:space="preserve">KOLpad allocations</t>
  </si>
  <si>
    <t xml:space="preserve">none</t>
  </si>
  <si>
    <t xml:space="preserve">20% at TGE, 40% at T+1, 40% at T+2</t>
  </si>
  <si>
    <t xml:space="preserve">6,000,000 at T+1 and T+2</t>
  </si>
  <si>
    <t xml:space="preserve">on-chain vesting platform before the first release</t>
  </si>
  <si>
    <t xml:space="preserve">Emissions</t>
  </si>
  <si>
    <t xml:space="preserve">none; release from T+4</t>
  </si>
  <si>
    <t xml:space="preserve">Declining annual cap from T+4; 4,000,000 per month T+4 to T+12, then cap/12 stepping down 15% a year</t>
  </si>
  <si>
    <t xml:space="preserve">4,000,000 then 3,400,000; 2,890,000; 2,456,500; 2,088,025; 1,774,821; 1,508,598</t>
  </si>
  <si>
    <t xml:space="preserve">0xfaCBAdA2A526884770AA82c50A165AE7BE606190</t>
  </si>
  <si>
    <t xml:space="preserve">Marketing and exchanges</t>
  </si>
  <si>
    <t xml:space="preserve">35,000,000 at TGE; T+1 to T+30 (30 months) on 15,000,000</t>
  </si>
  <si>
    <t xml:space="preserve">0x6e2275EBb346b24bfdE292511687C84C1690B977 and 0x4184450111458f33a17fD2Fa385AAc199b2B0252</t>
  </si>
  <si>
    <t xml:space="preserve">Treasury and reserves</t>
  </si>
  <si>
    <t xml:space="preserve">6 months</t>
  </si>
  <si>
    <t xml:space="preserve">T+7 to T+36 (30 months)</t>
  </si>
  <si>
    <t xml:space="preserve">0xa9154ad8F0F07b4A35236a121364286e11b47511</t>
  </si>
  <si>
    <t xml:space="preserve">Foundation</t>
  </si>
  <si>
    <t xml:space="preserve">0xd3A6B6DC87664eeE275B74e970e44e7a94b73657</t>
  </si>
  <si>
    <t xml:space="preserve">Team and advisors</t>
  </si>
  <si>
    <t xml:space="preserve">13 months</t>
  </si>
  <si>
    <t xml:space="preserve">T+14 to T+38 (25 months)</t>
  </si>
  <si>
    <t xml:space="preserve">0x9506F36A5c9cf12CE07E1aF0798c963409fBa01E</t>
  </si>
  <si>
    <t xml:space="preserve">Liquidity / market making</t>
  </si>
  <si>
    <t xml:space="preserve">none; 10,000,000 at TGE as a returnable loan</t>
  </si>
  <si>
    <t xml:space="preserve">0xc30A6E81d78ec8d5CCA05Ca0E99d6a02a7f3596B</t>
  </si>
  <si>
    <t xml:space="preserve">Community airdrop</t>
  </si>
  <si>
    <t xml:space="preserve">none; fully unlocked at TGE</t>
  </si>
  <si>
    <t xml:space="preserve">0x78224046bE0566E28573391A64D2c3910D06b858</t>
  </si>
  <si>
    <t xml:space="preserve">Total</t>
  </si>
  <si>
    <t xml:space="preserve">Per-holder detail for the legacy investors is in the cap table (item 1.1). Monthly unlocks by pocket are in the unlock grid (item 2.1).</t>
  </si>
  <si>
    <t xml:space="preserve">Wallet register: the ten Base Safes holding KNX</t>
  </si>
  <si>
    <t xml:space="preserve">Token 0x5a6FF6033D9b86AAB5e00CCc91fd16234118e35a on Base, 18 decimals, 1,000,000,000 KNX. Balances at the snapshot of 2026-09-17 10:38 UTC; targets under the Token Release Schedule, 19 October 2026.</t>
  </si>
  <si>
    <t xml:space="preserve">Bucket</t>
  </si>
  <si>
    <t xml:space="preserve">Address (Base)</t>
  </si>
  <si>
    <t xml:space="preserve">Type</t>
  </si>
  <si>
    <t xml:space="preserve">Balance at snapshot (KNX)</t>
  </si>
  <si>
    <t xml:space="preserve">Schedule target (KNX)</t>
  </si>
  <si>
    <t xml:space="preserve">Difference (target minus balance)</t>
  </si>
  <si>
    <t xml:space="preserve">Mining and validator emissions</t>
  </si>
  <si>
    <t xml:space="preserve">Gnosis Safe proxy</t>
  </si>
  <si>
    <t xml:space="preserve">Investors (pre-seed and seed)</t>
  </si>
  <si>
    <t xml:space="preserve">0x7472420ccAdE13f6E52A40C509F887Ad64ddaf5E</t>
  </si>
  <si>
    <t xml:space="preserve">Marketing and exchanges (wallet B)</t>
  </si>
  <si>
    <t xml:space="preserve">0x4184450111458f33a17fD2Fa385AAc199b2B0252</t>
  </si>
  <si>
    <t xml:space="preserve">combined 50,000,000</t>
  </si>
  <si>
    <t xml:space="preserve">see combined row</t>
  </si>
  <si>
    <t xml:space="preserve">Marketing and exchanges (wallet A)</t>
  </si>
  <si>
    <t xml:space="preserve">0x6e2275EBb346b24bfdE292511687C84C1690B977</t>
  </si>
  <si>
    <t xml:space="preserve">KOL / strategic round</t>
  </si>
  <si>
    <t xml:space="preserve">0xd16F088C8D21C7A1072f195f1C7578979498E31c</t>
  </si>
  <si>
    <t xml:space="preserve">Marketing, both Safes combined</t>
  </si>
  <si>
    <t xml:space="preserve">New round</t>
  </si>
  <si>
    <t xml:space="preserve">vesting platform before the first release</t>
  </si>
  <si>
    <t xml:space="preserve">Total of the ten Safes</t>
  </si>
  <si>
    <t xml:space="preserve">Signers stated for every Safe: Vladimir Smelov and Pablo Pérez Pazos; thresholds to be fixed before TGE.</t>
  </si>
  <si>
    <t xml:space="preserve">Balances reflect the June to July 2026 distribution on the July allocation; moving balances to the schedule targets is a pre-TGE step. The KOLpad allocations are taken from the emissions Safe target.</t>
  </si>
  <si>
    <t xml:space="preserve">Deployer EOA 0x7E167d3a4aE82bA90D9f76a40DcFD611c832D440 minted the full supply on 2026-06-11.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</si>
</sst>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4E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E4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60"/>
    <col collapsed="false" customWidth="true" hidden="false" outlineLevel="0" max="7" min="7" style="0" width="22"/>
    <col collapsed="false" customWidth="true" hidden="false" outlineLevel="0" max="8" min="8" style="0" width="60"/>
    <col collapsed="false" customWidth="true" hidden="false" outlineLevel="0" max="9" min="9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41.7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customFormat="false" ht="15" hidden="false" customHeight="false" outlineLevel="0" collapsed="false">
      <c r="A5" s="0" t="s">
        <v>11</v>
      </c>
      <c r="B5" s="3" t="n">
        <v>100000000</v>
      </c>
      <c r="C5" s="4" t="n">
        <f aca="false">B5/1000000000</f>
        <v>0.1</v>
      </c>
      <c r="D5" s="3" t="n">
        <v>0</v>
      </c>
      <c r="E5" s="5" t="s">
        <v>12</v>
      </c>
      <c r="F5" s="5" t="s">
        <v>13</v>
      </c>
      <c r="G5" s="3" t="n">
        <v>2083333.33333333</v>
      </c>
      <c r="H5" s="5" t="s">
        <v>14</v>
      </c>
      <c r="I5" s="5" t="s">
        <v>15</v>
      </c>
    </row>
    <row r="6" customFormat="false" ht="15" hidden="false" customHeight="false" outlineLevel="0" collapsed="false">
      <c r="A6" s="0" t="s">
        <v>16</v>
      </c>
      <c r="B6" s="3" t="n">
        <v>175000000</v>
      </c>
      <c r="C6" s="4" t="n">
        <f aca="false">B6/1000000000</f>
        <v>0.175</v>
      </c>
      <c r="D6" s="3" t="n">
        <v>0</v>
      </c>
      <c r="E6" s="5" t="s">
        <v>12</v>
      </c>
      <c r="F6" s="5" t="s">
        <v>17</v>
      </c>
      <c r="G6" s="3" t="n">
        <v>7291666.66666667</v>
      </c>
      <c r="H6" s="5" t="s">
        <v>18</v>
      </c>
      <c r="I6" s="5" t="s">
        <v>15</v>
      </c>
    </row>
    <row r="7" customFormat="false" ht="15" hidden="false" customHeight="false" outlineLevel="0" collapsed="false">
      <c r="A7" s="0" t="s">
        <v>19</v>
      </c>
      <c r="B7" s="3" t="n">
        <v>20000000</v>
      </c>
      <c r="C7" s="4" t="n">
        <f aca="false">B7/1000000000</f>
        <v>0.02</v>
      </c>
      <c r="D7" s="3" t="n">
        <v>0</v>
      </c>
      <c r="E7" s="5" t="s">
        <v>12</v>
      </c>
      <c r="F7" s="5" t="s">
        <v>17</v>
      </c>
      <c r="G7" s="3" t="n">
        <v>833333.333333333</v>
      </c>
      <c r="H7" s="5" t="s">
        <v>18</v>
      </c>
      <c r="I7" s="5" t="s">
        <v>15</v>
      </c>
    </row>
    <row r="8" customFormat="false" ht="15" hidden="false" customHeight="false" outlineLevel="0" collapsed="false">
      <c r="A8" s="0" t="s">
        <v>20</v>
      </c>
      <c r="B8" s="3" t="n">
        <v>15000000</v>
      </c>
      <c r="C8" s="4" t="n">
        <f aca="false">B8/1000000000</f>
        <v>0.015</v>
      </c>
      <c r="D8" s="3" t="n">
        <v>3000000</v>
      </c>
      <c r="E8" s="5" t="s">
        <v>21</v>
      </c>
      <c r="F8" s="5" t="s">
        <v>22</v>
      </c>
      <c r="G8" s="3" t="s">
        <v>23</v>
      </c>
      <c r="H8" s="5" t="s">
        <v>24</v>
      </c>
      <c r="I8" s="5" t="s">
        <v>15</v>
      </c>
    </row>
    <row r="9" customFormat="false" ht="15" hidden="false" customHeight="false" outlineLevel="0" collapsed="false">
      <c r="A9" s="0" t="s">
        <v>25</v>
      </c>
      <c r="B9" s="3" t="n">
        <v>485000000</v>
      </c>
      <c r="C9" s="4" t="n">
        <f aca="false">B9/1000000000</f>
        <v>0.485</v>
      </c>
      <c r="D9" s="3" t="n">
        <v>0</v>
      </c>
      <c r="E9" s="5" t="s">
        <v>26</v>
      </c>
      <c r="F9" s="5" t="s">
        <v>27</v>
      </c>
      <c r="G9" s="3" t="s">
        <v>28</v>
      </c>
      <c r="H9" s="5" t="s">
        <v>29</v>
      </c>
      <c r="I9" s="5" t="s">
        <v>15</v>
      </c>
    </row>
    <row r="10" customFormat="false" ht="15" hidden="false" customHeight="false" outlineLevel="0" collapsed="false">
      <c r="A10" s="0" t="s">
        <v>30</v>
      </c>
      <c r="B10" s="3" t="n">
        <v>50000000</v>
      </c>
      <c r="C10" s="4" t="n">
        <f aca="false">B10/1000000000</f>
        <v>0.05</v>
      </c>
      <c r="D10" s="3" t="n">
        <v>35000000</v>
      </c>
      <c r="E10" s="5" t="s">
        <v>21</v>
      </c>
      <c r="F10" s="5" t="s">
        <v>31</v>
      </c>
      <c r="G10" s="3" t="n">
        <v>500000</v>
      </c>
      <c r="H10" s="5" t="s">
        <v>32</v>
      </c>
      <c r="I10" s="5" t="s">
        <v>15</v>
      </c>
    </row>
    <row r="11" customFormat="false" ht="15" hidden="false" customHeight="false" outlineLevel="0" collapsed="false">
      <c r="A11" s="0" t="s">
        <v>33</v>
      </c>
      <c r="B11" s="3" t="n">
        <v>50000000</v>
      </c>
      <c r="C11" s="4" t="n">
        <f aca="false">B11/1000000000</f>
        <v>0.05</v>
      </c>
      <c r="D11" s="3" t="n">
        <v>0</v>
      </c>
      <c r="E11" s="5" t="s">
        <v>34</v>
      </c>
      <c r="F11" s="5" t="s">
        <v>35</v>
      </c>
      <c r="G11" s="3" t="n">
        <v>1666666.66666667</v>
      </c>
      <c r="H11" s="5" t="s">
        <v>36</v>
      </c>
      <c r="I11" s="5" t="s">
        <v>15</v>
      </c>
    </row>
    <row r="12" customFormat="false" ht="15" hidden="false" customHeight="false" outlineLevel="0" collapsed="false">
      <c r="A12" s="0" t="s">
        <v>37</v>
      </c>
      <c r="B12" s="3" t="n">
        <v>40000000</v>
      </c>
      <c r="C12" s="4" t="n">
        <f aca="false">B12/1000000000</f>
        <v>0.04</v>
      </c>
      <c r="D12" s="3" t="n">
        <v>0</v>
      </c>
      <c r="E12" s="5" t="s">
        <v>12</v>
      </c>
      <c r="F12" s="5" t="s">
        <v>17</v>
      </c>
      <c r="G12" s="3" t="n">
        <v>1666666.66666667</v>
      </c>
      <c r="H12" s="5" t="s">
        <v>38</v>
      </c>
      <c r="I12" s="5" t="s">
        <v>15</v>
      </c>
    </row>
    <row r="13" customFormat="false" ht="15" hidden="false" customHeight="false" outlineLevel="0" collapsed="false">
      <c r="A13" s="0" t="s">
        <v>39</v>
      </c>
      <c r="B13" s="3" t="n">
        <v>50000000</v>
      </c>
      <c r="C13" s="4" t="n">
        <f aca="false">B13/1000000000</f>
        <v>0.05</v>
      </c>
      <c r="D13" s="3" t="n">
        <v>0</v>
      </c>
      <c r="E13" s="5" t="s">
        <v>40</v>
      </c>
      <c r="F13" s="5" t="s">
        <v>41</v>
      </c>
      <c r="G13" s="3" t="n">
        <v>2000000</v>
      </c>
      <c r="H13" s="5" t="s">
        <v>42</v>
      </c>
      <c r="I13" s="5" t="s">
        <v>15</v>
      </c>
    </row>
    <row r="14" customFormat="false" ht="15" hidden="false" customHeight="false" outlineLevel="0" collapsed="false">
      <c r="A14" s="0" t="s">
        <v>43</v>
      </c>
      <c r="B14" s="3" t="n">
        <v>10000000</v>
      </c>
      <c r="C14" s="4" t="n">
        <f aca="false">B14/1000000000</f>
        <v>0.01</v>
      </c>
      <c r="D14" s="3" t="n">
        <v>10000000</v>
      </c>
      <c r="E14" s="5" t="s">
        <v>21</v>
      </c>
      <c r="F14" s="5" t="s">
        <v>44</v>
      </c>
      <c r="G14" s="3" t="n">
        <v>0</v>
      </c>
      <c r="H14" s="5" t="s">
        <v>45</v>
      </c>
      <c r="I14" s="5" t="s">
        <v>15</v>
      </c>
    </row>
    <row r="15" customFormat="false" ht="15" hidden="false" customHeight="false" outlineLevel="0" collapsed="false">
      <c r="A15" s="0" t="s">
        <v>46</v>
      </c>
      <c r="B15" s="3" t="n">
        <v>5000000</v>
      </c>
      <c r="C15" s="4" t="n">
        <f aca="false">B15/1000000000</f>
        <v>0.005</v>
      </c>
      <c r="D15" s="3" t="n">
        <v>5000000</v>
      </c>
      <c r="E15" s="5" t="s">
        <v>21</v>
      </c>
      <c r="F15" s="5" t="s">
        <v>47</v>
      </c>
      <c r="G15" s="3" t="n">
        <v>0</v>
      </c>
      <c r="H15" s="5" t="s">
        <v>48</v>
      </c>
      <c r="I15" s="5" t="s">
        <v>15</v>
      </c>
    </row>
    <row r="16" customFormat="false" ht="15" hidden="false" customHeight="false" outlineLevel="0" collapsed="false">
      <c r="A16" s="6" t="s">
        <v>49</v>
      </c>
      <c r="B16" s="3" t="n">
        <f aca="false">SUM(B5:B15)</f>
        <v>1000000000</v>
      </c>
      <c r="C16" s="4" t="n">
        <f aca="false">SUM(C5:C15)</f>
        <v>1</v>
      </c>
      <c r="D16" s="3" t="n">
        <f aca="false">SUM(D5:D15)</f>
        <v>53000000</v>
      </c>
    </row>
    <row r="18" customFormat="false" ht="15" hidden="false" customHeight="false" outlineLevel="0" collapsed="false">
      <c r="A18" s="0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6"/>
    <col collapsed="false" customWidth="true" hidden="false" outlineLevel="0" max="3" min="3" style="0" width="20"/>
    <col collapsed="false" customWidth="true" hidden="false" outlineLevel="0" max="5" min="4" style="0" width="22"/>
    <col collapsed="false" customWidth="true" hidden="false" outlineLevel="0" max="6" min="6" style="0" width="26"/>
  </cols>
  <sheetData>
    <row r="1" customFormat="false" ht="16.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0" t="s">
        <v>52</v>
      </c>
    </row>
    <row r="4" customFormat="false" ht="28.35" hidden="false" customHeight="false" outlineLevel="0" collapsed="false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</row>
    <row r="5" customFormat="false" ht="15" hidden="false" customHeight="false" outlineLevel="0" collapsed="false">
      <c r="A5" s="0" t="s">
        <v>59</v>
      </c>
      <c r="B5" s="0" t="s">
        <v>29</v>
      </c>
      <c r="C5" s="0" t="s">
        <v>60</v>
      </c>
      <c r="D5" s="3" t="n">
        <v>406887070</v>
      </c>
      <c r="E5" s="3" t="n">
        <v>485000000</v>
      </c>
      <c r="F5" s="3" t="n">
        <f aca="false">E5-D5</f>
        <v>78112930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60</v>
      </c>
      <c r="D6" s="3" t="n">
        <v>252230578</v>
      </c>
      <c r="E6" s="3" t="n">
        <v>97721016</v>
      </c>
      <c r="F6" s="3" t="n">
        <f aca="false">E6-D6</f>
        <v>-154509562</v>
      </c>
    </row>
    <row r="7" customFormat="false" ht="15" hidden="false" customHeight="false" outlineLevel="0" collapsed="false">
      <c r="A7" s="0" t="s">
        <v>63</v>
      </c>
      <c r="B7" s="0" t="s">
        <v>64</v>
      </c>
      <c r="C7" s="0" t="s">
        <v>60</v>
      </c>
      <c r="D7" s="3" t="n">
        <v>60000000</v>
      </c>
      <c r="E7" s="5" t="s">
        <v>65</v>
      </c>
      <c r="F7" s="5" t="s">
        <v>66</v>
      </c>
    </row>
    <row r="8" customFormat="false" ht="15" hidden="false" customHeight="false" outlineLevel="0" collapsed="false">
      <c r="A8" s="0" t="s">
        <v>33</v>
      </c>
      <c r="B8" s="0" t="s">
        <v>36</v>
      </c>
      <c r="C8" s="0" t="s">
        <v>60</v>
      </c>
      <c r="D8" s="3" t="n">
        <v>50000000</v>
      </c>
      <c r="E8" s="3" t="n">
        <v>50000000</v>
      </c>
      <c r="F8" s="3" t="n">
        <f aca="false">E8-D8</f>
        <v>0</v>
      </c>
    </row>
    <row r="9" customFormat="false" ht="15" hidden="false" customHeight="false" outlineLevel="0" collapsed="false">
      <c r="A9" s="0" t="s">
        <v>39</v>
      </c>
      <c r="B9" s="0" t="s">
        <v>42</v>
      </c>
      <c r="C9" s="0" t="s">
        <v>60</v>
      </c>
      <c r="D9" s="3" t="n">
        <v>50000000</v>
      </c>
      <c r="E9" s="3" t="n">
        <v>50000000</v>
      </c>
      <c r="F9" s="3" t="n">
        <f aca="false">E9-D9</f>
        <v>0</v>
      </c>
    </row>
    <row r="10" customFormat="false" ht="15" hidden="false" customHeight="false" outlineLevel="0" collapsed="false">
      <c r="A10" s="0" t="s">
        <v>46</v>
      </c>
      <c r="B10" s="0" t="s">
        <v>48</v>
      </c>
      <c r="C10" s="0" t="s">
        <v>60</v>
      </c>
      <c r="D10" s="3" t="n">
        <v>50000000</v>
      </c>
      <c r="E10" s="3" t="n">
        <v>5000000</v>
      </c>
      <c r="F10" s="3" t="n">
        <f aca="false">E10-D10</f>
        <v>-45000000</v>
      </c>
    </row>
    <row r="11" customFormat="false" ht="15" hidden="false" customHeight="false" outlineLevel="0" collapsed="false">
      <c r="A11" s="0" t="s">
        <v>43</v>
      </c>
      <c r="B11" s="0" t="s">
        <v>45</v>
      </c>
      <c r="C11" s="0" t="s">
        <v>60</v>
      </c>
      <c r="D11" s="3" t="n">
        <v>50000000</v>
      </c>
      <c r="E11" s="3" t="n">
        <v>10000000</v>
      </c>
      <c r="F11" s="3" t="n">
        <f aca="false">E11-D11</f>
        <v>-40000000</v>
      </c>
    </row>
    <row r="12" customFormat="false" ht="15" hidden="false" customHeight="false" outlineLevel="0" collapsed="false">
      <c r="A12" s="0" t="s">
        <v>37</v>
      </c>
      <c r="B12" s="0" t="s">
        <v>38</v>
      </c>
      <c r="C12" s="0" t="s">
        <v>60</v>
      </c>
      <c r="D12" s="3" t="n">
        <v>40000000</v>
      </c>
      <c r="E12" s="3" t="n">
        <v>40000000</v>
      </c>
      <c r="F12" s="3" t="n">
        <f aca="false">E12-D12</f>
        <v>0</v>
      </c>
    </row>
    <row r="13" customFormat="false" ht="15" hidden="false" customHeight="false" outlineLevel="0" collapsed="false">
      <c r="A13" s="0" t="s">
        <v>67</v>
      </c>
      <c r="B13" s="0" t="s">
        <v>68</v>
      </c>
      <c r="C13" s="0" t="s">
        <v>60</v>
      </c>
      <c r="D13" s="3" t="n">
        <v>35000000</v>
      </c>
      <c r="E13" s="5" t="s">
        <v>65</v>
      </c>
      <c r="F13" s="5" t="s">
        <v>66</v>
      </c>
    </row>
    <row r="14" customFormat="false" ht="15" hidden="false" customHeight="false" outlineLevel="0" collapsed="false">
      <c r="A14" s="0" t="s">
        <v>69</v>
      </c>
      <c r="B14" s="0" t="s">
        <v>70</v>
      </c>
      <c r="C14" s="0" t="s">
        <v>60</v>
      </c>
      <c r="D14" s="3" t="n">
        <v>5882352</v>
      </c>
      <c r="E14" s="3" t="n">
        <v>2278984</v>
      </c>
      <c r="F14" s="3" t="n">
        <f aca="false">E14-D14</f>
        <v>-3603368</v>
      </c>
    </row>
    <row r="15" customFormat="false" ht="15" hidden="false" customHeight="false" outlineLevel="0" collapsed="false">
      <c r="A15" s="0" t="s">
        <v>71</v>
      </c>
      <c r="D15" s="3" t="n">
        <f aca="false">D7+D13</f>
        <v>95000000</v>
      </c>
      <c r="E15" s="3" t="n">
        <v>50000000</v>
      </c>
      <c r="F15" s="3" t="n">
        <f aca="false">E15-D15</f>
        <v>-45000000</v>
      </c>
    </row>
    <row r="16" customFormat="false" ht="15" hidden="false" customHeight="false" outlineLevel="0" collapsed="false">
      <c r="A16" s="0" t="s">
        <v>72</v>
      </c>
      <c r="B16" s="0" t="s">
        <v>18</v>
      </c>
      <c r="D16" s="0" t="n">
        <v>0</v>
      </c>
      <c r="E16" s="3" t="n">
        <v>195000000</v>
      </c>
      <c r="F16" s="3" t="n">
        <f aca="false">E16-D16</f>
        <v>195000000</v>
      </c>
    </row>
    <row r="17" customFormat="false" ht="15" hidden="false" customHeight="false" outlineLevel="0" collapsed="false">
      <c r="A17" s="0" t="s">
        <v>20</v>
      </c>
      <c r="B17" s="0" t="s">
        <v>73</v>
      </c>
      <c r="D17" s="0" t="n">
        <v>0</v>
      </c>
      <c r="E17" s="3" t="n">
        <v>15000000</v>
      </c>
      <c r="F17" s="3" t="n">
        <f aca="false">E17-D17</f>
        <v>15000000</v>
      </c>
    </row>
    <row r="18" customFormat="false" ht="15" hidden="false" customHeight="false" outlineLevel="0" collapsed="false">
      <c r="A18" s="6" t="s">
        <v>74</v>
      </c>
      <c r="D18" s="3" t="n">
        <f aca="false">SUM(D5:D14)</f>
        <v>1000000000</v>
      </c>
    </row>
    <row r="20" customFormat="false" ht="15" hidden="false" customHeight="false" outlineLevel="0" collapsed="false">
      <c r="A20" s="0" t="s">
        <v>75</v>
      </c>
    </row>
    <row r="21" customFormat="false" ht="15" hidden="false" customHeight="false" outlineLevel="0" collapsed="false">
      <c r="A21" s="0" t="s">
        <v>76</v>
      </c>
    </row>
    <row r="22" customFormat="false" ht="15" hidden="false" customHeight="false" outlineLevel="0" collapsed="false">
      <c r="A22" s="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2026-10-19T14:12:27Z</dcterms:created>
  <dc:creator>openpyxl</dc:creator>
  <dc:description/>
  <dc:language>en-US</dc:language>
  <cp:lastModifiedBy/>
  <dcterms:modified xsi:type="dcterms:W3CDTF">2026-10-19T14:12:27Z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