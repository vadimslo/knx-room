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nlocks" sheetId="2" state="visible" r:id="rId4"/>
    <sheet name="Model" sheetId="3" state="visible" r:id="rId5"/>
    <sheet name="Composi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<sst xmlns="http://schemas.openxmlformats.org/spreadsheetml/2006/main" count="68" uniqueCount="55">
  <si>
    <t xml:space="preserve">Sell-pressure model inputs</t>
  </si>
  <si>
    <t xml:space="preserve">Prices are reference scenarios, not forecasts. Volume is an input the model does not supply.</t>
  </si>
  <si>
    <t xml:space="preserve">Price scenario</t>
  </si>
  <si>
    <t xml:space="preserve">USD per KNX</t>
  </si>
  <si>
    <t xml:space="preserve">Source</t>
  </si>
  <si>
    <t xml:space="preserve">Main close price</t>
  </si>
  <si>
    <t xml:space="preserve">Token Release Schedule, 19 October 2026: main close, 175,000,000 KNX at USD 0.16 (USD 160,000,000 FDV)</t>
  </si>
  <si>
    <t xml:space="preserve">Effective legacy price, pre-seed</t>
  </si>
  <si>
    <t xml:space="preserve">Token Release Schedule, 19 October 2026, InvestorInsiders Breakdown: USD 1,000,000 over 10,331,395 KNX</t>
  </si>
  <si>
    <t xml:space="preserve">Effective legacy price, seed</t>
  </si>
  <si>
    <t xml:space="preserve">Token Release Schedule, 19 October 2026, InvestorInsiders Breakdown: USD 0.0665 entry pro-rated to the scheduled KNX</t>
  </si>
  <si>
    <t xml:space="preserve">Effective legacy price, KOL round</t>
  </si>
  <si>
    <t xml:space="preserve">Token Release Schedule, 19 October 2026, InvestorInsiders Breakdown: USD 0.085 entry pro-rated to the scheduled KNX</t>
  </si>
  <si>
    <t xml:space="preserve">Listing reference price</t>
  </si>
  <si>
    <t xml:space="preserve">Token Release Schedule, 19 October 2026: top-up close at USD 0.20 (USD 200,000,000 FDV)</t>
  </si>
  <si>
    <t xml:space="preserve">Projected 30-day spot volume (USD), base case</t>
  </si>
  <si>
    <t xml:space="preserve">INPUT REQUIRED: the model carries no volume assumption of its own. Enter the projected 30-day volume in USD; the Model sheet computes the ratios.</t>
  </si>
  <si>
    <t xml:space="preserve">Total supply (KNX)</t>
  </si>
  <si>
    <t xml:space="preserve">Monthly unlock by class, T+0 to T+84 (KNX)</t>
  </si>
  <si>
    <t xml:space="preserve">Values from the Token Release Schedule, 19 October 2026 grid as reproduced in 2.1_unlock-grid_r2.xlsx. T+0 is the TGE working date, 5 February 2027.</t>
  </si>
  <si>
    <t xml:space="preserve">Month</t>
  </si>
  <si>
    <t xml:space="preserve">Date</t>
  </si>
  <si>
    <t xml:space="preserve">Legacy investors</t>
  </si>
  <si>
    <t xml:space="preserve">New round</t>
  </si>
  <si>
    <t xml:space="preserve">KOLpad</t>
  </si>
  <si>
    <t xml:space="preserve">Emissions</t>
  </si>
  <si>
    <t xml:space="preserve">Marketing</t>
  </si>
  <si>
    <t xml:space="preserve">Treasury</t>
  </si>
  <si>
    <t xml:space="preserve">Foundation</t>
  </si>
  <si>
    <t xml:space="preserve">Team</t>
  </si>
  <si>
    <t xml:space="preserve">Liquidity</t>
  </si>
  <si>
    <t xml:space="preserve">Airdrop</t>
  </si>
  <si>
    <t xml:space="preserve">Monthly total</t>
  </si>
  <si>
    <t xml:space="preserve">Circulating (cumulative)</t>
  </si>
  <si>
    <t xml:space="preserve">Circulating % of supply</t>
  </si>
  <si>
    <t xml:space="preserve">Total</t>
  </si>
  <si>
    <t xml:space="preserve">Unlock value and unlock-to-volume ratio by month</t>
  </si>
  <si>
    <t xml:space="preserve">Unlock value = monthly unlock KNX x price scenario. Ratio = unlock value / 30-day volume; blank volume reads INPUT REQUIRED.</t>
  </si>
  <si>
    <t xml:space="preserve">Monthly unlock (KNX)</t>
  </si>
  <si>
    <t xml:space="preserve">Value at main close price (USD)</t>
  </si>
  <si>
    <t xml:space="preserve">Value at listing reference (USD)</t>
  </si>
  <si>
    <t xml:space="preserve">Value at pre-seed effective price (USD)</t>
  </si>
  <si>
    <t xml:space="preserve">Value at seed effective price (USD)</t>
  </si>
  <si>
    <t xml:space="preserve">Value at KOL effective price (USD)</t>
  </si>
  <si>
    <t xml:space="preserve">30-day volume (USD)</t>
  </si>
  <si>
    <t xml:space="preserve">Unlock / volume at USD 0.16</t>
  </si>
  <si>
    <t xml:space="preserve">Unlock / volume at listing reference</t>
  </si>
  <si>
    <t xml:space="preserve">Month 13 (first investor unlock)</t>
  </si>
  <si>
    <t xml:space="preserve">Column I may be overridden month by month with a specific volume figure; the yellow cells otherwise take the base case from Inputs B11.</t>
  </si>
  <si>
    <t xml:space="preserve">Composition of the month-13 unlock and of the TGE float (KNX)</t>
  </si>
  <si>
    <t xml:space="preserve">Class</t>
  </si>
  <si>
    <t xml:space="preserve">Unlocked at TGE (T+0)</t>
  </si>
  <si>
    <t xml:space="preserve">Unlock at T+13</t>
  </si>
  <si>
    <t xml:space="preserve">Value of T+13 unlock at USD 0.16</t>
  </si>
  <si>
    <t xml:space="preserve">Value of T+13 unlock at the listing reference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</si>
</sst>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dd\ mmm\ yyyy"/>
    <numFmt numFmtId="168" formatCode="0.00%"/>
    <numFmt numFmtId="169" formatCode="&quot;USD &quot;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0.16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0.0967923499198317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0.171645107125771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0.219396011556027</v>
      </c>
      <c r="C8" s="4" t="s">
        <v>12</v>
      </c>
    </row>
    <row r="9" customFormat="false" ht="15" hidden="false" customHeight="false" outlineLevel="0" collapsed="false">
      <c r="A9" s="0" t="s">
        <v>13</v>
      </c>
      <c r="B9" s="3" t="n">
        <v>0.2</v>
      </c>
      <c r="C9" s="4" t="s">
        <v>14</v>
      </c>
    </row>
    <row r="11" customFormat="false" ht="15" hidden="false" customHeight="false" outlineLevel="0" collapsed="false">
      <c r="A11" s="0" t="s">
        <v>15</v>
      </c>
      <c r="B11" s="5"/>
      <c r="C11" s="4" t="s">
        <v>16</v>
      </c>
    </row>
    <row r="12" customFormat="false" ht="15" hidden="false" customHeight="false" outlineLevel="0" collapsed="false">
      <c r="A12" s="0" t="s">
        <v>17</v>
      </c>
      <c r="B12" s="6" t="n">
        <v>1000000000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13" min="3" style="0" width="16"/>
    <col collapsed="false" customWidth="true" hidden="false" outlineLevel="0" max="14" min="14" style="0" width="20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0" t="s">
        <v>19</v>
      </c>
    </row>
    <row r="4" customFormat="false" ht="28.3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</row>
    <row r="5" customFormat="false" ht="15" hidden="false" customHeight="false" outlineLevel="0" collapsed="false">
      <c r="A5" s="0" t="n">
        <v>0</v>
      </c>
      <c r="B5" s="7" t="n">
        <f aca="false">EDATE(DATE(2027,2,5),A5)</f>
        <v>46423</v>
      </c>
      <c r="C5" s="6" t="n">
        <v>0</v>
      </c>
      <c r="D5" s="6" t="n">
        <v>0</v>
      </c>
      <c r="E5" s="6" t="n">
        <v>3000000</v>
      </c>
      <c r="F5" s="6" t="n">
        <v>0</v>
      </c>
      <c r="G5" s="6" t="n">
        <v>35000000</v>
      </c>
      <c r="H5" s="6" t="n">
        <v>0</v>
      </c>
      <c r="I5" s="6" t="n">
        <v>0</v>
      </c>
      <c r="J5" s="6" t="n">
        <v>0</v>
      </c>
      <c r="K5" s="6" t="n">
        <v>10000000</v>
      </c>
      <c r="L5" s="6" t="n">
        <v>5000000</v>
      </c>
      <c r="M5" s="6" t="n">
        <f aca="false">SUM(C5:L5)</f>
        <v>53000000</v>
      </c>
      <c r="N5" s="6" t="n">
        <f aca="false">M5</f>
        <v>53000000</v>
      </c>
      <c r="O5" s="8" t="n">
        <f aca="false">N5/Inputs!$B$12</f>
        <v>0.053</v>
      </c>
    </row>
    <row r="6" customFormat="false" ht="15" hidden="false" customHeight="false" outlineLevel="0" collapsed="false">
      <c r="A6" s="0" t="n">
        <v>1</v>
      </c>
      <c r="B6" s="7" t="n">
        <f aca="false">EDATE(DATE(2027,2,5),A6)</f>
        <v>46451</v>
      </c>
      <c r="C6" s="6" t="n">
        <v>0</v>
      </c>
      <c r="D6" s="6" t="n">
        <v>0</v>
      </c>
      <c r="E6" s="6" t="n">
        <v>6000000</v>
      </c>
      <c r="F6" s="6" t="n">
        <v>0</v>
      </c>
      <c r="G6" s="6" t="n">
        <v>500000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f aca="false">SUM(C6:L6)</f>
        <v>6500000</v>
      </c>
      <c r="N6" s="6" t="n">
        <f aca="false">N5+M6</f>
        <v>59500000</v>
      </c>
      <c r="O6" s="8" t="n">
        <f aca="false">N6/Inputs!$B$12</f>
        <v>0.0595</v>
      </c>
    </row>
    <row r="7" customFormat="false" ht="15" hidden="false" customHeight="false" outlineLevel="0" collapsed="false">
      <c r="A7" s="0" t="n">
        <v>2</v>
      </c>
      <c r="B7" s="7" t="n">
        <f aca="false">EDATE(DATE(2027,2,5),A7)</f>
        <v>46482</v>
      </c>
      <c r="C7" s="6" t="n">
        <v>0</v>
      </c>
      <c r="D7" s="6" t="n">
        <v>0</v>
      </c>
      <c r="E7" s="6" t="n">
        <v>6000000</v>
      </c>
      <c r="F7" s="6" t="n">
        <v>0</v>
      </c>
      <c r="G7" s="6" t="n">
        <v>500000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f aca="false">SUM(C7:L7)</f>
        <v>6500000</v>
      </c>
      <c r="N7" s="6" t="n">
        <f aca="false">N6+M7</f>
        <v>66000000</v>
      </c>
      <c r="O7" s="8" t="n">
        <f aca="false">N7/Inputs!$B$12</f>
        <v>0.066</v>
      </c>
    </row>
    <row r="8" customFormat="false" ht="15" hidden="false" customHeight="false" outlineLevel="0" collapsed="false">
      <c r="A8" s="0" t="n">
        <v>3</v>
      </c>
      <c r="B8" s="7" t="n">
        <f aca="false">EDATE(DATE(2027,2,5),A8)</f>
        <v>46512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500000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f aca="false">SUM(C8:L8)</f>
        <v>500000</v>
      </c>
      <c r="N8" s="6" t="n">
        <f aca="false">N7+M8</f>
        <v>66500000</v>
      </c>
      <c r="O8" s="8" t="n">
        <f aca="false">N8/Inputs!$B$12</f>
        <v>0.0665</v>
      </c>
    </row>
    <row r="9" customFormat="false" ht="15" hidden="false" customHeight="false" outlineLevel="0" collapsed="false">
      <c r="A9" s="0" t="n">
        <v>4</v>
      </c>
      <c r="B9" s="7" t="n">
        <f aca="false">EDATE(DATE(2027,2,5),A9)</f>
        <v>46543</v>
      </c>
      <c r="C9" s="6" t="n">
        <v>0</v>
      </c>
      <c r="D9" s="6" t="n">
        <v>0</v>
      </c>
      <c r="E9" s="6" t="n">
        <v>0</v>
      </c>
      <c r="F9" s="6" t="n">
        <v>4000000</v>
      </c>
      <c r="G9" s="6" t="n">
        <v>500000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f aca="false">SUM(C9:L9)</f>
        <v>4500000</v>
      </c>
      <c r="N9" s="6" t="n">
        <f aca="false">N8+M9</f>
        <v>71000000</v>
      </c>
      <c r="O9" s="8" t="n">
        <f aca="false">N9/Inputs!$B$12</f>
        <v>0.071</v>
      </c>
    </row>
    <row r="10" customFormat="false" ht="15" hidden="false" customHeight="false" outlineLevel="0" collapsed="false">
      <c r="A10" s="0" t="n">
        <v>5</v>
      </c>
      <c r="B10" s="7" t="n">
        <f aca="false">EDATE(DATE(2027,2,5),A10)</f>
        <v>46573</v>
      </c>
      <c r="C10" s="6" t="n">
        <v>0</v>
      </c>
      <c r="D10" s="6" t="n">
        <v>0</v>
      </c>
      <c r="E10" s="6" t="n">
        <v>0</v>
      </c>
      <c r="F10" s="6" t="n">
        <v>4000000</v>
      </c>
      <c r="G10" s="6" t="n">
        <v>500000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f aca="false">SUM(C10:L10)</f>
        <v>4500000</v>
      </c>
      <c r="N10" s="6" t="n">
        <f aca="false">N9+M10</f>
        <v>75500000</v>
      </c>
      <c r="O10" s="8" t="n">
        <f aca="false">N10/Inputs!$B$12</f>
        <v>0.0755</v>
      </c>
    </row>
    <row r="11" customFormat="false" ht="15" hidden="false" customHeight="false" outlineLevel="0" collapsed="false">
      <c r="A11" s="0" t="n">
        <v>6</v>
      </c>
      <c r="B11" s="7" t="n">
        <f aca="false">EDATE(DATE(2027,2,5),A11)</f>
        <v>46604</v>
      </c>
      <c r="C11" s="6" t="n">
        <v>0</v>
      </c>
      <c r="D11" s="6" t="n">
        <v>0</v>
      </c>
      <c r="E11" s="6" t="n">
        <v>0</v>
      </c>
      <c r="F11" s="6" t="n">
        <v>4000000</v>
      </c>
      <c r="G11" s="6" t="n">
        <v>500000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f aca="false">SUM(C11:L11)</f>
        <v>4500000</v>
      </c>
      <c r="N11" s="6" t="n">
        <f aca="false">N10+M11</f>
        <v>80000000</v>
      </c>
      <c r="O11" s="8" t="n">
        <f aca="false">N11/Inputs!$B$12</f>
        <v>0.08</v>
      </c>
    </row>
    <row r="12" customFormat="false" ht="15" hidden="false" customHeight="false" outlineLevel="0" collapsed="false">
      <c r="A12" s="0" t="n">
        <v>7</v>
      </c>
      <c r="B12" s="7" t="n">
        <f aca="false">EDATE(DATE(2027,2,5),A12)</f>
        <v>46635</v>
      </c>
      <c r="C12" s="6" t="n">
        <v>0</v>
      </c>
      <c r="D12" s="6" t="n">
        <v>0</v>
      </c>
      <c r="E12" s="6" t="n">
        <v>0</v>
      </c>
      <c r="F12" s="6" t="n">
        <v>4000000</v>
      </c>
      <c r="G12" s="6" t="n">
        <v>500000</v>
      </c>
      <c r="H12" s="6" t="n">
        <v>1666666.66666667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f aca="false">SUM(C12:L12)</f>
        <v>6166666.66666667</v>
      </c>
      <c r="N12" s="6" t="n">
        <f aca="false">N11+M12</f>
        <v>86166666.6666667</v>
      </c>
      <c r="O12" s="8" t="n">
        <f aca="false">N12/Inputs!$B$12</f>
        <v>0.0861666666666667</v>
      </c>
    </row>
    <row r="13" customFormat="false" ht="15" hidden="false" customHeight="false" outlineLevel="0" collapsed="false">
      <c r="A13" s="0" t="n">
        <v>8</v>
      </c>
      <c r="B13" s="7" t="n">
        <f aca="false">EDATE(DATE(2027,2,5),A13)</f>
        <v>46665</v>
      </c>
      <c r="C13" s="6" t="n">
        <v>0</v>
      </c>
      <c r="D13" s="6" t="n">
        <v>0</v>
      </c>
      <c r="E13" s="6" t="n">
        <v>0</v>
      </c>
      <c r="F13" s="6" t="n">
        <v>4000000</v>
      </c>
      <c r="G13" s="6" t="n">
        <v>500000</v>
      </c>
      <c r="H13" s="6" t="n">
        <v>1666666.66666667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f aca="false">SUM(C13:L13)</f>
        <v>6166666.66666667</v>
      </c>
      <c r="N13" s="6" t="n">
        <f aca="false">N12+M13</f>
        <v>92333333.3333333</v>
      </c>
      <c r="O13" s="8" t="n">
        <f aca="false">N13/Inputs!$B$12</f>
        <v>0.0923333333333333</v>
      </c>
    </row>
    <row r="14" customFormat="false" ht="15" hidden="false" customHeight="false" outlineLevel="0" collapsed="false">
      <c r="A14" s="0" t="n">
        <v>9</v>
      </c>
      <c r="B14" s="7" t="n">
        <f aca="false">EDATE(DATE(2027,2,5),A14)</f>
        <v>46696</v>
      </c>
      <c r="C14" s="6" t="n">
        <v>0</v>
      </c>
      <c r="D14" s="6" t="n">
        <v>0</v>
      </c>
      <c r="E14" s="6" t="n">
        <v>0</v>
      </c>
      <c r="F14" s="6" t="n">
        <v>4000000</v>
      </c>
      <c r="G14" s="6" t="n">
        <v>500000</v>
      </c>
      <c r="H14" s="6" t="n">
        <v>1666666.66666667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f aca="false">SUM(C14:L14)</f>
        <v>6166666.66666667</v>
      </c>
      <c r="N14" s="6" t="n">
        <f aca="false">N13+M14</f>
        <v>98500000</v>
      </c>
      <c r="O14" s="8" t="n">
        <f aca="false">N14/Inputs!$B$12</f>
        <v>0.0985</v>
      </c>
    </row>
    <row r="15" customFormat="false" ht="15" hidden="false" customHeight="false" outlineLevel="0" collapsed="false">
      <c r="A15" s="0" t="n">
        <v>10</v>
      </c>
      <c r="B15" s="7" t="n">
        <f aca="false">EDATE(DATE(2027,2,5),A15)</f>
        <v>46726</v>
      </c>
      <c r="C15" s="6" t="n">
        <v>0</v>
      </c>
      <c r="D15" s="6" t="n">
        <v>0</v>
      </c>
      <c r="E15" s="6" t="n">
        <v>0</v>
      </c>
      <c r="F15" s="6" t="n">
        <v>4000000</v>
      </c>
      <c r="G15" s="6" t="n">
        <v>500000</v>
      </c>
      <c r="H15" s="6" t="n">
        <v>1666666.66666667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f aca="false">SUM(C15:L15)</f>
        <v>6166666.66666667</v>
      </c>
      <c r="N15" s="6" t="n">
        <f aca="false">N14+M15</f>
        <v>104666666.666667</v>
      </c>
      <c r="O15" s="8" t="n">
        <f aca="false">N15/Inputs!$B$12</f>
        <v>0.104666666666667</v>
      </c>
    </row>
    <row r="16" customFormat="false" ht="15" hidden="false" customHeight="false" outlineLevel="0" collapsed="false">
      <c r="A16" s="0" t="n">
        <v>11</v>
      </c>
      <c r="B16" s="7" t="n">
        <f aca="false">EDATE(DATE(2027,2,5),A16)</f>
        <v>46757</v>
      </c>
      <c r="C16" s="6" t="n">
        <v>0</v>
      </c>
      <c r="D16" s="6" t="n">
        <v>0</v>
      </c>
      <c r="E16" s="6" t="n">
        <v>0</v>
      </c>
      <c r="F16" s="6" t="n">
        <v>4000000</v>
      </c>
      <c r="G16" s="6" t="n">
        <v>500000</v>
      </c>
      <c r="H16" s="6" t="n">
        <v>1666666.66666667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f aca="false">SUM(C16:L16)</f>
        <v>6166666.66666667</v>
      </c>
      <c r="N16" s="6" t="n">
        <f aca="false">N15+M16</f>
        <v>110833333.333333</v>
      </c>
      <c r="O16" s="8" t="n">
        <f aca="false">N16/Inputs!$B$12</f>
        <v>0.110833333333333</v>
      </c>
    </row>
    <row r="17" customFormat="false" ht="15" hidden="false" customHeight="false" outlineLevel="0" collapsed="false">
      <c r="A17" s="0" t="n">
        <v>12</v>
      </c>
      <c r="B17" s="7" t="n">
        <f aca="false">EDATE(DATE(2027,2,5),A17)</f>
        <v>46788</v>
      </c>
      <c r="C17" s="6" t="n">
        <v>0</v>
      </c>
      <c r="D17" s="6" t="n">
        <v>0</v>
      </c>
      <c r="E17" s="6" t="n">
        <v>0</v>
      </c>
      <c r="F17" s="6" t="n">
        <v>4000000</v>
      </c>
      <c r="G17" s="6" t="n">
        <v>500000</v>
      </c>
      <c r="H17" s="6" t="n">
        <v>1666666.66666667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f aca="false">SUM(C17:L17)</f>
        <v>6166666.66666667</v>
      </c>
      <c r="N17" s="6" t="n">
        <f aca="false">N16+M17</f>
        <v>117000000</v>
      </c>
      <c r="O17" s="8" t="n">
        <f aca="false">N17/Inputs!$B$12</f>
        <v>0.117</v>
      </c>
    </row>
    <row r="18" customFormat="false" ht="15" hidden="false" customHeight="false" outlineLevel="0" collapsed="false">
      <c r="A18" s="0" t="n">
        <v>13</v>
      </c>
      <c r="B18" s="7" t="n">
        <f aca="false">EDATE(DATE(2027,2,5),A18)</f>
        <v>46817</v>
      </c>
      <c r="C18" s="6" t="n">
        <v>2083333.33333333</v>
      </c>
      <c r="D18" s="6" t="n">
        <v>8125000</v>
      </c>
      <c r="E18" s="6" t="n">
        <v>0</v>
      </c>
      <c r="F18" s="6" t="n">
        <v>3400000</v>
      </c>
      <c r="G18" s="6" t="n">
        <v>500000</v>
      </c>
      <c r="H18" s="6" t="n">
        <v>1666666.66666667</v>
      </c>
      <c r="I18" s="6" t="n">
        <v>1666666.66666667</v>
      </c>
      <c r="J18" s="6" t="n">
        <v>0</v>
      </c>
      <c r="K18" s="6" t="n">
        <v>0</v>
      </c>
      <c r="L18" s="6" t="n">
        <v>0</v>
      </c>
      <c r="M18" s="6" t="n">
        <f aca="false">SUM(C18:L18)</f>
        <v>17441666.6666667</v>
      </c>
      <c r="N18" s="6" t="n">
        <f aca="false">N17+M18</f>
        <v>134441666.666667</v>
      </c>
      <c r="O18" s="8" t="n">
        <f aca="false">N18/Inputs!$B$12</f>
        <v>0.134441666666667</v>
      </c>
    </row>
    <row r="19" customFormat="false" ht="15" hidden="false" customHeight="false" outlineLevel="0" collapsed="false">
      <c r="A19" s="0" t="n">
        <v>14</v>
      </c>
      <c r="B19" s="7" t="n">
        <f aca="false">EDATE(DATE(2027,2,5),A19)</f>
        <v>46848</v>
      </c>
      <c r="C19" s="6" t="n">
        <v>2083333.33333333</v>
      </c>
      <c r="D19" s="6" t="n">
        <v>8125000</v>
      </c>
      <c r="E19" s="6" t="n">
        <v>0</v>
      </c>
      <c r="F19" s="6" t="n">
        <v>3400000</v>
      </c>
      <c r="G19" s="6" t="n">
        <v>500000</v>
      </c>
      <c r="H19" s="6" t="n">
        <v>1666666.66666667</v>
      </c>
      <c r="I19" s="6" t="n">
        <v>1666666.66666667</v>
      </c>
      <c r="J19" s="6" t="n">
        <v>2000000</v>
      </c>
      <c r="K19" s="6" t="n">
        <v>0</v>
      </c>
      <c r="L19" s="6" t="n">
        <v>0</v>
      </c>
      <c r="M19" s="6" t="n">
        <f aca="false">SUM(C19:L19)</f>
        <v>19441666.6666667</v>
      </c>
      <c r="N19" s="6" t="n">
        <f aca="false">N18+M19</f>
        <v>153883333.333333</v>
      </c>
      <c r="O19" s="8" t="n">
        <f aca="false">N19/Inputs!$B$12</f>
        <v>0.153883333333333</v>
      </c>
    </row>
    <row r="20" customFormat="false" ht="15" hidden="false" customHeight="false" outlineLevel="0" collapsed="false">
      <c r="A20" s="0" t="n">
        <v>15</v>
      </c>
      <c r="B20" s="7" t="n">
        <f aca="false">EDATE(DATE(2027,2,5),A20)</f>
        <v>46878</v>
      </c>
      <c r="C20" s="6" t="n">
        <v>2083333.33333333</v>
      </c>
      <c r="D20" s="6" t="n">
        <v>8125000</v>
      </c>
      <c r="E20" s="6" t="n">
        <v>0</v>
      </c>
      <c r="F20" s="6" t="n">
        <v>3400000</v>
      </c>
      <c r="G20" s="6" t="n">
        <v>500000</v>
      </c>
      <c r="H20" s="6" t="n">
        <v>1666666.66666667</v>
      </c>
      <c r="I20" s="6" t="n">
        <v>1666666.66666667</v>
      </c>
      <c r="J20" s="6" t="n">
        <v>2000000</v>
      </c>
      <c r="K20" s="6" t="n">
        <v>0</v>
      </c>
      <c r="L20" s="6" t="n">
        <v>0</v>
      </c>
      <c r="M20" s="6" t="n">
        <f aca="false">SUM(C20:L20)</f>
        <v>19441666.6666667</v>
      </c>
      <c r="N20" s="6" t="n">
        <f aca="false">N19+M20</f>
        <v>173325000</v>
      </c>
      <c r="O20" s="8" t="n">
        <f aca="false">N20/Inputs!$B$12</f>
        <v>0.173325</v>
      </c>
    </row>
    <row r="21" customFormat="false" ht="15" hidden="false" customHeight="false" outlineLevel="0" collapsed="false">
      <c r="A21" s="0" t="n">
        <v>16</v>
      </c>
      <c r="B21" s="7" t="n">
        <f aca="false">EDATE(DATE(2027,2,5),A21)</f>
        <v>46909</v>
      </c>
      <c r="C21" s="6" t="n">
        <v>2083333.33333333</v>
      </c>
      <c r="D21" s="6" t="n">
        <v>8125000</v>
      </c>
      <c r="E21" s="6" t="n">
        <v>0</v>
      </c>
      <c r="F21" s="6" t="n">
        <v>3400000</v>
      </c>
      <c r="G21" s="6" t="n">
        <v>500000</v>
      </c>
      <c r="H21" s="6" t="n">
        <v>1666666.66666667</v>
      </c>
      <c r="I21" s="6" t="n">
        <v>1666666.66666667</v>
      </c>
      <c r="J21" s="6" t="n">
        <v>2000000</v>
      </c>
      <c r="K21" s="6" t="n">
        <v>0</v>
      </c>
      <c r="L21" s="6" t="n">
        <v>0</v>
      </c>
      <c r="M21" s="6" t="n">
        <f aca="false">SUM(C21:L21)</f>
        <v>19441666.6666667</v>
      </c>
      <c r="N21" s="6" t="n">
        <f aca="false">N20+M21</f>
        <v>192766666.666667</v>
      </c>
      <c r="O21" s="8" t="n">
        <f aca="false">N21/Inputs!$B$12</f>
        <v>0.192766666666667</v>
      </c>
    </row>
    <row r="22" customFormat="false" ht="15" hidden="false" customHeight="false" outlineLevel="0" collapsed="false">
      <c r="A22" s="0" t="n">
        <v>17</v>
      </c>
      <c r="B22" s="7" t="n">
        <f aca="false">EDATE(DATE(2027,2,5),A22)</f>
        <v>46939</v>
      </c>
      <c r="C22" s="6" t="n">
        <v>2083333.33333333</v>
      </c>
      <c r="D22" s="6" t="n">
        <v>8125000</v>
      </c>
      <c r="E22" s="6" t="n">
        <v>0</v>
      </c>
      <c r="F22" s="6" t="n">
        <v>3400000</v>
      </c>
      <c r="G22" s="6" t="n">
        <v>500000</v>
      </c>
      <c r="H22" s="6" t="n">
        <v>1666666.66666667</v>
      </c>
      <c r="I22" s="6" t="n">
        <v>1666666.66666667</v>
      </c>
      <c r="J22" s="6" t="n">
        <v>2000000</v>
      </c>
      <c r="K22" s="6" t="n">
        <v>0</v>
      </c>
      <c r="L22" s="6" t="n">
        <v>0</v>
      </c>
      <c r="M22" s="6" t="n">
        <f aca="false">SUM(C22:L22)</f>
        <v>19441666.6666667</v>
      </c>
      <c r="N22" s="6" t="n">
        <f aca="false">N21+M22</f>
        <v>212208333.333333</v>
      </c>
      <c r="O22" s="8" t="n">
        <f aca="false">N22/Inputs!$B$12</f>
        <v>0.212208333333333</v>
      </c>
    </row>
    <row r="23" customFormat="false" ht="15" hidden="false" customHeight="false" outlineLevel="0" collapsed="false">
      <c r="A23" s="0" t="n">
        <v>18</v>
      </c>
      <c r="B23" s="7" t="n">
        <f aca="false">EDATE(DATE(2027,2,5),A23)</f>
        <v>46970</v>
      </c>
      <c r="C23" s="6" t="n">
        <v>2083333.33333333</v>
      </c>
      <c r="D23" s="6" t="n">
        <v>8125000</v>
      </c>
      <c r="E23" s="6" t="n">
        <v>0</v>
      </c>
      <c r="F23" s="6" t="n">
        <v>3400000</v>
      </c>
      <c r="G23" s="6" t="n">
        <v>500000</v>
      </c>
      <c r="H23" s="6" t="n">
        <v>1666666.66666667</v>
      </c>
      <c r="I23" s="6" t="n">
        <v>1666666.66666667</v>
      </c>
      <c r="J23" s="6" t="n">
        <v>2000000</v>
      </c>
      <c r="K23" s="6" t="n">
        <v>0</v>
      </c>
      <c r="L23" s="6" t="n">
        <v>0</v>
      </c>
      <c r="M23" s="6" t="n">
        <f aca="false">SUM(C23:L23)</f>
        <v>19441666.6666667</v>
      </c>
      <c r="N23" s="6" t="n">
        <f aca="false">N22+M23</f>
        <v>231650000</v>
      </c>
      <c r="O23" s="8" t="n">
        <f aca="false">N23/Inputs!$B$12</f>
        <v>0.23165</v>
      </c>
    </row>
    <row r="24" customFormat="false" ht="15" hidden="false" customHeight="false" outlineLevel="0" collapsed="false">
      <c r="A24" s="0" t="n">
        <v>19</v>
      </c>
      <c r="B24" s="7" t="n">
        <f aca="false">EDATE(DATE(2027,2,5),A24)</f>
        <v>47001</v>
      </c>
      <c r="C24" s="6" t="n">
        <v>2083333.33333333</v>
      </c>
      <c r="D24" s="6" t="n">
        <v>8125000</v>
      </c>
      <c r="E24" s="6" t="n">
        <v>0</v>
      </c>
      <c r="F24" s="6" t="n">
        <v>3400000</v>
      </c>
      <c r="G24" s="6" t="n">
        <v>500000</v>
      </c>
      <c r="H24" s="6" t="n">
        <v>1666666.66666667</v>
      </c>
      <c r="I24" s="6" t="n">
        <v>1666666.66666667</v>
      </c>
      <c r="J24" s="6" t="n">
        <v>2000000</v>
      </c>
      <c r="K24" s="6" t="n">
        <v>0</v>
      </c>
      <c r="L24" s="6" t="n">
        <v>0</v>
      </c>
      <c r="M24" s="6" t="n">
        <f aca="false">SUM(C24:L24)</f>
        <v>19441666.6666667</v>
      </c>
      <c r="N24" s="6" t="n">
        <f aca="false">N23+M24</f>
        <v>251091666.666667</v>
      </c>
      <c r="O24" s="8" t="n">
        <f aca="false">N24/Inputs!$B$12</f>
        <v>0.251091666666667</v>
      </c>
    </row>
    <row r="25" customFormat="false" ht="15" hidden="false" customHeight="false" outlineLevel="0" collapsed="false">
      <c r="A25" s="0" t="n">
        <v>20</v>
      </c>
      <c r="B25" s="7" t="n">
        <f aca="false">EDATE(DATE(2027,2,5),A25)</f>
        <v>47031</v>
      </c>
      <c r="C25" s="6" t="n">
        <v>2083333.33333333</v>
      </c>
      <c r="D25" s="6" t="n">
        <v>8125000</v>
      </c>
      <c r="E25" s="6" t="n">
        <v>0</v>
      </c>
      <c r="F25" s="6" t="n">
        <v>3400000</v>
      </c>
      <c r="G25" s="6" t="n">
        <v>500000</v>
      </c>
      <c r="H25" s="6" t="n">
        <v>1666666.66666667</v>
      </c>
      <c r="I25" s="6" t="n">
        <v>1666666.66666667</v>
      </c>
      <c r="J25" s="6" t="n">
        <v>2000000</v>
      </c>
      <c r="K25" s="6" t="n">
        <v>0</v>
      </c>
      <c r="L25" s="6" t="n">
        <v>0</v>
      </c>
      <c r="M25" s="6" t="n">
        <f aca="false">SUM(C25:L25)</f>
        <v>19441666.6666667</v>
      </c>
      <c r="N25" s="6" t="n">
        <f aca="false">N24+M25</f>
        <v>270533333.333333</v>
      </c>
      <c r="O25" s="8" t="n">
        <f aca="false">N25/Inputs!$B$12</f>
        <v>0.270533333333333</v>
      </c>
    </row>
    <row r="26" customFormat="false" ht="15" hidden="false" customHeight="false" outlineLevel="0" collapsed="false">
      <c r="A26" s="0" t="n">
        <v>21</v>
      </c>
      <c r="B26" s="7" t="n">
        <f aca="false">EDATE(DATE(2027,2,5),A26)</f>
        <v>47062</v>
      </c>
      <c r="C26" s="6" t="n">
        <v>2083333.33333333</v>
      </c>
      <c r="D26" s="6" t="n">
        <v>8125000</v>
      </c>
      <c r="E26" s="6" t="n">
        <v>0</v>
      </c>
      <c r="F26" s="6" t="n">
        <v>3400000</v>
      </c>
      <c r="G26" s="6" t="n">
        <v>500000</v>
      </c>
      <c r="H26" s="6" t="n">
        <v>1666666.66666667</v>
      </c>
      <c r="I26" s="6" t="n">
        <v>1666666.66666667</v>
      </c>
      <c r="J26" s="6" t="n">
        <v>2000000</v>
      </c>
      <c r="K26" s="6" t="n">
        <v>0</v>
      </c>
      <c r="L26" s="6" t="n">
        <v>0</v>
      </c>
      <c r="M26" s="6" t="n">
        <f aca="false">SUM(C26:L26)</f>
        <v>19441666.6666667</v>
      </c>
      <c r="N26" s="6" t="n">
        <f aca="false">N25+M26</f>
        <v>289975000</v>
      </c>
      <c r="O26" s="8" t="n">
        <f aca="false">N26/Inputs!$B$12</f>
        <v>0.289975</v>
      </c>
    </row>
    <row r="27" customFormat="false" ht="15" hidden="false" customHeight="false" outlineLevel="0" collapsed="false">
      <c r="A27" s="0" t="n">
        <v>22</v>
      </c>
      <c r="B27" s="7" t="n">
        <f aca="false">EDATE(DATE(2027,2,5),A27)</f>
        <v>47092</v>
      </c>
      <c r="C27" s="6" t="n">
        <v>2083333.33333333</v>
      </c>
      <c r="D27" s="6" t="n">
        <v>8125000</v>
      </c>
      <c r="E27" s="6" t="n">
        <v>0</v>
      </c>
      <c r="F27" s="6" t="n">
        <v>3400000</v>
      </c>
      <c r="G27" s="6" t="n">
        <v>500000</v>
      </c>
      <c r="H27" s="6" t="n">
        <v>1666666.66666667</v>
      </c>
      <c r="I27" s="6" t="n">
        <v>1666666.66666667</v>
      </c>
      <c r="J27" s="6" t="n">
        <v>2000000</v>
      </c>
      <c r="K27" s="6" t="n">
        <v>0</v>
      </c>
      <c r="L27" s="6" t="n">
        <v>0</v>
      </c>
      <c r="M27" s="6" t="n">
        <f aca="false">SUM(C27:L27)</f>
        <v>19441666.6666667</v>
      </c>
      <c r="N27" s="6" t="n">
        <f aca="false">N26+M27</f>
        <v>309416666.666667</v>
      </c>
      <c r="O27" s="8" t="n">
        <f aca="false">N27/Inputs!$B$12</f>
        <v>0.309416666666667</v>
      </c>
    </row>
    <row r="28" customFormat="false" ht="15" hidden="false" customHeight="false" outlineLevel="0" collapsed="false">
      <c r="A28" s="0" t="n">
        <v>23</v>
      </c>
      <c r="B28" s="7" t="n">
        <f aca="false">EDATE(DATE(2027,2,5),A28)</f>
        <v>47123</v>
      </c>
      <c r="C28" s="6" t="n">
        <v>2083333.33333333</v>
      </c>
      <c r="D28" s="6" t="n">
        <v>8125000</v>
      </c>
      <c r="E28" s="6" t="n">
        <v>0</v>
      </c>
      <c r="F28" s="6" t="n">
        <v>3400000</v>
      </c>
      <c r="G28" s="6" t="n">
        <v>500000</v>
      </c>
      <c r="H28" s="6" t="n">
        <v>1666666.66666667</v>
      </c>
      <c r="I28" s="6" t="n">
        <v>1666666.66666667</v>
      </c>
      <c r="J28" s="6" t="n">
        <v>2000000</v>
      </c>
      <c r="K28" s="6" t="n">
        <v>0</v>
      </c>
      <c r="L28" s="6" t="n">
        <v>0</v>
      </c>
      <c r="M28" s="6" t="n">
        <f aca="false">SUM(C28:L28)</f>
        <v>19441666.6666667</v>
      </c>
      <c r="N28" s="6" t="n">
        <f aca="false">N27+M28</f>
        <v>328858333.333333</v>
      </c>
      <c r="O28" s="8" t="n">
        <f aca="false">N28/Inputs!$B$12</f>
        <v>0.328858333333333</v>
      </c>
    </row>
    <row r="29" customFormat="false" ht="15" hidden="false" customHeight="false" outlineLevel="0" collapsed="false">
      <c r="A29" s="0" t="n">
        <v>24</v>
      </c>
      <c r="B29" s="7" t="n">
        <f aca="false">EDATE(DATE(2027,2,5),A29)</f>
        <v>47154</v>
      </c>
      <c r="C29" s="6" t="n">
        <v>2083333.33333333</v>
      </c>
      <c r="D29" s="6" t="n">
        <v>8125000</v>
      </c>
      <c r="E29" s="6" t="n">
        <v>0</v>
      </c>
      <c r="F29" s="6" t="n">
        <v>3400000</v>
      </c>
      <c r="G29" s="6" t="n">
        <v>500000</v>
      </c>
      <c r="H29" s="6" t="n">
        <v>1666666.66666667</v>
      </c>
      <c r="I29" s="6" t="n">
        <v>1666666.66666667</v>
      </c>
      <c r="J29" s="6" t="n">
        <v>2000000</v>
      </c>
      <c r="K29" s="6" t="n">
        <v>0</v>
      </c>
      <c r="L29" s="6" t="n">
        <v>0</v>
      </c>
      <c r="M29" s="6" t="n">
        <f aca="false">SUM(C29:L29)</f>
        <v>19441666.6666667</v>
      </c>
      <c r="N29" s="6" t="n">
        <f aca="false">N28+M29</f>
        <v>348300000</v>
      </c>
      <c r="O29" s="8" t="n">
        <f aca="false">N29/Inputs!$B$12</f>
        <v>0.3483</v>
      </c>
    </row>
    <row r="30" customFormat="false" ht="15" hidden="false" customHeight="false" outlineLevel="0" collapsed="false">
      <c r="A30" s="0" t="n">
        <v>25</v>
      </c>
      <c r="B30" s="7" t="n">
        <f aca="false">EDATE(DATE(2027,2,5),A30)</f>
        <v>47182</v>
      </c>
      <c r="C30" s="6" t="n">
        <v>2083333.33333333</v>
      </c>
      <c r="D30" s="6" t="n">
        <v>8125000</v>
      </c>
      <c r="E30" s="6" t="n">
        <v>0</v>
      </c>
      <c r="F30" s="6" t="n">
        <v>2890000</v>
      </c>
      <c r="G30" s="6" t="n">
        <v>500000</v>
      </c>
      <c r="H30" s="6" t="n">
        <v>1666666.66666667</v>
      </c>
      <c r="I30" s="6" t="n">
        <v>1666666.66666667</v>
      </c>
      <c r="J30" s="6" t="n">
        <v>2000000</v>
      </c>
      <c r="K30" s="6" t="n">
        <v>0</v>
      </c>
      <c r="L30" s="6" t="n">
        <v>0</v>
      </c>
      <c r="M30" s="6" t="n">
        <f aca="false">SUM(C30:L30)</f>
        <v>18931666.6666667</v>
      </c>
      <c r="N30" s="6" t="n">
        <f aca="false">N29+M30</f>
        <v>367231666.666667</v>
      </c>
      <c r="O30" s="8" t="n">
        <f aca="false">N30/Inputs!$B$12</f>
        <v>0.367231666666667</v>
      </c>
    </row>
    <row r="31" customFormat="false" ht="15" hidden="false" customHeight="false" outlineLevel="0" collapsed="false">
      <c r="A31" s="0" t="n">
        <v>26</v>
      </c>
      <c r="B31" s="7" t="n">
        <f aca="false">EDATE(DATE(2027,2,5),A31)</f>
        <v>47213</v>
      </c>
      <c r="C31" s="6" t="n">
        <v>2083333.33333333</v>
      </c>
      <c r="D31" s="6" t="n">
        <v>8125000</v>
      </c>
      <c r="E31" s="6" t="n">
        <v>0</v>
      </c>
      <c r="F31" s="6" t="n">
        <v>2890000</v>
      </c>
      <c r="G31" s="6" t="n">
        <v>500000</v>
      </c>
      <c r="H31" s="6" t="n">
        <v>1666666.66666667</v>
      </c>
      <c r="I31" s="6" t="n">
        <v>1666666.66666667</v>
      </c>
      <c r="J31" s="6" t="n">
        <v>2000000</v>
      </c>
      <c r="K31" s="6" t="n">
        <v>0</v>
      </c>
      <c r="L31" s="6" t="n">
        <v>0</v>
      </c>
      <c r="M31" s="6" t="n">
        <f aca="false">SUM(C31:L31)</f>
        <v>18931666.6666667</v>
      </c>
      <c r="N31" s="6" t="n">
        <f aca="false">N30+M31</f>
        <v>386163333.333333</v>
      </c>
      <c r="O31" s="8" t="n">
        <f aca="false">N31/Inputs!$B$12</f>
        <v>0.386163333333333</v>
      </c>
    </row>
    <row r="32" customFormat="false" ht="15" hidden="false" customHeight="false" outlineLevel="0" collapsed="false">
      <c r="A32" s="0" t="n">
        <v>27</v>
      </c>
      <c r="B32" s="7" t="n">
        <f aca="false">EDATE(DATE(2027,2,5),A32)</f>
        <v>47243</v>
      </c>
      <c r="C32" s="6" t="n">
        <v>2083333.33333333</v>
      </c>
      <c r="D32" s="6" t="n">
        <v>8125000</v>
      </c>
      <c r="E32" s="6" t="n">
        <v>0</v>
      </c>
      <c r="F32" s="6" t="n">
        <v>2890000</v>
      </c>
      <c r="G32" s="6" t="n">
        <v>500000</v>
      </c>
      <c r="H32" s="6" t="n">
        <v>1666666.66666667</v>
      </c>
      <c r="I32" s="6" t="n">
        <v>1666666.66666667</v>
      </c>
      <c r="J32" s="6" t="n">
        <v>2000000</v>
      </c>
      <c r="K32" s="6" t="n">
        <v>0</v>
      </c>
      <c r="L32" s="6" t="n">
        <v>0</v>
      </c>
      <c r="M32" s="6" t="n">
        <f aca="false">SUM(C32:L32)</f>
        <v>18931666.6666667</v>
      </c>
      <c r="N32" s="6" t="n">
        <f aca="false">N31+M32</f>
        <v>405095000</v>
      </c>
      <c r="O32" s="8" t="n">
        <f aca="false">N32/Inputs!$B$12</f>
        <v>0.405095</v>
      </c>
    </row>
    <row r="33" customFormat="false" ht="15" hidden="false" customHeight="false" outlineLevel="0" collapsed="false">
      <c r="A33" s="0" t="n">
        <v>28</v>
      </c>
      <c r="B33" s="7" t="n">
        <f aca="false">EDATE(DATE(2027,2,5),A33)</f>
        <v>47274</v>
      </c>
      <c r="C33" s="6" t="n">
        <v>2083333.33333333</v>
      </c>
      <c r="D33" s="6" t="n">
        <v>8125000</v>
      </c>
      <c r="E33" s="6" t="n">
        <v>0</v>
      </c>
      <c r="F33" s="6" t="n">
        <v>2890000</v>
      </c>
      <c r="G33" s="6" t="n">
        <v>500000</v>
      </c>
      <c r="H33" s="6" t="n">
        <v>1666666.66666667</v>
      </c>
      <c r="I33" s="6" t="n">
        <v>1666666.66666667</v>
      </c>
      <c r="J33" s="6" t="n">
        <v>2000000</v>
      </c>
      <c r="K33" s="6" t="n">
        <v>0</v>
      </c>
      <c r="L33" s="6" t="n">
        <v>0</v>
      </c>
      <c r="M33" s="6" t="n">
        <f aca="false">SUM(C33:L33)</f>
        <v>18931666.6666667</v>
      </c>
      <c r="N33" s="6" t="n">
        <f aca="false">N32+M33</f>
        <v>424026666.666667</v>
      </c>
      <c r="O33" s="8" t="n">
        <f aca="false">N33/Inputs!$B$12</f>
        <v>0.424026666666667</v>
      </c>
    </row>
    <row r="34" customFormat="false" ht="15" hidden="false" customHeight="false" outlineLevel="0" collapsed="false">
      <c r="A34" s="0" t="n">
        <v>29</v>
      </c>
      <c r="B34" s="7" t="n">
        <f aca="false">EDATE(DATE(2027,2,5),A34)</f>
        <v>47304</v>
      </c>
      <c r="C34" s="6" t="n">
        <v>2083333.33333333</v>
      </c>
      <c r="D34" s="6" t="n">
        <v>8125000</v>
      </c>
      <c r="E34" s="6" t="n">
        <v>0</v>
      </c>
      <c r="F34" s="6" t="n">
        <v>2890000</v>
      </c>
      <c r="G34" s="6" t="n">
        <v>500000</v>
      </c>
      <c r="H34" s="6" t="n">
        <v>1666666.66666667</v>
      </c>
      <c r="I34" s="6" t="n">
        <v>1666666.66666667</v>
      </c>
      <c r="J34" s="6" t="n">
        <v>2000000</v>
      </c>
      <c r="K34" s="6" t="n">
        <v>0</v>
      </c>
      <c r="L34" s="6" t="n">
        <v>0</v>
      </c>
      <c r="M34" s="6" t="n">
        <f aca="false">SUM(C34:L34)</f>
        <v>18931666.6666667</v>
      </c>
      <c r="N34" s="6" t="n">
        <f aca="false">N33+M34</f>
        <v>442958333.333334</v>
      </c>
      <c r="O34" s="8" t="n">
        <f aca="false">N34/Inputs!$B$12</f>
        <v>0.442958333333334</v>
      </c>
    </row>
    <row r="35" customFormat="false" ht="15" hidden="false" customHeight="false" outlineLevel="0" collapsed="false">
      <c r="A35" s="0" t="n">
        <v>30</v>
      </c>
      <c r="B35" s="7" t="n">
        <f aca="false">EDATE(DATE(2027,2,5),A35)</f>
        <v>47335</v>
      </c>
      <c r="C35" s="6" t="n">
        <v>2083333.33333333</v>
      </c>
      <c r="D35" s="6" t="n">
        <v>8125000</v>
      </c>
      <c r="E35" s="6" t="n">
        <v>0</v>
      </c>
      <c r="F35" s="6" t="n">
        <v>2890000</v>
      </c>
      <c r="G35" s="6" t="n">
        <v>500000</v>
      </c>
      <c r="H35" s="6" t="n">
        <v>1666666.66666667</v>
      </c>
      <c r="I35" s="6" t="n">
        <v>1666666.66666667</v>
      </c>
      <c r="J35" s="6" t="n">
        <v>2000000</v>
      </c>
      <c r="K35" s="6" t="n">
        <v>0</v>
      </c>
      <c r="L35" s="6" t="n">
        <v>0</v>
      </c>
      <c r="M35" s="6" t="n">
        <f aca="false">SUM(C35:L35)</f>
        <v>18931666.6666667</v>
      </c>
      <c r="N35" s="6" t="n">
        <f aca="false">N34+M35</f>
        <v>461890000</v>
      </c>
      <c r="O35" s="8" t="n">
        <f aca="false">N35/Inputs!$B$12</f>
        <v>0.46189</v>
      </c>
    </row>
    <row r="36" customFormat="false" ht="15" hidden="false" customHeight="false" outlineLevel="0" collapsed="false">
      <c r="A36" s="0" t="n">
        <v>31</v>
      </c>
      <c r="B36" s="7" t="n">
        <f aca="false">EDATE(DATE(2027,2,5),A36)</f>
        <v>47366</v>
      </c>
      <c r="C36" s="6" t="n">
        <v>2083333.33333333</v>
      </c>
      <c r="D36" s="6" t="n">
        <v>8125000</v>
      </c>
      <c r="E36" s="6" t="n">
        <v>0</v>
      </c>
      <c r="F36" s="6" t="n">
        <v>2890000</v>
      </c>
      <c r="G36" s="6" t="n">
        <v>0</v>
      </c>
      <c r="H36" s="6" t="n">
        <v>1666666.66666667</v>
      </c>
      <c r="I36" s="6" t="n">
        <v>1666666.66666667</v>
      </c>
      <c r="J36" s="6" t="n">
        <v>2000000</v>
      </c>
      <c r="K36" s="6" t="n">
        <v>0</v>
      </c>
      <c r="L36" s="6" t="n">
        <v>0</v>
      </c>
      <c r="M36" s="6" t="n">
        <f aca="false">SUM(C36:L36)</f>
        <v>18431666.6666667</v>
      </c>
      <c r="N36" s="6" t="n">
        <f aca="false">N35+M36</f>
        <v>480321666.666667</v>
      </c>
      <c r="O36" s="8" t="n">
        <f aca="false">N36/Inputs!$B$12</f>
        <v>0.480321666666667</v>
      </c>
    </row>
    <row r="37" customFormat="false" ht="15" hidden="false" customHeight="false" outlineLevel="0" collapsed="false">
      <c r="A37" s="0" t="n">
        <v>32</v>
      </c>
      <c r="B37" s="7" t="n">
        <f aca="false">EDATE(DATE(2027,2,5),A37)</f>
        <v>47396</v>
      </c>
      <c r="C37" s="6" t="n">
        <v>2083333.33333333</v>
      </c>
      <c r="D37" s="6" t="n">
        <v>8125000</v>
      </c>
      <c r="E37" s="6" t="n">
        <v>0</v>
      </c>
      <c r="F37" s="6" t="n">
        <v>2890000</v>
      </c>
      <c r="G37" s="6" t="n">
        <v>0</v>
      </c>
      <c r="H37" s="6" t="n">
        <v>1666666.66666667</v>
      </c>
      <c r="I37" s="6" t="n">
        <v>1666666.66666667</v>
      </c>
      <c r="J37" s="6" t="n">
        <v>2000000</v>
      </c>
      <c r="K37" s="6" t="n">
        <v>0</v>
      </c>
      <c r="L37" s="6" t="n">
        <v>0</v>
      </c>
      <c r="M37" s="6" t="n">
        <f aca="false">SUM(C37:L37)</f>
        <v>18431666.6666667</v>
      </c>
      <c r="N37" s="6" t="n">
        <f aca="false">N36+M37</f>
        <v>498753333.333334</v>
      </c>
      <c r="O37" s="8" t="n">
        <f aca="false">N37/Inputs!$B$12</f>
        <v>0.498753333333334</v>
      </c>
    </row>
    <row r="38" customFormat="false" ht="15" hidden="false" customHeight="false" outlineLevel="0" collapsed="false">
      <c r="A38" s="0" t="n">
        <v>33</v>
      </c>
      <c r="B38" s="7" t="n">
        <f aca="false">EDATE(DATE(2027,2,5),A38)</f>
        <v>47427</v>
      </c>
      <c r="C38" s="6" t="n">
        <v>2083333.33333333</v>
      </c>
      <c r="D38" s="6" t="n">
        <v>8125000</v>
      </c>
      <c r="E38" s="6" t="n">
        <v>0</v>
      </c>
      <c r="F38" s="6" t="n">
        <v>2890000</v>
      </c>
      <c r="G38" s="6" t="n">
        <v>0</v>
      </c>
      <c r="H38" s="6" t="n">
        <v>1666666.66666667</v>
      </c>
      <c r="I38" s="6" t="n">
        <v>1666666.66666667</v>
      </c>
      <c r="J38" s="6" t="n">
        <v>2000000</v>
      </c>
      <c r="K38" s="6" t="n">
        <v>0</v>
      </c>
      <c r="L38" s="6" t="n">
        <v>0</v>
      </c>
      <c r="M38" s="6" t="n">
        <f aca="false">SUM(C38:L38)</f>
        <v>18431666.6666667</v>
      </c>
      <c r="N38" s="6" t="n">
        <f aca="false">N37+M38</f>
        <v>517185000</v>
      </c>
      <c r="O38" s="8" t="n">
        <f aca="false">N38/Inputs!$B$12</f>
        <v>0.517185</v>
      </c>
    </row>
    <row r="39" customFormat="false" ht="15" hidden="false" customHeight="false" outlineLevel="0" collapsed="false">
      <c r="A39" s="0" t="n">
        <v>34</v>
      </c>
      <c r="B39" s="7" t="n">
        <f aca="false">EDATE(DATE(2027,2,5),A39)</f>
        <v>47457</v>
      </c>
      <c r="C39" s="6" t="n">
        <v>2083333.33333333</v>
      </c>
      <c r="D39" s="6" t="n">
        <v>8125000</v>
      </c>
      <c r="E39" s="6" t="n">
        <v>0</v>
      </c>
      <c r="F39" s="6" t="n">
        <v>2890000</v>
      </c>
      <c r="G39" s="6" t="n">
        <v>0</v>
      </c>
      <c r="H39" s="6" t="n">
        <v>1666666.66666667</v>
      </c>
      <c r="I39" s="6" t="n">
        <v>1666666.66666667</v>
      </c>
      <c r="J39" s="6" t="n">
        <v>2000000</v>
      </c>
      <c r="K39" s="6" t="n">
        <v>0</v>
      </c>
      <c r="L39" s="6" t="n">
        <v>0</v>
      </c>
      <c r="M39" s="6" t="n">
        <f aca="false">SUM(C39:L39)</f>
        <v>18431666.6666667</v>
      </c>
      <c r="N39" s="6" t="n">
        <f aca="false">N38+M39</f>
        <v>535616666.666667</v>
      </c>
      <c r="O39" s="8" t="n">
        <f aca="false">N39/Inputs!$B$12</f>
        <v>0.535616666666667</v>
      </c>
    </row>
    <row r="40" customFormat="false" ht="15" hidden="false" customHeight="false" outlineLevel="0" collapsed="false">
      <c r="A40" s="0" t="n">
        <v>35</v>
      </c>
      <c r="B40" s="7" t="n">
        <f aca="false">EDATE(DATE(2027,2,5),A40)</f>
        <v>47488</v>
      </c>
      <c r="C40" s="6" t="n">
        <v>2083333.33333333</v>
      </c>
      <c r="D40" s="6" t="n">
        <v>8125000</v>
      </c>
      <c r="E40" s="6" t="n">
        <v>0</v>
      </c>
      <c r="F40" s="6" t="n">
        <v>2890000</v>
      </c>
      <c r="G40" s="6" t="n">
        <v>0</v>
      </c>
      <c r="H40" s="6" t="n">
        <v>1666666.66666667</v>
      </c>
      <c r="I40" s="6" t="n">
        <v>1666666.66666667</v>
      </c>
      <c r="J40" s="6" t="n">
        <v>2000000</v>
      </c>
      <c r="K40" s="6" t="n">
        <v>0</v>
      </c>
      <c r="L40" s="6" t="n">
        <v>0</v>
      </c>
      <c r="M40" s="6" t="n">
        <f aca="false">SUM(C40:L40)</f>
        <v>18431666.6666667</v>
      </c>
      <c r="N40" s="6" t="n">
        <f aca="false">N39+M40</f>
        <v>554048333.333334</v>
      </c>
      <c r="O40" s="8" t="n">
        <f aca="false">N40/Inputs!$B$12</f>
        <v>0.554048333333334</v>
      </c>
    </row>
    <row r="41" customFormat="false" ht="15" hidden="false" customHeight="false" outlineLevel="0" collapsed="false">
      <c r="A41" s="0" t="n">
        <v>36</v>
      </c>
      <c r="B41" s="7" t="n">
        <f aca="false">EDATE(DATE(2027,2,5),A41)</f>
        <v>47519</v>
      </c>
      <c r="C41" s="6" t="n">
        <v>2083333.33333333</v>
      </c>
      <c r="D41" s="6" t="n">
        <v>8125000</v>
      </c>
      <c r="E41" s="6" t="n">
        <v>0</v>
      </c>
      <c r="F41" s="6" t="n">
        <v>2890000</v>
      </c>
      <c r="G41" s="6" t="n">
        <v>0</v>
      </c>
      <c r="H41" s="6" t="n">
        <v>1666666.66666667</v>
      </c>
      <c r="I41" s="6" t="n">
        <v>1666666.66666667</v>
      </c>
      <c r="J41" s="6" t="n">
        <v>2000000</v>
      </c>
      <c r="K41" s="6" t="n">
        <v>0</v>
      </c>
      <c r="L41" s="6" t="n">
        <v>0</v>
      </c>
      <c r="M41" s="6" t="n">
        <f aca="false">SUM(C41:L41)</f>
        <v>18431666.6666667</v>
      </c>
      <c r="N41" s="6" t="n">
        <f aca="false">N40+M41</f>
        <v>572480000</v>
      </c>
      <c r="O41" s="8" t="n">
        <f aca="false">N41/Inputs!$B$12</f>
        <v>0.57248</v>
      </c>
    </row>
    <row r="42" customFormat="false" ht="15" hidden="false" customHeight="false" outlineLevel="0" collapsed="false">
      <c r="A42" s="0" t="n">
        <v>37</v>
      </c>
      <c r="B42" s="7" t="n">
        <f aca="false">EDATE(DATE(2027,2,5),A42)</f>
        <v>47547</v>
      </c>
      <c r="C42" s="6" t="n">
        <v>2083333.33333333</v>
      </c>
      <c r="D42" s="6" t="n">
        <v>0</v>
      </c>
      <c r="E42" s="6" t="n">
        <v>0</v>
      </c>
      <c r="F42" s="6" t="n">
        <v>2456500</v>
      </c>
      <c r="G42" s="6" t="n">
        <v>0</v>
      </c>
      <c r="H42" s="6" t="n">
        <v>0</v>
      </c>
      <c r="I42" s="6" t="n">
        <v>0</v>
      </c>
      <c r="J42" s="6" t="n">
        <v>2000000</v>
      </c>
      <c r="K42" s="6" t="n">
        <v>0</v>
      </c>
      <c r="L42" s="6" t="n">
        <v>0</v>
      </c>
      <c r="M42" s="6" t="n">
        <f aca="false">SUM(C42:L42)</f>
        <v>6539833.33333333</v>
      </c>
      <c r="N42" s="6" t="n">
        <f aca="false">N41+M42</f>
        <v>579019833.333334</v>
      </c>
      <c r="O42" s="8" t="n">
        <f aca="false">N42/Inputs!$B$12</f>
        <v>0.579019833333334</v>
      </c>
    </row>
    <row r="43" customFormat="false" ht="15" hidden="false" customHeight="false" outlineLevel="0" collapsed="false">
      <c r="A43" s="0" t="n">
        <v>38</v>
      </c>
      <c r="B43" s="7" t="n">
        <f aca="false">EDATE(DATE(2027,2,5),A43)</f>
        <v>47578</v>
      </c>
      <c r="C43" s="6" t="n">
        <v>2083333.33333333</v>
      </c>
      <c r="D43" s="6" t="n">
        <v>0</v>
      </c>
      <c r="E43" s="6" t="n">
        <v>0</v>
      </c>
      <c r="F43" s="6" t="n">
        <v>2456500</v>
      </c>
      <c r="G43" s="6" t="n">
        <v>0</v>
      </c>
      <c r="H43" s="6" t="n">
        <v>0</v>
      </c>
      <c r="I43" s="6" t="n">
        <v>0</v>
      </c>
      <c r="J43" s="6" t="n">
        <v>2000000</v>
      </c>
      <c r="K43" s="6" t="n">
        <v>0</v>
      </c>
      <c r="L43" s="6" t="n">
        <v>0</v>
      </c>
      <c r="M43" s="6" t="n">
        <f aca="false">SUM(C43:L43)</f>
        <v>6539833.33333333</v>
      </c>
      <c r="N43" s="6" t="n">
        <f aca="false">N42+M43</f>
        <v>585559666.666667</v>
      </c>
      <c r="O43" s="8" t="n">
        <f aca="false">N43/Inputs!$B$12</f>
        <v>0.585559666666667</v>
      </c>
    </row>
    <row r="44" customFormat="false" ht="15" hidden="false" customHeight="false" outlineLevel="0" collapsed="false">
      <c r="A44" s="0" t="n">
        <v>39</v>
      </c>
      <c r="B44" s="7" t="n">
        <f aca="false">EDATE(DATE(2027,2,5),A44)</f>
        <v>47608</v>
      </c>
      <c r="C44" s="6" t="n">
        <v>2083333.33333333</v>
      </c>
      <c r="D44" s="6" t="n">
        <v>0</v>
      </c>
      <c r="E44" s="6" t="n">
        <v>0</v>
      </c>
      <c r="F44" s="6" t="n">
        <v>2456500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f aca="false">SUM(C44:L44)</f>
        <v>4539833.33333333</v>
      </c>
      <c r="N44" s="6" t="n">
        <f aca="false">N43+M44</f>
        <v>590099500</v>
      </c>
      <c r="O44" s="8" t="n">
        <f aca="false">N44/Inputs!$B$12</f>
        <v>0.5900995</v>
      </c>
    </row>
    <row r="45" customFormat="false" ht="15" hidden="false" customHeight="false" outlineLevel="0" collapsed="false">
      <c r="A45" s="0" t="n">
        <v>40</v>
      </c>
      <c r="B45" s="7" t="n">
        <f aca="false">EDATE(DATE(2027,2,5),A45)</f>
        <v>47639</v>
      </c>
      <c r="C45" s="6" t="n">
        <v>2083333.33333333</v>
      </c>
      <c r="D45" s="6" t="n">
        <v>0</v>
      </c>
      <c r="E45" s="6" t="n">
        <v>0</v>
      </c>
      <c r="F45" s="6" t="n">
        <v>2456500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f aca="false">SUM(C45:L45)</f>
        <v>4539833.33333333</v>
      </c>
      <c r="N45" s="6" t="n">
        <f aca="false">N44+M45</f>
        <v>594639333.333334</v>
      </c>
      <c r="O45" s="8" t="n">
        <f aca="false">N45/Inputs!$B$12</f>
        <v>0.594639333333334</v>
      </c>
    </row>
    <row r="46" customFormat="false" ht="15" hidden="false" customHeight="false" outlineLevel="0" collapsed="false">
      <c r="A46" s="0" t="n">
        <v>41</v>
      </c>
      <c r="B46" s="7" t="n">
        <f aca="false">EDATE(DATE(2027,2,5),A46)</f>
        <v>47669</v>
      </c>
      <c r="C46" s="6" t="n">
        <v>2083333.33333333</v>
      </c>
      <c r="D46" s="6" t="n">
        <v>0</v>
      </c>
      <c r="E46" s="6" t="n">
        <v>0</v>
      </c>
      <c r="F46" s="6" t="n">
        <v>2456500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f aca="false">SUM(C46:L46)</f>
        <v>4539833.33333333</v>
      </c>
      <c r="N46" s="6" t="n">
        <f aca="false">N45+M46</f>
        <v>599179166.666667</v>
      </c>
      <c r="O46" s="8" t="n">
        <f aca="false">N46/Inputs!$B$12</f>
        <v>0.599179166666667</v>
      </c>
    </row>
    <row r="47" customFormat="false" ht="15" hidden="false" customHeight="false" outlineLevel="0" collapsed="false">
      <c r="A47" s="0" t="n">
        <v>42</v>
      </c>
      <c r="B47" s="7" t="n">
        <f aca="false">EDATE(DATE(2027,2,5),A47)</f>
        <v>47700</v>
      </c>
      <c r="C47" s="6" t="n">
        <v>2083333.33333333</v>
      </c>
      <c r="D47" s="6" t="n">
        <v>0</v>
      </c>
      <c r="E47" s="6" t="n">
        <v>0</v>
      </c>
      <c r="F47" s="6" t="n">
        <v>2456500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f aca="false">SUM(C47:L47)</f>
        <v>4539833.33333333</v>
      </c>
      <c r="N47" s="6" t="n">
        <f aca="false">N46+M47</f>
        <v>603719000.000001</v>
      </c>
      <c r="O47" s="8" t="n">
        <f aca="false">N47/Inputs!$B$12</f>
        <v>0.603719</v>
      </c>
    </row>
    <row r="48" customFormat="false" ht="15" hidden="false" customHeight="false" outlineLevel="0" collapsed="false">
      <c r="A48" s="0" t="n">
        <v>43</v>
      </c>
      <c r="B48" s="7" t="n">
        <f aca="false">EDATE(DATE(2027,2,5),A48)</f>
        <v>47731</v>
      </c>
      <c r="C48" s="6" t="n">
        <v>2083333.33333333</v>
      </c>
      <c r="D48" s="6" t="n">
        <v>0</v>
      </c>
      <c r="E48" s="6" t="n">
        <v>0</v>
      </c>
      <c r="F48" s="6" t="n">
        <v>2456500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f aca="false">SUM(C48:L48)</f>
        <v>4539833.33333333</v>
      </c>
      <c r="N48" s="6" t="n">
        <f aca="false">N47+M48</f>
        <v>608258833.333334</v>
      </c>
      <c r="O48" s="8" t="n">
        <f aca="false">N48/Inputs!$B$12</f>
        <v>0.608258833333334</v>
      </c>
    </row>
    <row r="49" customFormat="false" ht="15" hidden="false" customHeight="false" outlineLevel="0" collapsed="false">
      <c r="A49" s="0" t="n">
        <v>44</v>
      </c>
      <c r="B49" s="7" t="n">
        <f aca="false">EDATE(DATE(2027,2,5),A49)</f>
        <v>47761</v>
      </c>
      <c r="C49" s="6" t="n">
        <v>2083333.33333333</v>
      </c>
      <c r="D49" s="6" t="n">
        <v>0</v>
      </c>
      <c r="E49" s="6" t="n">
        <v>0</v>
      </c>
      <c r="F49" s="6" t="n">
        <v>2456500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f aca="false">SUM(C49:L49)</f>
        <v>4539833.33333333</v>
      </c>
      <c r="N49" s="6" t="n">
        <f aca="false">N48+M49</f>
        <v>612798666.666667</v>
      </c>
      <c r="O49" s="8" t="n">
        <f aca="false">N49/Inputs!$B$12</f>
        <v>0.612798666666667</v>
      </c>
    </row>
    <row r="50" customFormat="false" ht="15" hidden="false" customHeight="false" outlineLevel="0" collapsed="false">
      <c r="A50" s="0" t="n">
        <v>45</v>
      </c>
      <c r="B50" s="7" t="n">
        <f aca="false">EDATE(DATE(2027,2,5),A50)</f>
        <v>47792</v>
      </c>
      <c r="C50" s="6" t="n">
        <v>2083333.33333333</v>
      </c>
      <c r="D50" s="6" t="n">
        <v>0</v>
      </c>
      <c r="E50" s="6" t="n">
        <v>0</v>
      </c>
      <c r="F50" s="6" t="n">
        <v>2456500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f aca="false">SUM(C50:L50)</f>
        <v>4539833.33333333</v>
      </c>
      <c r="N50" s="6" t="n">
        <f aca="false">N49+M50</f>
        <v>617338500.000001</v>
      </c>
      <c r="O50" s="8" t="n">
        <f aca="false">N50/Inputs!$B$12</f>
        <v>0.617338500000001</v>
      </c>
    </row>
    <row r="51" customFormat="false" ht="15" hidden="false" customHeight="false" outlineLevel="0" collapsed="false">
      <c r="A51" s="0" t="n">
        <v>46</v>
      </c>
      <c r="B51" s="7" t="n">
        <f aca="false">EDATE(DATE(2027,2,5),A51)</f>
        <v>47822</v>
      </c>
      <c r="C51" s="6" t="n">
        <v>2083333.33333333</v>
      </c>
      <c r="D51" s="6" t="n">
        <v>0</v>
      </c>
      <c r="E51" s="6" t="n">
        <v>0</v>
      </c>
      <c r="F51" s="6" t="n">
        <v>2456500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f aca="false">SUM(C51:L51)</f>
        <v>4539833.33333333</v>
      </c>
      <c r="N51" s="6" t="n">
        <f aca="false">N50+M51</f>
        <v>621878333.333334</v>
      </c>
      <c r="O51" s="8" t="n">
        <f aca="false">N51/Inputs!$B$12</f>
        <v>0.621878333333334</v>
      </c>
    </row>
    <row r="52" customFormat="false" ht="15" hidden="false" customHeight="false" outlineLevel="0" collapsed="false">
      <c r="A52" s="0" t="n">
        <v>47</v>
      </c>
      <c r="B52" s="7" t="n">
        <f aca="false">EDATE(DATE(2027,2,5),A52)</f>
        <v>47853</v>
      </c>
      <c r="C52" s="6" t="n">
        <v>2083333.33333333</v>
      </c>
      <c r="D52" s="6" t="n">
        <v>0</v>
      </c>
      <c r="E52" s="6" t="n">
        <v>0</v>
      </c>
      <c r="F52" s="6" t="n">
        <v>2456500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f aca="false">SUM(C52:L52)</f>
        <v>4539833.33333333</v>
      </c>
      <c r="N52" s="6" t="n">
        <f aca="false">N51+M52</f>
        <v>626418166.666667</v>
      </c>
      <c r="O52" s="8" t="n">
        <f aca="false">N52/Inputs!$B$12</f>
        <v>0.626418166666667</v>
      </c>
    </row>
    <row r="53" customFormat="false" ht="15" hidden="false" customHeight="false" outlineLevel="0" collapsed="false">
      <c r="A53" s="0" t="n">
        <v>48</v>
      </c>
      <c r="B53" s="7" t="n">
        <f aca="false">EDATE(DATE(2027,2,5),A53)</f>
        <v>47884</v>
      </c>
      <c r="C53" s="6" t="n">
        <v>2083333.33333333</v>
      </c>
      <c r="D53" s="6" t="n">
        <v>0</v>
      </c>
      <c r="E53" s="6" t="n">
        <v>0</v>
      </c>
      <c r="F53" s="6" t="n">
        <v>2456500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f aca="false">SUM(C53:L53)</f>
        <v>4539833.33333333</v>
      </c>
      <c r="N53" s="6" t="n">
        <f aca="false">N52+M53</f>
        <v>630958000.000001</v>
      </c>
      <c r="O53" s="8" t="n">
        <f aca="false">N53/Inputs!$B$12</f>
        <v>0.630958000000001</v>
      </c>
    </row>
    <row r="54" customFormat="false" ht="15" hidden="false" customHeight="false" outlineLevel="0" collapsed="false">
      <c r="A54" s="0" t="n">
        <v>49</v>
      </c>
      <c r="B54" s="7" t="n">
        <f aca="false">EDATE(DATE(2027,2,5),A54)</f>
        <v>47912</v>
      </c>
      <c r="C54" s="6" t="n">
        <v>2083333.33333333</v>
      </c>
      <c r="D54" s="6" t="n">
        <v>0</v>
      </c>
      <c r="E54" s="6" t="n">
        <v>0</v>
      </c>
      <c r="F54" s="6" t="n">
        <v>2088025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f aca="false">SUM(C54:L54)</f>
        <v>4171358.33333333</v>
      </c>
      <c r="N54" s="6" t="n">
        <f aca="false">N53+M54</f>
        <v>635129358.333334</v>
      </c>
      <c r="O54" s="8" t="n">
        <f aca="false">N54/Inputs!$B$12</f>
        <v>0.635129358333334</v>
      </c>
    </row>
    <row r="55" customFormat="false" ht="15" hidden="false" customHeight="false" outlineLevel="0" collapsed="false">
      <c r="A55" s="0" t="n">
        <v>50</v>
      </c>
      <c r="B55" s="7" t="n">
        <f aca="false">EDATE(DATE(2027,2,5),A55)</f>
        <v>47943</v>
      </c>
      <c r="C55" s="6" t="n">
        <v>2083333.33333333</v>
      </c>
      <c r="D55" s="6" t="n">
        <v>0</v>
      </c>
      <c r="E55" s="6" t="n">
        <v>0</v>
      </c>
      <c r="F55" s="6" t="n">
        <v>2088025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f aca="false">SUM(C55:L55)</f>
        <v>4171358.33333333</v>
      </c>
      <c r="N55" s="6" t="n">
        <f aca="false">N54+M55</f>
        <v>639300716.666668</v>
      </c>
      <c r="O55" s="8" t="n">
        <f aca="false">N55/Inputs!$B$12</f>
        <v>0.639300716666667</v>
      </c>
    </row>
    <row r="56" customFormat="false" ht="15" hidden="false" customHeight="false" outlineLevel="0" collapsed="false">
      <c r="A56" s="0" t="n">
        <v>51</v>
      </c>
      <c r="B56" s="7" t="n">
        <f aca="false">EDATE(DATE(2027,2,5),A56)</f>
        <v>47973</v>
      </c>
      <c r="C56" s="6" t="n">
        <v>2083333.33333333</v>
      </c>
      <c r="D56" s="6" t="n">
        <v>0</v>
      </c>
      <c r="E56" s="6" t="n">
        <v>0</v>
      </c>
      <c r="F56" s="6" t="n">
        <v>2088025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f aca="false">SUM(C56:L56)</f>
        <v>4171358.33333333</v>
      </c>
      <c r="N56" s="6" t="n">
        <f aca="false">N55+M56</f>
        <v>643472075.000001</v>
      </c>
      <c r="O56" s="8" t="n">
        <f aca="false">N56/Inputs!$B$12</f>
        <v>0.643472075000001</v>
      </c>
    </row>
    <row r="57" customFormat="false" ht="15" hidden="false" customHeight="false" outlineLevel="0" collapsed="false">
      <c r="A57" s="0" t="n">
        <v>52</v>
      </c>
      <c r="B57" s="7" t="n">
        <f aca="false">EDATE(DATE(2027,2,5),A57)</f>
        <v>48004</v>
      </c>
      <c r="C57" s="6" t="n">
        <v>2083333.33333333</v>
      </c>
      <c r="D57" s="6" t="n">
        <v>0</v>
      </c>
      <c r="E57" s="6" t="n">
        <v>0</v>
      </c>
      <c r="F57" s="6" t="n">
        <v>2088025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f aca="false">SUM(C57:L57)</f>
        <v>4171358.33333333</v>
      </c>
      <c r="N57" s="6" t="n">
        <f aca="false">N56+M57</f>
        <v>647643433.333334</v>
      </c>
      <c r="O57" s="8" t="n">
        <f aca="false">N57/Inputs!$B$12</f>
        <v>0.647643433333334</v>
      </c>
    </row>
    <row r="58" customFormat="false" ht="15" hidden="false" customHeight="false" outlineLevel="0" collapsed="false">
      <c r="A58" s="0" t="n">
        <v>53</v>
      </c>
      <c r="B58" s="7" t="n">
        <f aca="false">EDATE(DATE(2027,2,5),A58)</f>
        <v>48034</v>
      </c>
      <c r="C58" s="6" t="n">
        <v>2083333.33333333</v>
      </c>
      <c r="D58" s="6" t="n">
        <v>0</v>
      </c>
      <c r="E58" s="6" t="n">
        <v>0</v>
      </c>
      <c r="F58" s="6" t="n">
        <v>2088025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f aca="false">SUM(C58:L58)</f>
        <v>4171358.33333333</v>
      </c>
      <c r="N58" s="6" t="n">
        <f aca="false">N57+M58</f>
        <v>651814791.666668</v>
      </c>
      <c r="O58" s="8" t="n">
        <f aca="false">N58/Inputs!$B$12</f>
        <v>0.651814791666668</v>
      </c>
    </row>
    <row r="59" customFormat="false" ht="15" hidden="false" customHeight="false" outlineLevel="0" collapsed="false">
      <c r="A59" s="0" t="n">
        <v>54</v>
      </c>
      <c r="B59" s="7" t="n">
        <f aca="false">EDATE(DATE(2027,2,5),A59)</f>
        <v>48065</v>
      </c>
      <c r="C59" s="6" t="n">
        <v>2083333.33333333</v>
      </c>
      <c r="D59" s="6" t="n">
        <v>0</v>
      </c>
      <c r="E59" s="6" t="n">
        <v>0</v>
      </c>
      <c r="F59" s="6" t="n">
        <v>2088025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f aca="false">SUM(C59:L59)</f>
        <v>4171358.33333333</v>
      </c>
      <c r="N59" s="6" t="n">
        <f aca="false">N58+M59</f>
        <v>655986150.000001</v>
      </c>
      <c r="O59" s="8" t="n">
        <f aca="false">N59/Inputs!$B$12</f>
        <v>0.655986150000001</v>
      </c>
    </row>
    <row r="60" customFormat="false" ht="15" hidden="false" customHeight="false" outlineLevel="0" collapsed="false">
      <c r="A60" s="0" t="n">
        <v>55</v>
      </c>
      <c r="B60" s="7" t="n">
        <f aca="false">EDATE(DATE(2027,2,5),A60)</f>
        <v>48096</v>
      </c>
      <c r="C60" s="6" t="n">
        <v>2083333.33333333</v>
      </c>
      <c r="D60" s="6" t="n">
        <v>0</v>
      </c>
      <c r="E60" s="6" t="n">
        <v>0</v>
      </c>
      <c r="F60" s="6" t="n">
        <v>2088025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f aca="false">SUM(C60:L60)</f>
        <v>4171358.33333333</v>
      </c>
      <c r="N60" s="6" t="n">
        <f aca="false">N59+M60</f>
        <v>660157508.333334</v>
      </c>
      <c r="O60" s="8" t="n">
        <f aca="false">N60/Inputs!$B$12</f>
        <v>0.660157508333334</v>
      </c>
    </row>
    <row r="61" customFormat="false" ht="15" hidden="false" customHeight="false" outlineLevel="0" collapsed="false">
      <c r="A61" s="0" t="n">
        <v>56</v>
      </c>
      <c r="B61" s="7" t="n">
        <f aca="false">EDATE(DATE(2027,2,5),A61)</f>
        <v>48126</v>
      </c>
      <c r="C61" s="6" t="n">
        <v>2083333.33333333</v>
      </c>
      <c r="D61" s="6" t="n">
        <v>0</v>
      </c>
      <c r="E61" s="6" t="n">
        <v>0</v>
      </c>
      <c r="F61" s="6" t="n">
        <v>2088025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f aca="false">SUM(C61:L61)</f>
        <v>4171358.33333333</v>
      </c>
      <c r="N61" s="6" t="n">
        <f aca="false">N60+M61</f>
        <v>664328866.666668</v>
      </c>
      <c r="O61" s="8" t="n">
        <f aca="false">N61/Inputs!$B$12</f>
        <v>0.664328866666668</v>
      </c>
    </row>
    <row r="62" customFormat="false" ht="15" hidden="false" customHeight="false" outlineLevel="0" collapsed="false">
      <c r="A62" s="0" t="n">
        <v>57</v>
      </c>
      <c r="B62" s="7" t="n">
        <f aca="false">EDATE(DATE(2027,2,5),A62)</f>
        <v>48157</v>
      </c>
      <c r="C62" s="6" t="n">
        <v>2083333.33333333</v>
      </c>
      <c r="D62" s="6" t="n">
        <v>0</v>
      </c>
      <c r="E62" s="6" t="n">
        <v>0</v>
      </c>
      <c r="F62" s="6" t="n">
        <v>2088025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f aca="false">SUM(C62:L62)</f>
        <v>4171358.33333333</v>
      </c>
      <c r="N62" s="6" t="n">
        <f aca="false">N61+M62</f>
        <v>668500225.000001</v>
      </c>
      <c r="O62" s="8" t="n">
        <f aca="false">N62/Inputs!$B$12</f>
        <v>0.668500225000001</v>
      </c>
    </row>
    <row r="63" customFormat="false" ht="15" hidden="false" customHeight="false" outlineLevel="0" collapsed="false">
      <c r="A63" s="0" t="n">
        <v>58</v>
      </c>
      <c r="B63" s="7" t="n">
        <f aca="false">EDATE(DATE(2027,2,5),A63)</f>
        <v>48187</v>
      </c>
      <c r="C63" s="6" t="n">
        <v>2083333.33333333</v>
      </c>
      <c r="D63" s="6" t="n">
        <v>0</v>
      </c>
      <c r="E63" s="6" t="n">
        <v>0</v>
      </c>
      <c r="F63" s="6" t="n">
        <v>2088025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f aca="false">SUM(C63:L63)</f>
        <v>4171358.33333333</v>
      </c>
      <c r="N63" s="6" t="n">
        <f aca="false">N62+M63</f>
        <v>672671583.333334</v>
      </c>
      <c r="O63" s="8" t="n">
        <f aca="false">N63/Inputs!$B$12</f>
        <v>0.672671583333334</v>
      </c>
    </row>
    <row r="64" customFormat="false" ht="15" hidden="false" customHeight="false" outlineLevel="0" collapsed="false">
      <c r="A64" s="0" t="n">
        <v>59</v>
      </c>
      <c r="B64" s="7" t="n">
        <f aca="false">EDATE(DATE(2027,2,5),A64)</f>
        <v>48218</v>
      </c>
      <c r="C64" s="6" t="n">
        <v>2083333.33333333</v>
      </c>
      <c r="D64" s="6" t="n">
        <v>0</v>
      </c>
      <c r="E64" s="6" t="n">
        <v>0</v>
      </c>
      <c r="F64" s="6" t="n">
        <v>2088025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f aca="false">SUM(C64:L64)</f>
        <v>4171358.33333333</v>
      </c>
      <c r="N64" s="6" t="n">
        <f aca="false">N63+M64</f>
        <v>676842941.666668</v>
      </c>
      <c r="O64" s="8" t="n">
        <f aca="false">N64/Inputs!$B$12</f>
        <v>0.676842941666668</v>
      </c>
    </row>
    <row r="65" customFormat="false" ht="15" hidden="false" customHeight="false" outlineLevel="0" collapsed="false">
      <c r="A65" s="0" t="n">
        <v>60</v>
      </c>
      <c r="B65" s="7" t="n">
        <f aca="false">EDATE(DATE(2027,2,5),A65)</f>
        <v>48249</v>
      </c>
      <c r="C65" s="6" t="n">
        <v>2083333.33333333</v>
      </c>
      <c r="D65" s="6" t="n">
        <v>0</v>
      </c>
      <c r="E65" s="6" t="n">
        <v>0</v>
      </c>
      <c r="F65" s="6" t="n">
        <v>2088025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f aca="false">SUM(C65:L65)</f>
        <v>4171358.33333333</v>
      </c>
      <c r="N65" s="6" t="n">
        <f aca="false">N64+M65</f>
        <v>681014300.000001</v>
      </c>
      <c r="O65" s="8" t="n">
        <f aca="false">N65/Inputs!$B$12</f>
        <v>0.681014300000001</v>
      </c>
    </row>
    <row r="66" customFormat="false" ht="15" hidden="false" customHeight="false" outlineLevel="0" collapsed="false">
      <c r="A66" s="0" t="n">
        <v>61</v>
      </c>
      <c r="B66" s="7" t="n">
        <f aca="false">EDATE(DATE(2027,2,5),A66)</f>
        <v>48278</v>
      </c>
      <c r="C66" s="6" t="n">
        <v>0</v>
      </c>
      <c r="D66" s="6" t="n">
        <v>0</v>
      </c>
      <c r="E66" s="6" t="n">
        <v>0</v>
      </c>
      <c r="F66" s="6" t="n">
        <v>1774821.25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f aca="false">SUM(C66:L66)</f>
        <v>1774821.25</v>
      </c>
      <c r="N66" s="6" t="n">
        <f aca="false">N65+M66</f>
        <v>682789121.250001</v>
      </c>
      <c r="O66" s="8" t="n">
        <f aca="false">N66/Inputs!$B$12</f>
        <v>0.682789121250001</v>
      </c>
    </row>
    <row r="67" customFormat="false" ht="15" hidden="false" customHeight="false" outlineLevel="0" collapsed="false">
      <c r="A67" s="0" t="n">
        <v>62</v>
      </c>
      <c r="B67" s="7" t="n">
        <f aca="false">EDATE(DATE(2027,2,5),A67)</f>
        <v>48309</v>
      </c>
      <c r="C67" s="6" t="n">
        <v>0</v>
      </c>
      <c r="D67" s="6" t="n">
        <v>0</v>
      </c>
      <c r="E67" s="6" t="n">
        <v>0</v>
      </c>
      <c r="F67" s="6" t="n">
        <v>1774821.25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f aca="false">SUM(C67:L67)</f>
        <v>1774821.25</v>
      </c>
      <c r="N67" s="6" t="n">
        <f aca="false">N66+M67</f>
        <v>684563942.500001</v>
      </c>
      <c r="O67" s="8" t="n">
        <f aca="false">N67/Inputs!$B$12</f>
        <v>0.684563942500001</v>
      </c>
    </row>
    <row r="68" customFormat="false" ht="15" hidden="false" customHeight="false" outlineLevel="0" collapsed="false">
      <c r="A68" s="0" t="n">
        <v>63</v>
      </c>
      <c r="B68" s="7" t="n">
        <f aca="false">EDATE(DATE(2027,2,5),A68)</f>
        <v>48339</v>
      </c>
      <c r="C68" s="6" t="n">
        <v>0</v>
      </c>
      <c r="D68" s="6" t="n">
        <v>0</v>
      </c>
      <c r="E68" s="6" t="n">
        <v>0</v>
      </c>
      <c r="F68" s="6" t="n">
        <v>1774821.25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f aca="false">SUM(C68:L68)</f>
        <v>1774821.25</v>
      </c>
      <c r="N68" s="6" t="n">
        <f aca="false">N67+M68</f>
        <v>686338763.750001</v>
      </c>
      <c r="O68" s="8" t="n">
        <f aca="false">N68/Inputs!$B$12</f>
        <v>0.686338763750001</v>
      </c>
    </row>
    <row r="69" customFormat="false" ht="15" hidden="false" customHeight="false" outlineLevel="0" collapsed="false">
      <c r="A69" s="0" t="n">
        <v>64</v>
      </c>
      <c r="B69" s="7" t="n">
        <f aca="false">EDATE(DATE(2027,2,5),A69)</f>
        <v>48370</v>
      </c>
      <c r="C69" s="6" t="n">
        <v>0</v>
      </c>
      <c r="D69" s="6" t="n">
        <v>0</v>
      </c>
      <c r="E69" s="6" t="n">
        <v>0</v>
      </c>
      <c r="F69" s="6" t="n">
        <v>1774821.25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f aca="false">SUM(C69:L69)</f>
        <v>1774821.25</v>
      </c>
      <c r="N69" s="6" t="n">
        <f aca="false">N68+M69</f>
        <v>688113585.000001</v>
      </c>
      <c r="O69" s="8" t="n">
        <f aca="false">N69/Inputs!$B$12</f>
        <v>0.688113585000001</v>
      </c>
    </row>
    <row r="70" customFormat="false" ht="15" hidden="false" customHeight="false" outlineLevel="0" collapsed="false">
      <c r="A70" s="0" t="n">
        <v>65</v>
      </c>
      <c r="B70" s="7" t="n">
        <f aca="false">EDATE(DATE(2027,2,5),A70)</f>
        <v>48400</v>
      </c>
      <c r="C70" s="6" t="n">
        <v>0</v>
      </c>
      <c r="D70" s="6" t="n">
        <v>0</v>
      </c>
      <c r="E70" s="6" t="n">
        <v>0</v>
      </c>
      <c r="F70" s="6" t="n">
        <v>1774821.25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f aca="false">SUM(C70:L70)</f>
        <v>1774821.25</v>
      </c>
      <c r="N70" s="6" t="n">
        <f aca="false">N69+M70</f>
        <v>689888406.250001</v>
      </c>
      <c r="O70" s="8" t="n">
        <f aca="false">N70/Inputs!$B$12</f>
        <v>0.689888406250001</v>
      </c>
    </row>
    <row r="71" customFormat="false" ht="15" hidden="false" customHeight="false" outlineLevel="0" collapsed="false">
      <c r="A71" s="0" t="n">
        <v>66</v>
      </c>
      <c r="B71" s="7" t="n">
        <f aca="false">EDATE(DATE(2027,2,5),A71)</f>
        <v>48431</v>
      </c>
      <c r="C71" s="6" t="n">
        <v>0</v>
      </c>
      <c r="D71" s="6" t="n">
        <v>0</v>
      </c>
      <c r="E71" s="6" t="n">
        <v>0</v>
      </c>
      <c r="F71" s="6" t="n">
        <v>1774821.25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f aca="false">SUM(C71:L71)</f>
        <v>1774821.25</v>
      </c>
      <c r="N71" s="6" t="n">
        <f aca="false">N70+M71</f>
        <v>691663227.500001</v>
      </c>
      <c r="O71" s="8" t="n">
        <f aca="false">N71/Inputs!$B$12</f>
        <v>0.691663227500001</v>
      </c>
    </row>
    <row r="72" customFormat="false" ht="15" hidden="false" customHeight="false" outlineLevel="0" collapsed="false">
      <c r="A72" s="0" t="n">
        <v>67</v>
      </c>
      <c r="B72" s="7" t="n">
        <f aca="false">EDATE(DATE(2027,2,5),A72)</f>
        <v>48462</v>
      </c>
      <c r="C72" s="6" t="n">
        <v>0</v>
      </c>
      <c r="D72" s="6" t="n">
        <v>0</v>
      </c>
      <c r="E72" s="6" t="n">
        <v>0</v>
      </c>
      <c r="F72" s="6" t="n">
        <v>1774821.25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f aca="false">SUM(C72:L72)</f>
        <v>1774821.25</v>
      </c>
      <c r="N72" s="6" t="n">
        <f aca="false">N71+M72</f>
        <v>693438048.750001</v>
      </c>
      <c r="O72" s="8" t="n">
        <f aca="false">N72/Inputs!$B$12</f>
        <v>0.693438048750001</v>
      </c>
    </row>
    <row r="73" customFormat="false" ht="15" hidden="false" customHeight="false" outlineLevel="0" collapsed="false">
      <c r="A73" s="0" t="n">
        <v>68</v>
      </c>
      <c r="B73" s="7" t="n">
        <f aca="false">EDATE(DATE(2027,2,5),A73)</f>
        <v>48492</v>
      </c>
      <c r="C73" s="6" t="n">
        <v>0</v>
      </c>
      <c r="D73" s="6" t="n">
        <v>0</v>
      </c>
      <c r="E73" s="6" t="n">
        <v>0</v>
      </c>
      <c r="F73" s="6" t="n">
        <v>1774821.25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f aca="false">SUM(C73:L73)</f>
        <v>1774821.25</v>
      </c>
      <c r="N73" s="6" t="n">
        <f aca="false">N72+M73</f>
        <v>695212870.000001</v>
      </c>
      <c r="O73" s="8" t="n">
        <f aca="false">N73/Inputs!$B$12</f>
        <v>0.695212870000001</v>
      </c>
    </row>
    <row r="74" customFormat="false" ht="15" hidden="false" customHeight="false" outlineLevel="0" collapsed="false">
      <c r="A74" s="0" t="n">
        <v>69</v>
      </c>
      <c r="B74" s="7" t="n">
        <f aca="false">EDATE(DATE(2027,2,5),A74)</f>
        <v>48523</v>
      </c>
      <c r="C74" s="6" t="n">
        <v>0</v>
      </c>
      <c r="D74" s="6" t="n">
        <v>0</v>
      </c>
      <c r="E74" s="6" t="n">
        <v>0</v>
      </c>
      <c r="F74" s="6" t="n">
        <v>1774821.25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f aca="false">SUM(C74:L74)</f>
        <v>1774821.25</v>
      </c>
      <c r="N74" s="6" t="n">
        <f aca="false">N73+M74</f>
        <v>696987691.250001</v>
      </c>
      <c r="O74" s="8" t="n">
        <f aca="false">N74/Inputs!$B$12</f>
        <v>0.696987691250001</v>
      </c>
    </row>
    <row r="75" customFormat="false" ht="15" hidden="false" customHeight="false" outlineLevel="0" collapsed="false">
      <c r="A75" s="0" t="n">
        <v>70</v>
      </c>
      <c r="B75" s="7" t="n">
        <f aca="false">EDATE(DATE(2027,2,5),A75)</f>
        <v>48553</v>
      </c>
      <c r="C75" s="6" t="n">
        <v>0</v>
      </c>
      <c r="D75" s="6" t="n">
        <v>0</v>
      </c>
      <c r="E75" s="6" t="n">
        <v>0</v>
      </c>
      <c r="F75" s="6" t="n">
        <v>1774821.25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f aca="false">SUM(C75:L75)</f>
        <v>1774821.25</v>
      </c>
      <c r="N75" s="6" t="n">
        <f aca="false">N74+M75</f>
        <v>698762512.500001</v>
      </c>
      <c r="O75" s="8" t="n">
        <f aca="false">N75/Inputs!$B$12</f>
        <v>0.698762512500001</v>
      </c>
    </row>
    <row r="76" customFormat="false" ht="15" hidden="false" customHeight="false" outlineLevel="0" collapsed="false">
      <c r="A76" s="0" t="n">
        <v>71</v>
      </c>
      <c r="B76" s="7" t="n">
        <f aca="false">EDATE(DATE(2027,2,5),A76)</f>
        <v>48584</v>
      </c>
      <c r="C76" s="6" t="n">
        <v>0</v>
      </c>
      <c r="D76" s="6" t="n">
        <v>0</v>
      </c>
      <c r="E76" s="6" t="n">
        <v>0</v>
      </c>
      <c r="F76" s="6" t="n">
        <v>1774821.25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f aca="false">SUM(C76:L76)</f>
        <v>1774821.25</v>
      </c>
      <c r="N76" s="6" t="n">
        <f aca="false">N75+M76</f>
        <v>700537333.750001</v>
      </c>
      <c r="O76" s="8" t="n">
        <f aca="false">N76/Inputs!$B$12</f>
        <v>0.700537333750001</v>
      </c>
    </row>
    <row r="77" customFormat="false" ht="15" hidden="false" customHeight="false" outlineLevel="0" collapsed="false">
      <c r="A77" s="0" t="n">
        <v>72</v>
      </c>
      <c r="B77" s="7" t="n">
        <f aca="false">EDATE(DATE(2027,2,5),A77)</f>
        <v>48615</v>
      </c>
      <c r="C77" s="6" t="n">
        <v>0</v>
      </c>
      <c r="D77" s="6" t="n">
        <v>0</v>
      </c>
      <c r="E77" s="6" t="n">
        <v>0</v>
      </c>
      <c r="F77" s="6" t="n">
        <v>1774821.25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f aca="false">SUM(C77:L77)</f>
        <v>1774821.25</v>
      </c>
      <c r="N77" s="6" t="n">
        <f aca="false">N76+M77</f>
        <v>702312155.000001</v>
      </c>
      <c r="O77" s="8" t="n">
        <f aca="false">N77/Inputs!$B$12</f>
        <v>0.702312155000001</v>
      </c>
    </row>
    <row r="78" customFormat="false" ht="15" hidden="false" customHeight="false" outlineLevel="0" collapsed="false">
      <c r="A78" s="0" t="n">
        <v>73</v>
      </c>
      <c r="B78" s="7" t="n">
        <f aca="false">EDATE(DATE(2027,2,5),A78)</f>
        <v>48643</v>
      </c>
      <c r="C78" s="6" t="n">
        <v>0</v>
      </c>
      <c r="D78" s="6" t="n">
        <v>0</v>
      </c>
      <c r="E78" s="6" t="n">
        <v>0</v>
      </c>
      <c r="F78" s="6" t="n">
        <v>1508598.0625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f aca="false">SUM(C78:L78)</f>
        <v>1508598.0625</v>
      </c>
      <c r="N78" s="6" t="n">
        <f aca="false">N77+M78</f>
        <v>703820753.062501</v>
      </c>
      <c r="O78" s="8" t="n">
        <f aca="false">N78/Inputs!$B$12</f>
        <v>0.703820753062501</v>
      </c>
    </row>
    <row r="79" customFormat="false" ht="15" hidden="false" customHeight="false" outlineLevel="0" collapsed="false">
      <c r="A79" s="0" t="n">
        <v>74</v>
      </c>
      <c r="B79" s="7" t="n">
        <f aca="false">EDATE(DATE(2027,2,5),A79)</f>
        <v>48674</v>
      </c>
      <c r="C79" s="6" t="n">
        <v>0</v>
      </c>
      <c r="D79" s="6" t="n">
        <v>0</v>
      </c>
      <c r="E79" s="6" t="n">
        <v>0</v>
      </c>
      <c r="F79" s="6" t="n">
        <v>1508598.0625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f aca="false">SUM(C79:L79)</f>
        <v>1508598.0625</v>
      </c>
      <c r="N79" s="6" t="n">
        <f aca="false">N78+M79</f>
        <v>705329351.125001</v>
      </c>
      <c r="O79" s="8" t="n">
        <f aca="false">N79/Inputs!$B$12</f>
        <v>0.705329351125001</v>
      </c>
    </row>
    <row r="80" customFormat="false" ht="15" hidden="false" customHeight="false" outlineLevel="0" collapsed="false">
      <c r="A80" s="0" t="n">
        <v>75</v>
      </c>
      <c r="B80" s="7" t="n">
        <f aca="false">EDATE(DATE(2027,2,5),A80)</f>
        <v>48704</v>
      </c>
      <c r="C80" s="6" t="n">
        <v>0</v>
      </c>
      <c r="D80" s="6" t="n">
        <v>0</v>
      </c>
      <c r="E80" s="6" t="n">
        <v>0</v>
      </c>
      <c r="F80" s="6" t="n">
        <v>1508598.0625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f aca="false">SUM(C80:L80)</f>
        <v>1508598.0625</v>
      </c>
      <c r="N80" s="6" t="n">
        <f aca="false">N79+M80</f>
        <v>706837949.187501</v>
      </c>
      <c r="O80" s="8" t="n">
        <f aca="false">N80/Inputs!$B$12</f>
        <v>0.706837949187501</v>
      </c>
    </row>
    <row r="81" customFormat="false" ht="15" hidden="false" customHeight="false" outlineLevel="0" collapsed="false">
      <c r="A81" s="0" t="n">
        <v>76</v>
      </c>
      <c r="B81" s="7" t="n">
        <f aca="false">EDATE(DATE(2027,2,5),A81)</f>
        <v>48735</v>
      </c>
      <c r="C81" s="6" t="n">
        <v>0</v>
      </c>
      <c r="D81" s="6" t="n">
        <v>0</v>
      </c>
      <c r="E81" s="6" t="n">
        <v>0</v>
      </c>
      <c r="F81" s="6" t="n">
        <v>1508598.0625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f aca="false">SUM(C81:L81)</f>
        <v>1508598.0625</v>
      </c>
      <c r="N81" s="6" t="n">
        <f aca="false">N80+M81</f>
        <v>708346547.250001</v>
      </c>
      <c r="O81" s="8" t="n">
        <f aca="false">N81/Inputs!$B$12</f>
        <v>0.708346547250001</v>
      </c>
    </row>
    <row r="82" customFormat="false" ht="15" hidden="false" customHeight="false" outlineLevel="0" collapsed="false">
      <c r="A82" s="0" t="n">
        <v>77</v>
      </c>
      <c r="B82" s="7" t="n">
        <f aca="false">EDATE(DATE(2027,2,5),A82)</f>
        <v>48765</v>
      </c>
      <c r="C82" s="6" t="n">
        <v>0</v>
      </c>
      <c r="D82" s="6" t="n">
        <v>0</v>
      </c>
      <c r="E82" s="6" t="n">
        <v>0</v>
      </c>
      <c r="F82" s="6" t="n">
        <v>1508598.0625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f aca="false">SUM(C82:L82)</f>
        <v>1508598.0625</v>
      </c>
      <c r="N82" s="6" t="n">
        <f aca="false">N81+M82</f>
        <v>709855145.312501</v>
      </c>
      <c r="O82" s="8" t="n">
        <f aca="false">N82/Inputs!$B$12</f>
        <v>0.709855145312501</v>
      </c>
    </row>
    <row r="83" customFormat="false" ht="15" hidden="false" customHeight="false" outlineLevel="0" collapsed="false">
      <c r="A83" s="0" t="n">
        <v>78</v>
      </c>
      <c r="B83" s="7" t="n">
        <f aca="false">EDATE(DATE(2027,2,5),A83)</f>
        <v>48796</v>
      </c>
      <c r="C83" s="6" t="n">
        <v>0</v>
      </c>
      <c r="D83" s="6" t="n">
        <v>0</v>
      </c>
      <c r="E83" s="6" t="n">
        <v>0</v>
      </c>
      <c r="F83" s="6" t="n">
        <v>1508598.0625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f aca="false">SUM(C83:L83)</f>
        <v>1508598.0625</v>
      </c>
      <c r="N83" s="6" t="n">
        <f aca="false">N82+M83</f>
        <v>711363743.375001</v>
      </c>
      <c r="O83" s="8" t="n">
        <f aca="false">N83/Inputs!$B$12</f>
        <v>0.711363743375001</v>
      </c>
    </row>
    <row r="84" customFormat="false" ht="15" hidden="false" customHeight="false" outlineLevel="0" collapsed="false">
      <c r="A84" s="0" t="n">
        <v>79</v>
      </c>
      <c r="B84" s="7" t="n">
        <f aca="false">EDATE(DATE(2027,2,5),A84)</f>
        <v>48827</v>
      </c>
      <c r="C84" s="6" t="n">
        <v>0</v>
      </c>
      <c r="D84" s="6" t="n">
        <v>0</v>
      </c>
      <c r="E84" s="6" t="n">
        <v>0</v>
      </c>
      <c r="F84" s="6" t="n">
        <v>1508598.0625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f aca="false">SUM(C84:L84)</f>
        <v>1508598.0625</v>
      </c>
      <c r="N84" s="6" t="n">
        <f aca="false">N83+M84</f>
        <v>712872341.437501</v>
      </c>
      <c r="O84" s="8" t="n">
        <f aca="false">N84/Inputs!$B$12</f>
        <v>0.712872341437501</v>
      </c>
    </row>
    <row r="85" customFormat="false" ht="15" hidden="false" customHeight="false" outlineLevel="0" collapsed="false">
      <c r="A85" s="0" t="n">
        <v>80</v>
      </c>
      <c r="B85" s="7" t="n">
        <f aca="false">EDATE(DATE(2027,2,5),A85)</f>
        <v>48857</v>
      </c>
      <c r="C85" s="6" t="n">
        <v>0</v>
      </c>
      <c r="D85" s="6" t="n">
        <v>0</v>
      </c>
      <c r="E85" s="6" t="n">
        <v>0</v>
      </c>
      <c r="F85" s="6" t="n">
        <v>1508598.0625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f aca="false">SUM(C85:L85)</f>
        <v>1508598.0625</v>
      </c>
      <c r="N85" s="6" t="n">
        <f aca="false">N84+M85</f>
        <v>714380939.500001</v>
      </c>
      <c r="O85" s="8" t="n">
        <f aca="false">N85/Inputs!$B$12</f>
        <v>0.714380939500001</v>
      </c>
    </row>
    <row r="86" customFormat="false" ht="15" hidden="false" customHeight="false" outlineLevel="0" collapsed="false">
      <c r="A86" s="0" t="n">
        <v>81</v>
      </c>
      <c r="B86" s="7" t="n">
        <f aca="false">EDATE(DATE(2027,2,5),A86)</f>
        <v>48888</v>
      </c>
      <c r="C86" s="6" t="n">
        <v>0</v>
      </c>
      <c r="D86" s="6" t="n">
        <v>0</v>
      </c>
      <c r="E86" s="6" t="n">
        <v>0</v>
      </c>
      <c r="F86" s="6" t="n">
        <v>1508598.0625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f aca="false">SUM(C86:L86)</f>
        <v>1508598.0625</v>
      </c>
      <c r="N86" s="6" t="n">
        <f aca="false">N85+M86</f>
        <v>715889537.562501</v>
      </c>
      <c r="O86" s="8" t="n">
        <f aca="false">N86/Inputs!$B$12</f>
        <v>0.715889537562501</v>
      </c>
    </row>
    <row r="87" customFormat="false" ht="15" hidden="false" customHeight="false" outlineLevel="0" collapsed="false">
      <c r="A87" s="0" t="n">
        <v>82</v>
      </c>
      <c r="B87" s="7" t="n">
        <f aca="false">EDATE(DATE(2027,2,5),A87)</f>
        <v>48918</v>
      </c>
      <c r="C87" s="6" t="n">
        <v>0</v>
      </c>
      <c r="D87" s="6" t="n">
        <v>0</v>
      </c>
      <c r="E87" s="6" t="n">
        <v>0</v>
      </c>
      <c r="F87" s="6" t="n">
        <v>1508598.0625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f aca="false">SUM(C87:L87)</f>
        <v>1508598.0625</v>
      </c>
      <c r="N87" s="6" t="n">
        <f aca="false">N86+M87</f>
        <v>717398135.625001</v>
      </c>
      <c r="O87" s="8" t="n">
        <f aca="false">N87/Inputs!$B$12</f>
        <v>0.717398135625001</v>
      </c>
    </row>
    <row r="88" customFormat="false" ht="15" hidden="false" customHeight="false" outlineLevel="0" collapsed="false">
      <c r="A88" s="0" t="n">
        <v>83</v>
      </c>
      <c r="B88" s="7" t="n">
        <f aca="false">EDATE(DATE(2027,2,5),A88)</f>
        <v>48949</v>
      </c>
      <c r="C88" s="6" t="n">
        <v>0</v>
      </c>
      <c r="D88" s="6" t="n">
        <v>0</v>
      </c>
      <c r="E88" s="6" t="n">
        <v>0</v>
      </c>
      <c r="F88" s="6" t="n">
        <v>1508598.0625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f aca="false">SUM(C88:L88)</f>
        <v>1508598.0625</v>
      </c>
      <c r="N88" s="6" t="n">
        <f aca="false">N87+M88</f>
        <v>718906733.687501</v>
      </c>
      <c r="O88" s="8" t="n">
        <f aca="false">N88/Inputs!$B$12</f>
        <v>0.718906733687501</v>
      </c>
    </row>
    <row r="89" customFormat="false" ht="15" hidden="false" customHeight="false" outlineLevel="0" collapsed="false">
      <c r="A89" s="0" t="n">
        <v>84</v>
      </c>
      <c r="B89" s="7" t="n">
        <f aca="false">EDATE(DATE(2027,2,5),A89)</f>
        <v>48980</v>
      </c>
      <c r="C89" s="6" t="n">
        <v>0</v>
      </c>
      <c r="D89" s="6" t="n">
        <v>0</v>
      </c>
      <c r="E89" s="6" t="n">
        <v>0</v>
      </c>
      <c r="F89" s="6" t="n">
        <v>1508598.0625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f aca="false">SUM(C89:L89)</f>
        <v>1508598.0625</v>
      </c>
      <c r="N89" s="6" t="n">
        <f aca="false">N88+M89</f>
        <v>720415331.750001</v>
      </c>
      <c r="O89" s="8" t="n">
        <f aca="false">N89/Inputs!$B$12</f>
        <v>0.720415331750001</v>
      </c>
    </row>
    <row r="90" customFormat="false" ht="15" hidden="false" customHeight="false" outlineLevel="0" collapsed="false">
      <c r="A90" s="9" t="s">
        <v>35</v>
      </c>
      <c r="C90" s="6" t="n">
        <f aca="false">SUM(C5:C89)</f>
        <v>100000000</v>
      </c>
      <c r="D90" s="6" t="n">
        <f aca="false">SUM(D5:D89)</f>
        <v>195000000</v>
      </c>
      <c r="E90" s="6" t="n">
        <f aca="false">SUM(E5:E89)</f>
        <v>15000000</v>
      </c>
      <c r="F90" s="6" t="n">
        <f aca="false">SUM(F5:F89)</f>
        <v>205415331.75</v>
      </c>
      <c r="G90" s="6" t="n">
        <f aca="false">SUM(G5:G89)</f>
        <v>50000000</v>
      </c>
      <c r="H90" s="6" t="n">
        <f aca="false">SUM(H5:H89)</f>
        <v>50000000</v>
      </c>
      <c r="I90" s="6" t="n">
        <f aca="false">SUM(I5:I89)</f>
        <v>40000000</v>
      </c>
      <c r="J90" s="6" t="n">
        <f aca="false">SUM(J5:J89)</f>
        <v>50000000</v>
      </c>
      <c r="K90" s="6" t="n">
        <f aca="false">SUM(K5:K89)</f>
        <v>10000000</v>
      </c>
      <c r="L90" s="6" t="n">
        <f aca="false">SUM(L5:L89)</f>
        <v>5000000</v>
      </c>
      <c r="M90" s="6" t="n">
        <f aca="false">SUM(M5:M89)</f>
        <v>720415331.75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8" min="7" style="0" width="2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2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0" t="s">
        <v>37</v>
      </c>
    </row>
    <row r="4" customFormat="false" ht="28.35" hidden="false" customHeight="false" outlineLevel="0" collapsed="false">
      <c r="A4" s="2" t="s">
        <v>20</v>
      </c>
      <c r="B4" s="2" t="s">
        <v>21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</row>
    <row r="5" customFormat="false" ht="15" hidden="false" customHeight="false" outlineLevel="0" collapsed="false">
      <c r="A5" s="0" t="n">
        <v>0</v>
      </c>
      <c r="B5" s="7" t="n">
        <f aca="false">Unlocks!B5</f>
        <v>46423</v>
      </c>
      <c r="C5" s="6" t="n">
        <f aca="false">Unlocks!M5</f>
        <v>53000000</v>
      </c>
      <c r="D5" s="10" t="n">
        <f aca="false">C5*Inputs!$B$5</f>
        <v>8480000</v>
      </c>
      <c r="E5" s="10" t="n">
        <f aca="false">C5*Inputs!$B$9</f>
        <v>10600000</v>
      </c>
      <c r="F5" s="10" t="n">
        <f aca="false">C5*Inputs!$B$6</f>
        <v>5129994.54575108</v>
      </c>
      <c r="G5" s="10" t="n">
        <f aca="false">C5*Inputs!$B$7</f>
        <v>9097190.67766587</v>
      </c>
      <c r="H5" s="10" t="n">
        <f aca="false">C5*Inputs!$B$8</f>
        <v>11627988.6124694</v>
      </c>
      <c r="I5" s="11" t="str">
        <f aca="false">IF(Inputs!$B$11="","",Inputs!$B$11)</f>
        <v/>
      </c>
      <c r="J5" s="8" t="str">
        <f aca="false">IF(OR(I5="",I5=0),"INPUT REQUIRED",D5/I5)</f>
        <v>INPUT REQUIRED</v>
      </c>
      <c r="K5" s="8" t="str">
        <f aca="false">IF(OR(I5="",I5=0),"INPUT REQUIRED",E5/I5)</f>
        <v>INPUT REQUIRED</v>
      </c>
    </row>
    <row r="6" customFormat="false" ht="15" hidden="false" customHeight="false" outlineLevel="0" collapsed="false">
      <c r="A6" s="0" t="n">
        <v>1</v>
      </c>
      <c r="B6" s="7" t="n">
        <f aca="false">Unlocks!B6</f>
        <v>46451</v>
      </c>
      <c r="C6" s="6" t="n">
        <f aca="false">Unlocks!M6</f>
        <v>6500000</v>
      </c>
      <c r="D6" s="10" t="n">
        <f aca="false">C6*Inputs!$B$5</f>
        <v>1040000</v>
      </c>
      <c r="E6" s="10" t="n">
        <f aca="false">C6*Inputs!$B$9</f>
        <v>1300000</v>
      </c>
      <c r="F6" s="10" t="n">
        <f aca="false">C6*Inputs!$B$6</f>
        <v>629150.274478906</v>
      </c>
      <c r="G6" s="10" t="n">
        <f aca="false">C6*Inputs!$B$7</f>
        <v>1115693.19631751</v>
      </c>
      <c r="H6" s="10" t="n">
        <f aca="false">C6*Inputs!$B$8</f>
        <v>1426074.07511417</v>
      </c>
      <c r="I6" s="11" t="str">
        <f aca="false">IF(Inputs!$B$11="","",Inputs!$B$11)</f>
        <v/>
      </c>
      <c r="J6" s="8" t="str">
        <f aca="false">IF(OR(I6="",I6=0),"INPUT REQUIRED",D6/I6)</f>
        <v>INPUT REQUIRED</v>
      </c>
      <c r="K6" s="8" t="str">
        <f aca="false">IF(OR(I6="",I6=0),"INPUT REQUIRED",E6/I6)</f>
        <v>INPUT REQUIRED</v>
      </c>
    </row>
    <row r="7" customFormat="false" ht="15" hidden="false" customHeight="false" outlineLevel="0" collapsed="false">
      <c r="A7" s="0" t="n">
        <v>2</v>
      </c>
      <c r="B7" s="7" t="n">
        <f aca="false">Unlocks!B7</f>
        <v>46482</v>
      </c>
      <c r="C7" s="6" t="n">
        <f aca="false">Unlocks!M7</f>
        <v>6500000</v>
      </c>
      <c r="D7" s="10" t="n">
        <f aca="false">C7*Inputs!$B$5</f>
        <v>1040000</v>
      </c>
      <c r="E7" s="10" t="n">
        <f aca="false">C7*Inputs!$B$9</f>
        <v>1300000</v>
      </c>
      <c r="F7" s="10" t="n">
        <f aca="false">C7*Inputs!$B$6</f>
        <v>629150.274478906</v>
      </c>
      <c r="G7" s="10" t="n">
        <f aca="false">C7*Inputs!$B$7</f>
        <v>1115693.19631751</v>
      </c>
      <c r="H7" s="10" t="n">
        <f aca="false">C7*Inputs!$B$8</f>
        <v>1426074.07511417</v>
      </c>
      <c r="I7" s="11" t="str">
        <f aca="false">IF(Inputs!$B$11="","",Inputs!$B$11)</f>
        <v/>
      </c>
      <c r="J7" s="8" t="str">
        <f aca="false">IF(OR(I7="",I7=0),"INPUT REQUIRED",D7/I7)</f>
        <v>INPUT REQUIRED</v>
      </c>
      <c r="K7" s="8" t="str">
        <f aca="false">IF(OR(I7="",I7=0),"INPUT REQUIRED",E7/I7)</f>
        <v>INPUT REQUIRED</v>
      </c>
    </row>
    <row r="8" customFormat="false" ht="15" hidden="false" customHeight="false" outlineLevel="0" collapsed="false">
      <c r="A8" s="0" t="n">
        <v>3</v>
      </c>
      <c r="B8" s="7" t="n">
        <f aca="false">Unlocks!B8</f>
        <v>46512</v>
      </c>
      <c r="C8" s="6" t="n">
        <f aca="false">Unlocks!M8</f>
        <v>500000</v>
      </c>
      <c r="D8" s="10" t="n">
        <f aca="false">C8*Inputs!$B$5</f>
        <v>80000</v>
      </c>
      <c r="E8" s="10" t="n">
        <f aca="false">C8*Inputs!$B$9</f>
        <v>100000</v>
      </c>
      <c r="F8" s="10" t="n">
        <f aca="false">C8*Inputs!$B$6</f>
        <v>48396.1749599159</v>
      </c>
      <c r="G8" s="10" t="n">
        <f aca="false">C8*Inputs!$B$7</f>
        <v>85822.5535628856</v>
      </c>
      <c r="H8" s="10" t="n">
        <f aca="false">C8*Inputs!$B$8</f>
        <v>109698.005778013</v>
      </c>
      <c r="I8" s="11" t="str">
        <f aca="false">IF(Inputs!$B$11="","",Inputs!$B$11)</f>
        <v/>
      </c>
      <c r="J8" s="8" t="str">
        <f aca="false">IF(OR(I8="",I8=0),"INPUT REQUIRED",D8/I8)</f>
        <v>INPUT REQUIRED</v>
      </c>
      <c r="K8" s="8" t="str">
        <f aca="false">IF(OR(I8="",I8=0),"INPUT REQUIRED",E8/I8)</f>
        <v>INPUT REQUIRED</v>
      </c>
    </row>
    <row r="9" customFormat="false" ht="15" hidden="false" customHeight="false" outlineLevel="0" collapsed="false">
      <c r="A9" s="0" t="n">
        <v>4</v>
      </c>
      <c r="B9" s="7" t="n">
        <f aca="false">Unlocks!B9</f>
        <v>46543</v>
      </c>
      <c r="C9" s="6" t="n">
        <f aca="false">Unlocks!M9</f>
        <v>4500000</v>
      </c>
      <c r="D9" s="10" t="n">
        <f aca="false">C9*Inputs!$B$5</f>
        <v>720000</v>
      </c>
      <c r="E9" s="10" t="n">
        <f aca="false">C9*Inputs!$B$9</f>
        <v>900000</v>
      </c>
      <c r="F9" s="10" t="n">
        <f aca="false">C9*Inputs!$B$6</f>
        <v>435565.574639243</v>
      </c>
      <c r="G9" s="10" t="n">
        <f aca="false">C9*Inputs!$B$7</f>
        <v>772402.98206597</v>
      </c>
      <c r="H9" s="10" t="n">
        <f aca="false">C9*Inputs!$B$8</f>
        <v>987282.05200212</v>
      </c>
      <c r="I9" s="11" t="str">
        <f aca="false">IF(Inputs!$B$11="","",Inputs!$B$11)</f>
        <v/>
      </c>
      <c r="J9" s="8" t="str">
        <f aca="false">IF(OR(I9="",I9=0),"INPUT REQUIRED",D9/I9)</f>
        <v>INPUT REQUIRED</v>
      </c>
      <c r="K9" s="8" t="str">
        <f aca="false">IF(OR(I9="",I9=0),"INPUT REQUIRED",E9/I9)</f>
        <v>INPUT REQUIRED</v>
      </c>
    </row>
    <row r="10" customFormat="false" ht="15" hidden="false" customHeight="false" outlineLevel="0" collapsed="false">
      <c r="A10" s="0" t="n">
        <v>5</v>
      </c>
      <c r="B10" s="7" t="n">
        <f aca="false">Unlocks!B10</f>
        <v>46573</v>
      </c>
      <c r="C10" s="6" t="n">
        <f aca="false">Unlocks!M10</f>
        <v>4500000</v>
      </c>
      <c r="D10" s="10" t="n">
        <f aca="false">C10*Inputs!$B$5</f>
        <v>720000</v>
      </c>
      <c r="E10" s="10" t="n">
        <f aca="false">C10*Inputs!$B$9</f>
        <v>900000</v>
      </c>
      <c r="F10" s="10" t="n">
        <f aca="false">C10*Inputs!$B$6</f>
        <v>435565.574639243</v>
      </c>
      <c r="G10" s="10" t="n">
        <f aca="false">C10*Inputs!$B$7</f>
        <v>772402.98206597</v>
      </c>
      <c r="H10" s="10" t="n">
        <f aca="false">C10*Inputs!$B$8</f>
        <v>987282.05200212</v>
      </c>
      <c r="I10" s="11" t="str">
        <f aca="false">IF(Inputs!$B$11="","",Inputs!$B$11)</f>
        <v/>
      </c>
      <c r="J10" s="8" t="str">
        <f aca="false">IF(OR(I10="",I10=0),"INPUT REQUIRED",D10/I10)</f>
        <v>INPUT REQUIRED</v>
      </c>
      <c r="K10" s="8" t="str">
        <f aca="false">IF(OR(I10="",I10=0),"INPUT REQUIRED",E10/I10)</f>
        <v>INPUT REQUIRED</v>
      </c>
    </row>
    <row r="11" customFormat="false" ht="15" hidden="false" customHeight="false" outlineLevel="0" collapsed="false">
      <c r="A11" s="0" t="n">
        <v>6</v>
      </c>
      <c r="B11" s="7" t="n">
        <f aca="false">Unlocks!B11</f>
        <v>46604</v>
      </c>
      <c r="C11" s="6" t="n">
        <f aca="false">Unlocks!M11</f>
        <v>4500000</v>
      </c>
      <c r="D11" s="10" t="n">
        <f aca="false">C11*Inputs!$B$5</f>
        <v>720000</v>
      </c>
      <c r="E11" s="10" t="n">
        <f aca="false">C11*Inputs!$B$9</f>
        <v>900000</v>
      </c>
      <c r="F11" s="10" t="n">
        <f aca="false">C11*Inputs!$B$6</f>
        <v>435565.574639243</v>
      </c>
      <c r="G11" s="10" t="n">
        <f aca="false">C11*Inputs!$B$7</f>
        <v>772402.98206597</v>
      </c>
      <c r="H11" s="10" t="n">
        <f aca="false">C11*Inputs!$B$8</f>
        <v>987282.05200212</v>
      </c>
      <c r="I11" s="11" t="str">
        <f aca="false">IF(Inputs!$B$11="","",Inputs!$B$11)</f>
        <v/>
      </c>
      <c r="J11" s="8" t="str">
        <f aca="false">IF(OR(I11="",I11=0),"INPUT REQUIRED",D11/I11)</f>
        <v>INPUT REQUIRED</v>
      </c>
      <c r="K11" s="8" t="str">
        <f aca="false">IF(OR(I11="",I11=0),"INPUT REQUIRED",E11/I11)</f>
        <v>INPUT REQUIRED</v>
      </c>
    </row>
    <row r="12" customFormat="false" ht="15" hidden="false" customHeight="false" outlineLevel="0" collapsed="false">
      <c r="A12" s="0" t="n">
        <v>7</v>
      </c>
      <c r="B12" s="7" t="n">
        <f aca="false">Unlocks!B12</f>
        <v>46635</v>
      </c>
      <c r="C12" s="6" t="n">
        <f aca="false">Unlocks!M12</f>
        <v>6166666.66666667</v>
      </c>
      <c r="D12" s="10" t="n">
        <f aca="false">C12*Inputs!$B$5</f>
        <v>986666.666666667</v>
      </c>
      <c r="E12" s="10" t="n">
        <f aca="false">C12*Inputs!$B$9</f>
        <v>1233333.33333333</v>
      </c>
      <c r="F12" s="10" t="n">
        <f aca="false">C12*Inputs!$B$6</f>
        <v>596886.157838962</v>
      </c>
      <c r="G12" s="10" t="n">
        <f aca="false">C12*Inputs!$B$7</f>
        <v>1058478.16060892</v>
      </c>
      <c r="H12" s="10" t="n">
        <f aca="false">C12*Inputs!$B$8</f>
        <v>1352942.07126216</v>
      </c>
      <c r="I12" s="11" t="str">
        <f aca="false">IF(Inputs!$B$11="","",Inputs!$B$11)</f>
        <v/>
      </c>
      <c r="J12" s="8" t="str">
        <f aca="false">IF(OR(I12="",I12=0),"INPUT REQUIRED",D12/I12)</f>
        <v>INPUT REQUIRED</v>
      </c>
      <c r="K12" s="8" t="str">
        <f aca="false">IF(OR(I12="",I12=0),"INPUT REQUIRED",E12/I12)</f>
        <v>INPUT REQUIRED</v>
      </c>
    </row>
    <row r="13" customFormat="false" ht="15" hidden="false" customHeight="false" outlineLevel="0" collapsed="false">
      <c r="A13" s="0" t="n">
        <v>8</v>
      </c>
      <c r="B13" s="7" t="n">
        <f aca="false">Unlocks!B13</f>
        <v>46665</v>
      </c>
      <c r="C13" s="6" t="n">
        <f aca="false">Unlocks!M13</f>
        <v>6166666.66666667</v>
      </c>
      <c r="D13" s="10" t="n">
        <f aca="false">C13*Inputs!$B$5</f>
        <v>986666.666666667</v>
      </c>
      <c r="E13" s="10" t="n">
        <f aca="false">C13*Inputs!$B$9</f>
        <v>1233333.33333333</v>
      </c>
      <c r="F13" s="10" t="n">
        <f aca="false">C13*Inputs!$B$6</f>
        <v>596886.157838962</v>
      </c>
      <c r="G13" s="10" t="n">
        <f aca="false">C13*Inputs!$B$7</f>
        <v>1058478.16060892</v>
      </c>
      <c r="H13" s="10" t="n">
        <f aca="false">C13*Inputs!$B$8</f>
        <v>1352942.07126216</v>
      </c>
      <c r="I13" s="11" t="str">
        <f aca="false">IF(Inputs!$B$11="","",Inputs!$B$11)</f>
        <v/>
      </c>
      <c r="J13" s="8" t="str">
        <f aca="false">IF(OR(I13="",I13=0),"INPUT REQUIRED",D13/I13)</f>
        <v>INPUT REQUIRED</v>
      </c>
      <c r="K13" s="8" t="str">
        <f aca="false">IF(OR(I13="",I13=0),"INPUT REQUIRED",E13/I13)</f>
        <v>INPUT REQUIRED</v>
      </c>
    </row>
    <row r="14" customFormat="false" ht="15" hidden="false" customHeight="false" outlineLevel="0" collapsed="false">
      <c r="A14" s="0" t="n">
        <v>9</v>
      </c>
      <c r="B14" s="7" t="n">
        <f aca="false">Unlocks!B14</f>
        <v>46696</v>
      </c>
      <c r="C14" s="6" t="n">
        <f aca="false">Unlocks!M14</f>
        <v>6166666.66666667</v>
      </c>
      <c r="D14" s="10" t="n">
        <f aca="false">C14*Inputs!$B$5</f>
        <v>986666.666666667</v>
      </c>
      <c r="E14" s="10" t="n">
        <f aca="false">C14*Inputs!$B$9</f>
        <v>1233333.33333333</v>
      </c>
      <c r="F14" s="10" t="n">
        <f aca="false">C14*Inputs!$B$6</f>
        <v>596886.157838962</v>
      </c>
      <c r="G14" s="10" t="n">
        <f aca="false">C14*Inputs!$B$7</f>
        <v>1058478.16060892</v>
      </c>
      <c r="H14" s="10" t="n">
        <f aca="false">C14*Inputs!$B$8</f>
        <v>1352942.07126216</v>
      </c>
      <c r="I14" s="11" t="str">
        <f aca="false">IF(Inputs!$B$11="","",Inputs!$B$11)</f>
        <v/>
      </c>
      <c r="J14" s="8" t="str">
        <f aca="false">IF(OR(I14="",I14=0),"INPUT REQUIRED",D14/I14)</f>
        <v>INPUT REQUIRED</v>
      </c>
      <c r="K14" s="8" t="str">
        <f aca="false">IF(OR(I14="",I14=0),"INPUT REQUIRED",E14/I14)</f>
        <v>INPUT REQUIRED</v>
      </c>
    </row>
    <row r="15" customFormat="false" ht="15" hidden="false" customHeight="false" outlineLevel="0" collapsed="false">
      <c r="A15" s="0" t="n">
        <v>10</v>
      </c>
      <c r="B15" s="7" t="n">
        <f aca="false">Unlocks!B15</f>
        <v>46726</v>
      </c>
      <c r="C15" s="6" t="n">
        <f aca="false">Unlocks!M15</f>
        <v>6166666.66666667</v>
      </c>
      <c r="D15" s="10" t="n">
        <f aca="false">C15*Inputs!$B$5</f>
        <v>986666.666666667</v>
      </c>
      <c r="E15" s="10" t="n">
        <f aca="false">C15*Inputs!$B$9</f>
        <v>1233333.33333333</v>
      </c>
      <c r="F15" s="10" t="n">
        <f aca="false">C15*Inputs!$B$6</f>
        <v>596886.157838962</v>
      </c>
      <c r="G15" s="10" t="n">
        <f aca="false">C15*Inputs!$B$7</f>
        <v>1058478.16060892</v>
      </c>
      <c r="H15" s="10" t="n">
        <f aca="false">C15*Inputs!$B$8</f>
        <v>1352942.07126216</v>
      </c>
      <c r="I15" s="11" t="str">
        <f aca="false">IF(Inputs!$B$11="","",Inputs!$B$11)</f>
        <v/>
      </c>
      <c r="J15" s="8" t="str">
        <f aca="false">IF(OR(I15="",I15=0),"INPUT REQUIRED",D15/I15)</f>
        <v>INPUT REQUIRED</v>
      </c>
      <c r="K15" s="8" t="str">
        <f aca="false">IF(OR(I15="",I15=0),"INPUT REQUIRED",E15/I15)</f>
        <v>INPUT REQUIRED</v>
      </c>
    </row>
    <row r="16" customFormat="false" ht="15" hidden="false" customHeight="false" outlineLevel="0" collapsed="false">
      <c r="A16" s="0" t="n">
        <v>11</v>
      </c>
      <c r="B16" s="7" t="n">
        <f aca="false">Unlocks!B16</f>
        <v>46757</v>
      </c>
      <c r="C16" s="6" t="n">
        <f aca="false">Unlocks!M16</f>
        <v>6166666.66666667</v>
      </c>
      <c r="D16" s="10" t="n">
        <f aca="false">C16*Inputs!$B$5</f>
        <v>986666.666666667</v>
      </c>
      <c r="E16" s="10" t="n">
        <f aca="false">C16*Inputs!$B$9</f>
        <v>1233333.33333333</v>
      </c>
      <c r="F16" s="10" t="n">
        <f aca="false">C16*Inputs!$B$6</f>
        <v>596886.157838962</v>
      </c>
      <c r="G16" s="10" t="n">
        <f aca="false">C16*Inputs!$B$7</f>
        <v>1058478.16060892</v>
      </c>
      <c r="H16" s="10" t="n">
        <f aca="false">C16*Inputs!$B$8</f>
        <v>1352942.07126216</v>
      </c>
      <c r="I16" s="11" t="str">
        <f aca="false">IF(Inputs!$B$11="","",Inputs!$B$11)</f>
        <v/>
      </c>
      <c r="J16" s="8" t="str">
        <f aca="false">IF(OR(I16="",I16=0),"INPUT REQUIRED",D16/I16)</f>
        <v>INPUT REQUIRED</v>
      </c>
      <c r="K16" s="8" t="str">
        <f aca="false">IF(OR(I16="",I16=0),"INPUT REQUIRED",E16/I16)</f>
        <v>INPUT REQUIRED</v>
      </c>
    </row>
    <row r="17" customFormat="false" ht="15" hidden="false" customHeight="false" outlineLevel="0" collapsed="false">
      <c r="A17" s="0" t="n">
        <v>12</v>
      </c>
      <c r="B17" s="7" t="n">
        <f aca="false">Unlocks!B17</f>
        <v>46788</v>
      </c>
      <c r="C17" s="6" t="n">
        <f aca="false">Unlocks!M17</f>
        <v>6166666.66666667</v>
      </c>
      <c r="D17" s="10" t="n">
        <f aca="false">C17*Inputs!$B$5</f>
        <v>986666.666666667</v>
      </c>
      <c r="E17" s="10" t="n">
        <f aca="false">C17*Inputs!$B$9</f>
        <v>1233333.33333333</v>
      </c>
      <c r="F17" s="10" t="n">
        <f aca="false">C17*Inputs!$B$6</f>
        <v>596886.157838962</v>
      </c>
      <c r="G17" s="10" t="n">
        <f aca="false">C17*Inputs!$B$7</f>
        <v>1058478.16060892</v>
      </c>
      <c r="H17" s="10" t="n">
        <f aca="false">C17*Inputs!$B$8</f>
        <v>1352942.07126216</v>
      </c>
      <c r="I17" s="11" t="str">
        <f aca="false">IF(Inputs!$B$11="","",Inputs!$B$11)</f>
        <v/>
      </c>
      <c r="J17" s="8" t="str">
        <f aca="false">IF(OR(I17="",I17=0),"INPUT REQUIRED",D17/I17)</f>
        <v>INPUT REQUIRED</v>
      </c>
      <c r="K17" s="8" t="str">
        <f aca="false">IF(OR(I17="",I17=0),"INPUT REQUIRED",E17/I17)</f>
        <v>INPUT REQUIRED</v>
      </c>
    </row>
    <row r="18" customFormat="false" ht="15" hidden="false" customHeight="false" outlineLevel="0" collapsed="false">
      <c r="A18" s="0" t="n">
        <v>13</v>
      </c>
      <c r="B18" s="7" t="n">
        <f aca="false">Unlocks!B18</f>
        <v>46817</v>
      </c>
      <c r="C18" s="6" t="n">
        <f aca="false">Unlocks!M18</f>
        <v>17441666.6666667</v>
      </c>
      <c r="D18" s="10" t="n">
        <f aca="false">C18*Inputs!$B$5</f>
        <v>2790666.66666667</v>
      </c>
      <c r="E18" s="10" t="n">
        <f aca="false">C18*Inputs!$B$9</f>
        <v>3488333.33333333</v>
      </c>
      <c r="F18" s="10" t="n">
        <f aca="false">C18*Inputs!$B$6</f>
        <v>1688219.90318507</v>
      </c>
      <c r="G18" s="10" t="n">
        <f aca="false">C18*Inputs!$B$7</f>
        <v>2993776.74345199</v>
      </c>
      <c r="H18" s="10" t="n">
        <f aca="false">C18*Inputs!$B$8</f>
        <v>3826632.10155637</v>
      </c>
      <c r="I18" s="11" t="str">
        <f aca="false">IF(Inputs!$B$11="","",Inputs!$B$11)</f>
        <v/>
      </c>
      <c r="J18" s="8" t="str">
        <f aca="false">IF(OR(I18="",I18=0),"INPUT REQUIRED",D18/I18)</f>
        <v>INPUT REQUIRED</v>
      </c>
      <c r="K18" s="8" t="str">
        <f aca="false">IF(OR(I18="",I18=0),"INPUT REQUIRED",E18/I18)</f>
        <v>INPUT REQUIRED</v>
      </c>
    </row>
    <row r="19" customFormat="false" ht="15" hidden="false" customHeight="false" outlineLevel="0" collapsed="false">
      <c r="A19" s="0" t="n">
        <v>14</v>
      </c>
      <c r="B19" s="7" t="n">
        <f aca="false">Unlocks!B19</f>
        <v>46848</v>
      </c>
      <c r="C19" s="6" t="n">
        <f aca="false">Unlocks!M19</f>
        <v>19441666.6666667</v>
      </c>
      <c r="D19" s="10" t="n">
        <f aca="false">C19*Inputs!$B$5</f>
        <v>3110666.66666667</v>
      </c>
      <c r="E19" s="10" t="n">
        <f aca="false">C19*Inputs!$B$9</f>
        <v>3888333.33333333</v>
      </c>
      <c r="F19" s="10" t="n">
        <f aca="false">C19*Inputs!$B$6</f>
        <v>1881804.60302473</v>
      </c>
      <c r="G19" s="10" t="n">
        <f aca="false">C19*Inputs!$B$7</f>
        <v>3337066.95770353</v>
      </c>
      <c r="H19" s="10" t="n">
        <f aca="false">C19*Inputs!$B$8</f>
        <v>4265424.12466842</v>
      </c>
      <c r="I19" s="11" t="str">
        <f aca="false">IF(Inputs!$B$11="","",Inputs!$B$11)</f>
        <v/>
      </c>
      <c r="J19" s="8" t="str">
        <f aca="false">IF(OR(I19="",I19=0),"INPUT REQUIRED",D19/I19)</f>
        <v>INPUT REQUIRED</v>
      </c>
      <c r="K19" s="8" t="str">
        <f aca="false">IF(OR(I19="",I19=0),"INPUT REQUIRED",E19/I19)</f>
        <v>INPUT REQUIRED</v>
      </c>
    </row>
    <row r="20" customFormat="false" ht="15" hidden="false" customHeight="false" outlineLevel="0" collapsed="false">
      <c r="A20" s="0" t="n">
        <v>15</v>
      </c>
      <c r="B20" s="7" t="n">
        <f aca="false">Unlocks!B20</f>
        <v>46878</v>
      </c>
      <c r="C20" s="6" t="n">
        <f aca="false">Unlocks!M20</f>
        <v>19441666.6666667</v>
      </c>
      <c r="D20" s="10" t="n">
        <f aca="false">C20*Inputs!$B$5</f>
        <v>3110666.66666667</v>
      </c>
      <c r="E20" s="10" t="n">
        <f aca="false">C20*Inputs!$B$9</f>
        <v>3888333.33333333</v>
      </c>
      <c r="F20" s="10" t="n">
        <f aca="false">C20*Inputs!$B$6</f>
        <v>1881804.60302473</v>
      </c>
      <c r="G20" s="10" t="n">
        <f aca="false">C20*Inputs!$B$7</f>
        <v>3337066.95770353</v>
      </c>
      <c r="H20" s="10" t="n">
        <f aca="false">C20*Inputs!$B$8</f>
        <v>4265424.12466842</v>
      </c>
      <c r="I20" s="11" t="str">
        <f aca="false">IF(Inputs!$B$11="","",Inputs!$B$11)</f>
        <v/>
      </c>
      <c r="J20" s="8" t="str">
        <f aca="false">IF(OR(I20="",I20=0),"INPUT REQUIRED",D20/I20)</f>
        <v>INPUT REQUIRED</v>
      </c>
      <c r="K20" s="8" t="str">
        <f aca="false">IF(OR(I20="",I20=0),"INPUT REQUIRED",E20/I20)</f>
        <v>INPUT REQUIRED</v>
      </c>
    </row>
    <row r="21" customFormat="false" ht="15" hidden="false" customHeight="false" outlineLevel="0" collapsed="false">
      <c r="A21" s="0" t="n">
        <v>16</v>
      </c>
      <c r="B21" s="7" t="n">
        <f aca="false">Unlocks!B21</f>
        <v>46909</v>
      </c>
      <c r="C21" s="6" t="n">
        <f aca="false">Unlocks!M21</f>
        <v>19441666.6666667</v>
      </c>
      <c r="D21" s="10" t="n">
        <f aca="false">C21*Inputs!$B$5</f>
        <v>3110666.66666667</v>
      </c>
      <c r="E21" s="10" t="n">
        <f aca="false">C21*Inputs!$B$9</f>
        <v>3888333.33333333</v>
      </c>
      <c r="F21" s="10" t="n">
        <f aca="false">C21*Inputs!$B$6</f>
        <v>1881804.60302473</v>
      </c>
      <c r="G21" s="10" t="n">
        <f aca="false">C21*Inputs!$B$7</f>
        <v>3337066.95770353</v>
      </c>
      <c r="H21" s="10" t="n">
        <f aca="false">C21*Inputs!$B$8</f>
        <v>4265424.12466842</v>
      </c>
      <c r="I21" s="11" t="str">
        <f aca="false">IF(Inputs!$B$11="","",Inputs!$B$11)</f>
        <v/>
      </c>
      <c r="J21" s="8" t="str">
        <f aca="false">IF(OR(I21="",I21=0),"INPUT REQUIRED",D21/I21)</f>
        <v>INPUT REQUIRED</v>
      </c>
      <c r="K21" s="8" t="str">
        <f aca="false">IF(OR(I21="",I21=0),"INPUT REQUIRED",E21/I21)</f>
        <v>INPUT REQUIRED</v>
      </c>
    </row>
    <row r="22" customFormat="false" ht="15" hidden="false" customHeight="false" outlineLevel="0" collapsed="false">
      <c r="A22" s="0" t="n">
        <v>17</v>
      </c>
      <c r="B22" s="7" t="n">
        <f aca="false">Unlocks!B22</f>
        <v>46939</v>
      </c>
      <c r="C22" s="6" t="n">
        <f aca="false">Unlocks!M22</f>
        <v>19441666.6666667</v>
      </c>
      <c r="D22" s="10" t="n">
        <f aca="false">C22*Inputs!$B$5</f>
        <v>3110666.66666667</v>
      </c>
      <c r="E22" s="10" t="n">
        <f aca="false">C22*Inputs!$B$9</f>
        <v>3888333.33333333</v>
      </c>
      <c r="F22" s="10" t="n">
        <f aca="false">C22*Inputs!$B$6</f>
        <v>1881804.60302473</v>
      </c>
      <c r="G22" s="10" t="n">
        <f aca="false">C22*Inputs!$B$7</f>
        <v>3337066.95770353</v>
      </c>
      <c r="H22" s="10" t="n">
        <f aca="false">C22*Inputs!$B$8</f>
        <v>4265424.12466842</v>
      </c>
      <c r="I22" s="11" t="str">
        <f aca="false">IF(Inputs!$B$11="","",Inputs!$B$11)</f>
        <v/>
      </c>
      <c r="J22" s="8" t="str">
        <f aca="false">IF(OR(I22="",I22=0),"INPUT REQUIRED",D22/I22)</f>
        <v>INPUT REQUIRED</v>
      </c>
      <c r="K22" s="8" t="str">
        <f aca="false">IF(OR(I22="",I22=0),"INPUT REQUIRED",E22/I22)</f>
        <v>INPUT REQUIRED</v>
      </c>
    </row>
    <row r="23" customFormat="false" ht="15" hidden="false" customHeight="false" outlineLevel="0" collapsed="false">
      <c r="A23" s="0" t="n">
        <v>18</v>
      </c>
      <c r="B23" s="7" t="n">
        <f aca="false">Unlocks!B23</f>
        <v>46970</v>
      </c>
      <c r="C23" s="6" t="n">
        <f aca="false">Unlocks!M23</f>
        <v>19441666.6666667</v>
      </c>
      <c r="D23" s="10" t="n">
        <f aca="false">C23*Inputs!$B$5</f>
        <v>3110666.66666667</v>
      </c>
      <c r="E23" s="10" t="n">
        <f aca="false">C23*Inputs!$B$9</f>
        <v>3888333.33333333</v>
      </c>
      <c r="F23" s="10" t="n">
        <f aca="false">C23*Inputs!$B$6</f>
        <v>1881804.60302473</v>
      </c>
      <c r="G23" s="10" t="n">
        <f aca="false">C23*Inputs!$B$7</f>
        <v>3337066.95770353</v>
      </c>
      <c r="H23" s="10" t="n">
        <f aca="false">C23*Inputs!$B$8</f>
        <v>4265424.12466842</v>
      </c>
      <c r="I23" s="11" t="str">
        <f aca="false">IF(Inputs!$B$11="","",Inputs!$B$11)</f>
        <v/>
      </c>
      <c r="J23" s="8" t="str">
        <f aca="false">IF(OR(I23="",I23=0),"INPUT REQUIRED",D23/I23)</f>
        <v>INPUT REQUIRED</v>
      </c>
      <c r="K23" s="8" t="str">
        <f aca="false">IF(OR(I23="",I23=0),"INPUT REQUIRED",E23/I23)</f>
        <v>INPUT REQUIRED</v>
      </c>
    </row>
    <row r="24" customFormat="false" ht="15" hidden="false" customHeight="false" outlineLevel="0" collapsed="false">
      <c r="A24" s="0" t="n">
        <v>19</v>
      </c>
      <c r="B24" s="7" t="n">
        <f aca="false">Unlocks!B24</f>
        <v>47001</v>
      </c>
      <c r="C24" s="6" t="n">
        <f aca="false">Unlocks!M24</f>
        <v>19441666.6666667</v>
      </c>
      <c r="D24" s="10" t="n">
        <f aca="false">C24*Inputs!$B$5</f>
        <v>3110666.66666667</v>
      </c>
      <c r="E24" s="10" t="n">
        <f aca="false">C24*Inputs!$B$9</f>
        <v>3888333.33333333</v>
      </c>
      <c r="F24" s="10" t="n">
        <f aca="false">C24*Inputs!$B$6</f>
        <v>1881804.60302473</v>
      </c>
      <c r="G24" s="10" t="n">
        <f aca="false">C24*Inputs!$B$7</f>
        <v>3337066.95770353</v>
      </c>
      <c r="H24" s="10" t="n">
        <f aca="false">C24*Inputs!$B$8</f>
        <v>4265424.12466842</v>
      </c>
      <c r="I24" s="11" t="str">
        <f aca="false">IF(Inputs!$B$11="","",Inputs!$B$11)</f>
        <v/>
      </c>
      <c r="J24" s="8" t="str">
        <f aca="false">IF(OR(I24="",I24=0),"INPUT REQUIRED",D24/I24)</f>
        <v>INPUT REQUIRED</v>
      </c>
      <c r="K24" s="8" t="str">
        <f aca="false">IF(OR(I24="",I24=0),"INPUT REQUIRED",E24/I24)</f>
        <v>INPUT REQUIRED</v>
      </c>
    </row>
    <row r="25" customFormat="false" ht="15" hidden="false" customHeight="false" outlineLevel="0" collapsed="false">
      <c r="A25" s="0" t="n">
        <v>20</v>
      </c>
      <c r="B25" s="7" t="n">
        <f aca="false">Unlocks!B25</f>
        <v>47031</v>
      </c>
      <c r="C25" s="6" t="n">
        <f aca="false">Unlocks!M25</f>
        <v>19441666.6666667</v>
      </c>
      <c r="D25" s="10" t="n">
        <f aca="false">C25*Inputs!$B$5</f>
        <v>3110666.66666667</v>
      </c>
      <c r="E25" s="10" t="n">
        <f aca="false">C25*Inputs!$B$9</f>
        <v>3888333.33333333</v>
      </c>
      <c r="F25" s="10" t="n">
        <f aca="false">C25*Inputs!$B$6</f>
        <v>1881804.60302473</v>
      </c>
      <c r="G25" s="10" t="n">
        <f aca="false">C25*Inputs!$B$7</f>
        <v>3337066.95770353</v>
      </c>
      <c r="H25" s="10" t="n">
        <f aca="false">C25*Inputs!$B$8</f>
        <v>4265424.12466842</v>
      </c>
      <c r="I25" s="11" t="str">
        <f aca="false">IF(Inputs!$B$11="","",Inputs!$B$11)</f>
        <v/>
      </c>
      <c r="J25" s="8" t="str">
        <f aca="false">IF(OR(I25="",I25=0),"INPUT REQUIRED",D25/I25)</f>
        <v>INPUT REQUIRED</v>
      </c>
      <c r="K25" s="8" t="str">
        <f aca="false">IF(OR(I25="",I25=0),"INPUT REQUIRED",E25/I25)</f>
        <v>INPUT REQUIRED</v>
      </c>
    </row>
    <row r="26" customFormat="false" ht="15" hidden="false" customHeight="false" outlineLevel="0" collapsed="false">
      <c r="A26" s="0" t="n">
        <v>21</v>
      </c>
      <c r="B26" s="7" t="n">
        <f aca="false">Unlocks!B26</f>
        <v>47062</v>
      </c>
      <c r="C26" s="6" t="n">
        <f aca="false">Unlocks!M26</f>
        <v>19441666.6666667</v>
      </c>
      <c r="D26" s="10" t="n">
        <f aca="false">C26*Inputs!$B$5</f>
        <v>3110666.66666667</v>
      </c>
      <c r="E26" s="10" t="n">
        <f aca="false">C26*Inputs!$B$9</f>
        <v>3888333.33333333</v>
      </c>
      <c r="F26" s="10" t="n">
        <f aca="false">C26*Inputs!$B$6</f>
        <v>1881804.60302473</v>
      </c>
      <c r="G26" s="10" t="n">
        <f aca="false">C26*Inputs!$B$7</f>
        <v>3337066.95770353</v>
      </c>
      <c r="H26" s="10" t="n">
        <f aca="false">C26*Inputs!$B$8</f>
        <v>4265424.12466842</v>
      </c>
      <c r="I26" s="11" t="str">
        <f aca="false">IF(Inputs!$B$11="","",Inputs!$B$11)</f>
        <v/>
      </c>
      <c r="J26" s="8" t="str">
        <f aca="false">IF(OR(I26="",I26=0),"INPUT REQUIRED",D26/I26)</f>
        <v>INPUT REQUIRED</v>
      </c>
      <c r="K26" s="8" t="str">
        <f aca="false">IF(OR(I26="",I26=0),"INPUT REQUIRED",E26/I26)</f>
        <v>INPUT REQUIRED</v>
      </c>
    </row>
    <row r="27" customFormat="false" ht="15" hidden="false" customHeight="false" outlineLevel="0" collapsed="false">
      <c r="A27" s="0" t="n">
        <v>22</v>
      </c>
      <c r="B27" s="7" t="n">
        <f aca="false">Unlocks!B27</f>
        <v>47092</v>
      </c>
      <c r="C27" s="6" t="n">
        <f aca="false">Unlocks!M27</f>
        <v>19441666.6666667</v>
      </c>
      <c r="D27" s="10" t="n">
        <f aca="false">C27*Inputs!$B$5</f>
        <v>3110666.66666667</v>
      </c>
      <c r="E27" s="10" t="n">
        <f aca="false">C27*Inputs!$B$9</f>
        <v>3888333.33333333</v>
      </c>
      <c r="F27" s="10" t="n">
        <f aca="false">C27*Inputs!$B$6</f>
        <v>1881804.60302473</v>
      </c>
      <c r="G27" s="10" t="n">
        <f aca="false">C27*Inputs!$B$7</f>
        <v>3337066.95770353</v>
      </c>
      <c r="H27" s="10" t="n">
        <f aca="false">C27*Inputs!$B$8</f>
        <v>4265424.12466842</v>
      </c>
      <c r="I27" s="11" t="str">
        <f aca="false">IF(Inputs!$B$11="","",Inputs!$B$11)</f>
        <v/>
      </c>
      <c r="J27" s="8" t="str">
        <f aca="false">IF(OR(I27="",I27=0),"INPUT REQUIRED",D27/I27)</f>
        <v>INPUT REQUIRED</v>
      </c>
      <c r="K27" s="8" t="str">
        <f aca="false">IF(OR(I27="",I27=0),"INPUT REQUIRED",E27/I27)</f>
        <v>INPUT REQUIRED</v>
      </c>
    </row>
    <row r="28" customFormat="false" ht="15" hidden="false" customHeight="false" outlineLevel="0" collapsed="false">
      <c r="A28" s="0" t="n">
        <v>23</v>
      </c>
      <c r="B28" s="7" t="n">
        <f aca="false">Unlocks!B28</f>
        <v>47123</v>
      </c>
      <c r="C28" s="6" t="n">
        <f aca="false">Unlocks!M28</f>
        <v>19441666.6666667</v>
      </c>
      <c r="D28" s="10" t="n">
        <f aca="false">C28*Inputs!$B$5</f>
        <v>3110666.66666667</v>
      </c>
      <c r="E28" s="10" t="n">
        <f aca="false">C28*Inputs!$B$9</f>
        <v>3888333.33333333</v>
      </c>
      <c r="F28" s="10" t="n">
        <f aca="false">C28*Inputs!$B$6</f>
        <v>1881804.60302473</v>
      </c>
      <c r="G28" s="10" t="n">
        <f aca="false">C28*Inputs!$B$7</f>
        <v>3337066.95770353</v>
      </c>
      <c r="H28" s="10" t="n">
        <f aca="false">C28*Inputs!$B$8</f>
        <v>4265424.12466842</v>
      </c>
      <c r="I28" s="11" t="str">
        <f aca="false">IF(Inputs!$B$11="","",Inputs!$B$11)</f>
        <v/>
      </c>
      <c r="J28" s="8" t="str">
        <f aca="false">IF(OR(I28="",I28=0),"INPUT REQUIRED",D28/I28)</f>
        <v>INPUT REQUIRED</v>
      </c>
      <c r="K28" s="8" t="str">
        <f aca="false">IF(OR(I28="",I28=0),"INPUT REQUIRED",E28/I28)</f>
        <v>INPUT REQUIRED</v>
      </c>
    </row>
    <row r="29" customFormat="false" ht="15" hidden="false" customHeight="false" outlineLevel="0" collapsed="false">
      <c r="A29" s="0" t="n">
        <v>24</v>
      </c>
      <c r="B29" s="7" t="n">
        <f aca="false">Unlocks!B29</f>
        <v>47154</v>
      </c>
      <c r="C29" s="6" t="n">
        <f aca="false">Unlocks!M29</f>
        <v>19441666.6666667</v>
      </c>
      <c r="D29" s="10" t="n">
        <f aca="false">C29*Inputs!$B$5</f>
        <v>3110666.66666667</v>
      </c>
      <c r="E29" s="10" t="n">
        <f aca="false">C29*Inputs!$B$9</f>
        <v>3888333.33333333</v>
      </c>
      <c r="F29" s="10" t="n">
        <f aca="false">C29*Inputs!$B$6</f>
        <v>1881804.60302473</v>
      </c>
      <c r="G29" s="10" t="n">
        <f aca="false">C29*Inputs!$B$7</f>
        <v>3337066.95770353</v>
      </c>
      <c r="H29" s="10" t="n">
        <f aca="false">C29*Inputs!$B$8</f>
        <v>4265424.12466842</v>
      </c>
      <c r="I29" s="11" t="str">
        <f aca="false">IF(Inputs!$B$11="","",Inputs!$B$11)</f>
        <v/>
      </c>
      <c r="J29" s="8" t="str">
        <f aca="false">IF(OR(I29="",I29=0),"INPUT REQUIRED",D29/I29)</f>
        <v>INPUT REQUIRED</v>
      </c>
      <c r="K29" s="8" t="str">
        <f aca="false">IF(OR(I29="",I29=0),"INPUT REQUIRED",E29/I29)</f>
        <v>INPUT REQUIRED</v>
      </c>
    </row>
    <row r="30" customFormat="false" ht="15" hidden="false" customHeight="false" outlineLevel="0" collapsed="false">
      <c r="A30" s="0" t="n">
        <v>25</v>
      </c>
      <c r="B30" s="7" t="n">
        <f aca="false">Unlocks!B30</f>
        <v>47182</v>
      </c>
      <c r="C30" s="6" t="n">
        <f aca="false">Unlocks!M30</f>
        <v>18931666.6666667</v>
      </c>
      <c r="D30" s="10" t="n">
        <f aca="false">C30*Inputs!$B$5</f>
        <v>3029066.66666667</v>
      </c>
      <c r="E30" s="10" t="n">
        <f aca="false">C30*Inputs!$B$9</f>
        <v>3786333.33333333</v>
      </c>
      <c r="F30" s="10" t="n">
        <f aca="false">C30*Inputs!$B$6</f>
        <v>1832440.50456561</v>
      </c>
      <c r="G30" s="10" t="n">
        <f aca="false">C30*Inputs!$B$7</f>
        <v>3249527.95306939</v>
      </c>
      <c r="H30" s="10" t="n">
        <f aca="false">C30*Inputs!$B$8</f>
        <v>4153532.15877485</v>
      </c>
      <c r="I30" s="11" t="str">
        <f aca="false">IF(Inputs!$B$11="","",Inputs!$B$11)</f>
        <v/>
      </c>
      <c r="J30" s="8" t="str">
        <f aca="false">IF(OR(I30="",I30=0),"INPUT REQUIRED",D30/I30)</f>
        <v>INPUT REQUIRED</v>
      </c>
      <c r="K30" s="8" t="str">
        <f aca="false">IF(OR(I30="",I30=0),"INPUT REQUIRED",E30/I30)</f>
        <v>INPUT REQUIRED</v>
      </c>
    </row>
    <row r="31" customFormat="false" ht="15" hidden="false" customHeight="false" outlineLevel="0" collapsed="false">
      <c r="A31" s="0" t="n">
        <v>26</v>
      </c>
      <c r="B31" s="7" t="n">
        <f aca="false">Unlocks!B31</f>
        <v>47213</v>
      </c>
      <c r="C31" s="6" t="n">
        <f aca="false">Unlocks!M31</f>
        <v>18931666.6666667</v>
      </c>
      <c r="D31" s="10" t="n">
        <f aca="false">C31*Inputs!$B$5</f>
        <v>3029066.66666667</v>
      </c>
      <c r="E31" s="10" t="n">
        <f aca="false">C31*Inputs!$B$9</f>
        <v>3786333.33333333</v>
      </c>
      <c r="F31" s="10" t="n">
        <f aca="false">C31*Inputs!$B$6</f>
        <v>1832440.50456561</v>
      </c>
      <c r="G31" s="10" t="n">
        <f aca="false">C31*Inputs!$B$7</f>
        <v>3249527.95306939</v>
      </c>
      <c r="H31" s="10" t="n">
        <f aca="false">C31*Inputs!$B$8</f>
        <v>4153532.15877485</v>
      </c>
      <c r="I31" s="11" t="str">
        <f aca="false">IF(Inputs!$B$11="","",Inputs!$B$11)</f>
        <v/>
      </c>
      <c r="J31" s="8" t="str">
        <f aca="false">IF(OR(I31="",I31=0),"INPUT REQUIRED",D31/I31)</f>
        <v>INPUT REQUIRED</v>
      </c>
      <c r="K31" s="8" t="str">
        <f aca="false">IF(OR(I31="",I31=0),"INPUT REQUIRED",E31/I31)</f>
        <v>INPUT REQUIRED</v>
      </c>
    </row>
    <row r="32" customFormat="false" ht="15" hidden="false" customHeight="false" outlineLevel="0" collapsed="false">
      <c r="A32" s="0" t="n">
        <v>27</v>
      </c>
      <c r="B32" s="7" t="n">
        <f aca="false">Unlocks!B32</f>
        <v>47243</v>
      </c>
      <c r="C32" s="6" t="n">
        <f aca="false">Unlocks!M32</f>
        <v>18931666.6666667</v>
      </c>
      <c r="D32" s="10" t="n">
        <f aca="false">C32*Inputs!$B$5</f>
        <v>3029066.66666667</v>
      </c>
      <c r="E32" s="10" t="n">
        <f aca="false">C32*Inputs!$B$9</f>
        <v>3786333.33333333</v>
      </c>
      <c r="F32" s="10" t="n">
        <f aca="false">C32*Inputs!$B$6</f>
        <v>1832440.50456561</v>
      </c>
      <c r="G32" s="10" t="n">
        <f aca="false">C32*Inputs!$B$7</f>
        <v>3249527.95306939</v>
      </c>
      <c r="H32" s="10" t="n">
        <f aca="false">C32*Inputs!$B$8</f>
        <v>4153532.15877485</v>
      </c>
      <c r="I32" s="11" t="str">
        <f aca="false">IF(Inputs!$B$11="","",Inputs!$B$11)</f>
        <v/>
      </c>
      <c r="J32" s="8" t="str">
        <f aca="false">IF(OR(I32="",I32=0),"INPUT REQUIRED",D32/I32)</f>
        <v>INPUT REQUIRED</v>
      </c>
      <c r="K32" s="8" t="str">
        <f aca="false">IF(OR(I32="",I32=0),"INPUT REQUIRED",E32/I32)</f>
        <v>INPUT REQUIRED</v>
      </c>
    </row>
    <row r="33" customFormat="false" ht="15" hidden="false" customHeight="false" outlineLevel="0" collapsed="false">
      <c r="A33" s="0" t="n">
        <v>28</v>
      </c>
      <c r="B33" s="7" t="n">
        <f aca="false">Unlocks!B33</f>
        <v>47274</v>
      </c>
      <c r="C33" s="6" t="n">
        <f aca="false">Unlocks!M33</f>
        <v>18931666.6666667</v>
      </c>
      <c r="D33" s="10" t="n">
        <f aca="false">C33*Inputs!$B$5</f>
        <v>3029066.66666667</v>
      </c>
      <c r="E33" s="10" t="n">
        <f aca="false">C33*Inputs!$B$9</f>
        <v>3786333.33333333</v>
      </c>
      <c r="F33" s="10" t="n">
        <f aca="false">C33*Inputs!$B$6</f>
        <v>1832440.50456561</v>
      </c>
      <c r="G33" s="10" t="n">
        <f aca="false">C33*Inputs!$B$7</f>
        <v>3249527.95306939</v>
      </c>
      <c r="H33" s="10" t="n">
        <f aca="false">C33*Inputs!$B$8</f>
        <v>4153532.15877485</v>
      </c>
      <c r="I33" s="11" t="str">
        <f aca="false">IF(Inputs!$B$11="","",Inputs!$B$11)</f>
        <v/>
      </c>
      <c r="J33" s="8" t="str">
        <f aca="false">IF(OR(I33="",I33=0),"INPUT REQUIRED",D33/I33)</f>
        <v>INPUT REQUIRED</v>
      </c>
      <c r="K33" s="8" t="str">
        <f aca="false">IF(OR(I33="",I33=0),"INPUT REQUIRED",E33/I33)</f>
        <v>INPUT REQUIRED</v>
      </c>
    </row>
    <row r="34" customFormat="false" ht="15" hidden="false" customHeight="false" outlineLevel="0" collapsed="false">
      <c r="A34" s="0" t="n">
        <v>29</v>
      </c>
      <c r="B34" s="7" t="n">
        <f aca="false">Unlocks!B34</f>
        <v>47304</v>
      </c>
      <c r="C34" s="6" t="n">
        <f aca="false">Unlocks!M34</f>
        <v>18931666.6666667</v>
      </c>
      <c r="D34" s="10" t="n">
        <f aca="false">C34*Inputs!$B$5</f>
        <v>3029066.66666667</v>
      </c>
      <c r="E34" s="10" t="n">
        <f aca="false">C34*Inputs!$B$9</f>
        <v>3786333.33333333</v>
      </c>
      <c r="F34" s="10" t="n">
        <f aca="false">C34*Inputs!$B$6</f>
        <v>1832440.50456561</v>
      </c>
      <c r="G34" s="10" t="n">
        <f aca="false">C34*Inputs!$B$7</f>
        <v>3249527.95306939</v>
      </c>
      <c r="H34" s="10" t="n">
        <f aca="false">C34*Inputs!$B$8</f>
        <v>4153532.15877485</v>
      </c>
      <c r="I34" s="11" t="str">
        <f aca="false">IF(Inputs!$B$11="","",Inputs!$B$11)</f>
        <v/>
      </c>
      <c r="J34" s="8" t="str">
        <f aca="false">IF(OR(I34="",I34=0),"INPUT REQUIRED",D34/I34)</f>
        <v>INPUT REQUIRED</v>
      </c>
      <c r="K34" s="8" t="str">
        <f aca="false">IF(OR(I34="",I34=0),"INPUT REQUIRED",E34/I34)</f>
        <v>INPUT REQUIRED</v>
      </c>
    </row>
    <row r="35" customFormat="false" ht="15" hidden="false" customHeight="false" outlineLevel="0" collapsed="false">
      <c r="A35" s="0" t="n">
        <v>30</v>
      </c>
      <c r="B35" s="7" t="n">
        <f aca="false">Unlocks!B35</f>
        <v>47335</v>
      </c>
      <c r="C35" s="6" t="n">
        <f aca="false">Unlocks!M35</f>
        <v>18931666.6666667</v>
      </c>
      <c r="D35" s="10" t="n">
        <f aca="false">C35*Inputs!$B$5</f>
        <v>3029066.66666667</v>
      </c>
      <c r="E35" s="10" t="n">
        <f aca="false">C35*Inputs!$B$9</f>
        <v>3786333.33333333</v>
      </c>
      <c r="F35" s="10" t="n">
        <f aca="false">C35*Inputs!$B$6</f>
        <v>1832440.50456561</v>
      </c>
      <c r="G35" s="10" t="n">
        <f aca="false">C35*Inputs!$B$7</f>
        <v>3249527.95306939</v>
      </c>
      <c r="H35" s="10" t="n">
        <f aca="false">C35*Inputs!$B$8</f>
        <v>4153532.15877485</v>
      </c>
      <c r="I35" s="11" t="str">
        <f aca="false">IF(Inputs!$B$11="","",Inputs!$B$11)</f>
        <v/>
      </c>
      <c r="J35" s="8" t="str">
        <f aca="false">IF(OR(I35="",I35=0),"INPUT REQUIRED",D35/I35)</f>
        <v>INPUT REQUIRED</v>
      </c>
      <c r="K35" s="8" t="str">
        <f aca="false">IF(OR(I35="",I35=0),"INPUT REQUIRED",E35/I35)</f>
        <v>INPUT REQUIRED</v>
      </c>
    </row>
    <row r="36" customFormat="false" ht="15" hidden="false" customHeight="false" outlineLevel="0" collapsed="false">
      <c r="A36" s="0" t="n">
        <v>31</v>
      </c>
      <c r="B36" s="7" t="n">
        <f aca="false">Unlocks!B36</f>
        <v>47366</v>
      </c>
      <c r="C36" s="6" t="n">
        <f aca="false">Unlocks!M36</f>
        <v>18431666.6666667</v>
      </c>
      <c r="D36" s="10" t="n">
        <f aca="false">C36*Inputs!$B$5</f>
        <v>2949066.66666667</v>
      </c>
      <c r="E36" s="10" t="n">
        <f aca="false">C36*Inputs!$B$9</f>
        <v>3686333.33333333</v>
      </c>
      <c r="F36" s="10" t="n">
        <f aca="false">C36*Inputs!$B$6</f>
        <v>1784044.3296057</v>
      </c>
      <c r="G36" s="10" t="n">
        <f aca="false">C36*Inputs!$B$7</f>
        <v>3163705.3995065</v>
      </c>
      <c r="H36" s="10" t="n">
        <f aca="false">C36*Inputs!$B$8</f>
        <v>4043834.15299683</v>
      </c>
      <c r="I36" s="11" t="str">
        <f aca="false">IF(Inputs!$B$11="","",Inputs!$B$11)</f>
        <v/>
      </c>
      <c r="J36" s="8" t="str">
        <f aca="false">IF(OR(I36="",I36=0),"INPUT REQUIRED",D36/I36)</f>
        <v>INPUT REQUIRED</v>
      </c>
      <c r="K36" s="8" t="str">
        <f aca="false">IF(OR(I36="",I36=0),"INPUT REQUIRED",E36/I36)</f>
        <v>INPUT REQUIRED</v>
      </c>
    </row>
    <row r="37" customFormat="false" ht="15" hidden="false" customHeight="false" outlineLevel="0" collapsed="false">
      <c r="A37" s="0" t="n">
        <v>32</v>
      </c>
      <c r="B37" s="7" t="n">
        <f aca="false">Unlocks!B37</f>
        <v>47396</v>
      </c>
      <c r="C37" s="6" t="n">
        <f aca="false">Unlocks!M37</f>
        <v>18431666.6666667</v>
      </c>
      <c r="D37" s="10" t="n">
        <f aca="false">C37*Inputs!$B$5</f>
        <v>2949066.66666667</v>
      </c>
      <c r="E37" s="10" t="n">
        <f aca="false">C37*Inputs!$B$9</f>
        <v>3686333.33333333</v>
      </c>
      <c r="F37" s="10" t="n">
        <f aca="false">C37*Inputs!$B$6</f>
        <v>1784044.3296057</v>
      </c>
      <c r="G37" s="10" t="n">
        <f aca="false">C37*Inputs!$B$7</f>
        <v>3163705.3995065</v>
      </c>
      <c r="H37" s="10" t="n">
        <f aca="false">C37*Inputs!$B$8</f>
        <v>4043834.15299683</v>
      </c>
      <c r="I37" s="11" t="str">
        <f aca="false">IF(Inputs!$B$11="","",Inputs!$B$11)</f>
        <v/>
      </c>
      <c r="J37" s="8" t="str">
        <f aca="false">IF(OR(I37="",I37=0),"INPUT REQUIRED",D37/I37)</f>
        <v>INPUT REQUIRED</v>
      </c>
      <c r="K37" s="8" t="str">
        <f aca="false">IF(OR(I37="",I37=0),"INPUT REQUIRED",E37/I37)</f>
        <v>INPUT REQUIRED</v>
      </c>
    </row>
    <row r="38" customFormat="false" ht="15" hidden="false" customHeight="false" outlineLevel="0" collapsed="false">
      <c r="A38" s="0" t="n">
        <v>33</v>
      </c>
      <c r="B38" s="7" t="n">
        <f aca="false">Unlocks!B38</f>
        <v>47427</v>
      </c>
      <c r="C38" s="6" t="n">
        <f aca="false">Unlocks!M38</f>
        <v>18431666.6666667</v>
      </c>
      <c r="D38" s="10" t="n">
        <f aca="false">C38*Inputs!$B$5</f>
        <v>2949066.66666667</v>
      </c>
      <c r="E38" s="10" t="n">
        <f aca="false">C38*Inputs!$B$9</f>
        <v>3686333.33333333</v>
      </c>
      <c r="F38" s="10" t="n">
        <f aca="false">C38*Inputs!$B$6</f>
        <v>1784044.3296057</v>
      </c>
      <c r="G38" s="10" t="n">
        <f aca="false">C38*Inputs!$B$7</f>
        <v>3163705.3995065</v>
      </c>
      <c r="H38" s="10" t="n">
        <f aca="false">C38*Inputs!$B$8</f>
        <v>4043834.15299683</v>
      </c>
      <c r="I38" s="11" t="str">
        <f aca="false">IF(Inputs!$B$11="","",Inputs!$B$11)</f>
        <v/>
      </c>
      <c r="J38" s="8" t="str">
        <f aca="false">IF(OR(I38="",I38=0),"INPUT REQUIRED",D38/I38)</f>
        <v>INPUT REQUIRED</v>
      </c>
      <c r="K38" s="8" t="str">
        <f aca="false">IF(OR(I38="",I38=0),"INPUT REQUIRED",E38/I38)</f>
        <v>INPUT REQUIRED</v>
      </c>
    </row>
    <row r="39" customFormat="false" ht="15" hidden="false" customHeight="false" outlineLevel="0" collapsed="false">
      <c r="A39" s="0" t="n">
        <v>34</v>
      </c>
      <c r="B39" s="7" t="n">
        <f aca="false">Unlocks!B39</f>
        <v>47457</v>
      </c>
      <c r="C39" s="6" t="n">
        <f aca="false">Unlocks!M39</f>
        <v>18431666.6666667</v>
      </c>
      <c r="D39" s="10" t="n">
        <f aca="false">C39*Inputs!$B$5</f>
        <v>2949066.66666667</v>
      </c>
      <c r="E39" s="10" t="n">
        <f aca="false">C39*Inputs!$B$9</f>
        <v>3686333.33333333</v>
      </c>
      <c r="F39" s="10" t="n">
        <f aca="false">C39*Inputs!$B$6</f>
        <v>1784044.3296057</v>
      </c>
      <c r="G39" s="10" t="n">
        <f aca="false">C39*Inputs!$B$7</f>
        <v>3163705.3995065</v>
      </c>
      <c r="H39" s="10" t="n">
        <f aca="false">C39*Inputs!$B$8</f>
        <v>4043834.15299683</v>
      </c>
      <c r="I39" s="11" t="str">
        <f aca="false">IF(Inputs!$B$11="","",Inputs!$B$11)</f>
        <v/>
      </c>
      <c r="J39" s="8" t="str">
        <f aca="false">IF(OR(I39="",I39=0),"INPUT REQUIRED",D39/I39)</f>
        <v>INPUT REQUIRED</v>
      </c>
      <c r="K39" s="8" t="str">
        <f aca="false">IF(OR(I39="",I39=0),"INPUT REQUIRED",E39/I39)</f>
        <v>INPUT REQUIRED</v>
      </c>
    </row>
    <row r="40" customFormat="false" ht="15" hidden="false" customHeight="false" outlineLevel="0" collapsed="false">
      <c r="A40" s="0" t="n">
        <v>35</v>
      </c>
      <c r="B40" s="7" t="n">
        <f aca="false">Unlocks!B40</f>
        <v>47488</v>
      </c>
      <c r="C40" s="6" t="n">
        <f aca="false">Unlocks!M40</f>
        <v>18431666.6666667</v>
      </c>
      <c r="D40" s="10" t="n">
        <f aca="false">C40*Inputs!$B$5</f>
        <v>2949066.66666667</v>
      </c>
      <c r="E40" s="10" t="n">
        <f aca="false">C40*Inputs!$B$9</f>
        <v>3686333.33333333</v>
      </c>
      <c r="F40" s="10" t="n">
        <f aca="false">C40*Inputs!$B$6</f>
        <v>1784044.3296057</v>
      </c>
      <c r="G40" s="10" t="n">
        <f aca="false">C40*Inputs!$B$7</f>
        <v>3163705.3995065</v>
      </c>
      <c r="H40" s="10" t="n">
        <f aca="false">C40*Inputs!$B$8</f>
        <v>4043834.15299683</v>
      </c>
      <c r="I40" s="11" t="str">
        <f aca="false">IF(Inputs!$B$11="","",Inputs!$B$11)</f>
        <v/>
      </c>
      <c r="J40" s="8" t="str">
        <f aca="false">IF(OR(I40="",I40=0),"INPUT REQUIRED",D40/I40)</f>
        <v>INPUT REQUIRED</v>
      </c>
      <c r="K40" s="8" t="str">
        <f aca="false">IF(OR(I40="",I40=0),"INPUT REQUIRED",E40/I40)</f>
        <v>INPUT REQUIRED</v>
      </c>
    </row>
    <row r="41" customFormat="false" ht="15" hidden="false" customHeight="false" outlineLevel="0" collapsed="false">
      <c r="A41" s="0" t="n">
        <v>36</v>
      </c>
      <c r="B41" s="7" t="n">
        <f aca="false">Unlocks!B41</f>
        <v>47519</v>
      </c>
      <c r="C41" s="6" t="n">
        <f aca="false">Unlocks!M41</f>
        <v>18431666.6666667</v>
      </c>
      <c r="D41" s="10" t="n">
        <f aca="false">C41*Inputs!$B$5</f>
        <v>2949066.66666667</v>
      </c>
      <c r="E41" s="10" t="n">
        <f aca="false">C41*Inputs!$B$9</f>
        <v>3686333.33333333</v>
      </c>
      <c r="F41" s="10" t="n">
        <f aca="false">C41*Inputs!$B$6</f>
        <v>1784044.3296057</v>
      </c>
      <c r="G41" s="10" t="n">
        <f aca="false">C41*Inputs!$B$7</f>
        <v>3163705.3995065</v>
      </c>
      <c r="H41" s="10" t="n">
        <f aca="false">C41*Inputs!$B$8</f>
        <v>4043834.15299683</v>
      </c>
      <c r="I41" s="11" t="str">
        <f aca="false">IF(Inputs!$B$11="","",Inputs!$B$11)</f>
        <v/>
      </c>
      <c r="J41" s="8" t="str">
        <f aca="false">IF(OR(I41="",I41=0),"INPUT REQUIRED",D41/I41)</f>
        <v>INPUT REQUIRED</v>
      </c>
      <c r="K41" s="8" t="str">
        <f aca="false">IF(OR(I41="",I41=0),"INPUT REQUIRED",E41/I41)</f>
        <v>INPUT REQUIRED</v>
      </c>
    </row>
    <row r="42" customFormat="false" ht="15" hidden="false" customHeight="false" outlineLevel="0" collapsed="false">
      <c r="A42" s="0" t="n">
        <v>37</v>
      </c>
      <c r="B42" s="7" t="n">
        <f aca="false">Unlocks!B42</f>
        <v>47547</v>
      </c>
      <c r="C42" s="6" t="n">
        <f aca="false">Unlocks!M42</f>
        <v>6539833.33333333</v>
      </c>
      <c r="D42" s="10" t="n">
        <f aca="false">C42*Inputs!$B$5</f>
        <v>1046373.33333333</v>
      </c>
      <c r="E42" s="10" t="n">
        <f aca="false">C42*Inputs!$B$9</f>
        <v>1307966.66666667</v>
      </c>
      <c r="F42" s="10" t="n">
        <f aca="false">C42*Inputs!$B$6</f>
        <v>633005.83641738</v>
      </c>
      <c r="G42" s="10" t="n">
        <f aca="false">C42*Inputs!$B$7</f>
        <v>1122530.39308469</v>
      </c>
      <c r="H42" s="10" t="n">
        <f aca="false">C42*Inputs!$B$8</f>
        <v>1434813.34957449</v>
      </c>
      <c r="I42" s="11" t="str">
        <f aca="false">IF(Inputs!$B$11="","",Inputs!$B$11)</f>
        <v/>
      </c>
      <c r="J42" s="8" t="str">
        <f aca="false">IF(OR(I42="",I42=0),"INPUT REQUIRED",D42/I42)</f>
        <v>INPUT REQUIRED</v>
      </c>
      <c r="K42" s="8" t="str">
        <f aca="false">IF(OR(I42="",I42=0),"INPUT REQUIRED",E42/I42)</f>
        <v>INPUT REQUIRED</v>
      </c>
    </row>
    <row r="43" customFormat="false" ht="15" hidden="false" customHeight="false" outlineLevel="0" collapsed="false">
      <c r="A43" s="0" t="n">
        <v>38</v>
      </c>
      <c r="B43" s="7" t="n">
        <f aca="false">Unlocks!B43</f>
        <v>47578</v>
      </c>
      <c r="C43" s="6" t="n">
        <f aca="false">Unlocks!M43</f>
        <v>6539833.33333333</v>
      </c>
      <c r="D43" s="10" t="n">
        <f aca="false">C43*Inputs!$B$5</f>
        <v>1046373.33333333</v>
      </c>
      <c r="E43" s="10" t="n">
        <f aca="false">C43*Inputs!$B$9</f>
        <v>1307966.66666667</v>
      </c>
      <c r="F43" s="10" t="n">
        <f aca="false">C43*Inputs!$B$6</f>
        <v>633005.83641738</v>
      </c>
      <c r="G43" s="10" t="n">
        <f aca="false">C43*Inputs!$B$7</f>
        <v>1122530.39308469</v>
      </c>
      <c r="H43" s="10" t="n">
        <f aca="false">C43*Inputs!$B$8</f>
        <v>1434813.34957449</v>
      </c>
      <c r="I43" s="11" t="str">
        <f aca="false">IF(Inputs!$B$11="","",Inputs!$B$11)</f>
        <v/>
      </c>
      <c r="J43" s="8" t="str">
        <f aca="false">IF(OR(I43="",I43=0),"INPUT REQUIRED",D43/I43)</f>
        <v>INPUT REQUIRED</v>
      </c>
      <c r="K43" s="8" t="str">
        <f aca="false">IF(OR(I43="",I43=0),"INPUT REQUIRED",E43/I43)</f>
        <v>INPUT REQUIRED</v>
      </c>
    </row>
    <row r="44" customFormat="false" ht="15" hidden="false" customHeight="false" outlineLevel="0" collapsed="false">
      <c r="A44" s="0" t="n">
        <v>39</v>
      </c>
      <c r="B44" s="7" t="n">
        <f aca="false">Unlocks!B44</f>
        <v>47608</v>
      </c>
      <c r="C44" s="6" t="n">
        <f aca="false">Unlocks!M44</f>
        <v>4539833.33333333</v>
      </c>
      <c r="D44" s="10" t="n">
        <f aca="false">C44*Inputs!$B$5</f>
        <v>726373.333333333</v>
      </c>
      <c r="E44" s="10" t="n">
        <f aca="false">C44*Inputs!$B$9</f>
        <v>907966.666666667</v>
      </c>
      <c r="F44" s="10" t="n">
        <f aca="false">C44*Inputs!$B$6</f>
        <v>439421.136577716</v>
      </c>
      <c r="G44" s="10" t="n">
        <f aca="false">C44*Inputs!$B$7</f>
        <v>779240.178833147</v>
      </c>
      <c r="H44" s="10" t="n">
        <f aca="false">C44*Inputs!$B$8</f>
        <v>996021.326462435</v>
      </c>
      <c r="I44" s="11" t="str">
        <f aca="false">IF(Inputs!$B$11="","",Inputs!$B$11)</f>
        <v/>
      </c>
      <c r="J44" s="8" t="str">
        <f aca="false">IF(OR(I44="",I44=0),"INPUT REQUIRED",D44/I44)</f>
        <v>INPUT REQUIRED</v>
      </c>
      <c r="K44" s="8" t="str">
        <f aca="false">IF(OR(I44="",I44=0),"INPUT REQUIRED",E44/I44)</f>
        <v>INPUT REQUIRED</v>
      </c>
    </row>
    <row r="45" customFormat="false" ht="15" hidden="false" customHeight="false" outlineLevel="0" collapsed="false">
      <c r="A45" s="0" t="n">
        <v>40</v>
      </c>
      <c r="B45" s="7" t="n">
        <f aca="false">Unlocks!B45</f>
        <v>47639</v>
      </c>
      <c r="C45" s="6" t="n">
        <f aca="false">Unlocks!M45</f>
        <v>4539833.33333333</v>
      </c>
      <c r="D45" s="10" t="n">
        <f aca="false">C45*Inputs!$B$5</f>
        <v>726373.333333333</v>
      </c>
      <c r="E45" s="10" t="n">
        <f aca="false">C45*Inputs!$B$9</f>
        <v>907966.666666667</v>
      </c>
      <c r="F45" s="10" t="n">
        <f aca="false">C45*Inputs!$B$6</f>
        <v>439421.136577716</v>
      </c>
      <c r="G45" s="10" t="n">
        <f aca="false">C45*Inputs!$B$7</f>
        <v>779240.178833147</v>
      </c>
      <c r="H45" s="10" t="n">
        <f aca="false">C45*Inputs!$B$8</f>
        <v>996021.326462435</v>
      </c>
      <c r="I45" s="11" t="str">
        <f aca="false">IF(Inputs!$B$11="","",Inputs!$B$11)</f>
        <v/>
      </c>
      <c r="J45" s="8" t="str">
        <f aca="false">IF(OR(I45="",I45=0),"INPUT REQUIRED",D45/I45)</f>
        <v>INPUT REQUIRED</v>
      </c>
      <c r="K45" s="8" t="str">
        <f aca="false">IF(OR(I45="",I45=0),"INPUT REQUIRED",E45/I45)</f>
        <v>INPUT REQUIRED</v>
      </c>
    </row>
    <row r="46" customFormat="false" ht="15" hidden="false" customHeight="false" outlineLevel="0" collapsed="false">
      <c r="A46" s="0" t="n">
        <v>41</v>
      </c>
      <c r="B46" s="7" t="n">
        <f aca="false">Unlocks!B46</f>
        <v>47669</v>
      </c>
      <c r="C46" s="6" t="n">
        <f aca="false">Unlocks!M46</f>
        <v>4539833.33333333</v>
      </c>
      <c r="D46" s="10" t="n">
        <f aca="false">C46*Inputs!$B$5</f>
        <v>726373.333333333</v>
      </c>
      <c r="E46" s="10" t="n">
        <f aca="false">C46*Inputs!$B$9</f>
        <v>907966.666666667</v>
      </c>
      <c r="F46" s="10" t="n">
        <f aca="false">C46*Inputs!$B$6</f>
        <v>439421.136577716</v>
      </c>
      <c r="G46" s="10" t="n">
        <f aca="false">C46*Inputs!$B$7</f>
        <v>779240.178833147</v>
      </c>
      <c r="H46" s="10" t="n">
        <f aca="false">C46*Inputs!$B$8</f>
        <v>996021.326462435</v>
      </c>
      <c r="I46" s="11" t="str">
        <f aca="false">IF(Inputs!$B$11="","",Inputs!$B$11)</f>
        <v/>
      </c>
      <c r="J46" s="8" t="str">
        <f aca="false">IF(OR(I46="",I46=0),"INPUT REQUIRED",D46/I46)</f>
        <v>INPUT REQUIRED</v>
      </c>
      <c r="K46" s="8" t="str">
        <f aca="false">IF(OR(I46="",I46=0),"INPUT REQUIRED",E46/I46)</f>
        <v>INPUT REQUIRED</v>
      </c>
    </row>
    <row r="47" customFormat="false" ht="15" hidden="false" customHeight="false" outlineLevel="0" collapsed="false">
      <c r="A47" s="0" t="n">
        <v>42</v>
      </c>
      <c r="B47" s="7" t="n">
        <f aca="false">Unlocks!B47</f>
        <v>47700</v>
      </c>
      <c r="C47" s="6" t="n">
        <f aca="false">Unlocks!M47</f>
        <v>4539833.33333333</v>
      </c>
      <c r="D47" s="10" t="n">
        <f aca="false">C47*Inputs!$B$5</f>
        <v>726373.333333333</v>
      </c>
      <c r="E47" s="10" t="n">
        <f aca="false">C47*Inputs!$B$9</f>
        <v>907966.666666667</v>
      </c>
      <c r="F47" s="10" t="n">
        <f aca="false">C47*Inputs!$B$6</f>
        <v>439421.136577716</v>
      </c>
      <c r="G47" s="10" t="n">
        <f aca="false">C47*Inputs!$B$7</f>
        <v>779240.178833147</v>
      </c>
      <c r="H47" s="10" t="n">
        <f aca="false">C47*Inputs!$B$8</f>
        <v>996021.326462435</v>
      </c>
      <c r="I47" s="11" t="str">
        <f aca="false">IF(Inputs!$B$11="","",Inputs!$B$11)</f>
        <v/>
      </c>
      <c r="J47" s="8" t="str">
        <f aca="false">IF(OR(I47="",I47=0),"INPUT REQUIRED",D47/I47)</f>
        <v>INPUT REQUIRED</v>
      </c>
      <c r="K47" s="8" t="str">
        <f aca="false">IF(OR(I47="",I47=0),"INPUT REQUIRED",E47/I47)</f>
        <v>INPUT REQUIRED</v>
      </c>
    </row>
    <row r="48" customFormat="false" ht="15" hidden="false" customHeight="false" outlineLevel="0" collapsed="false">
      <c r="A48" s="0" t="n">
        <v>43</v>
      </c>
      <c r="B48" s="7" t="n">
        <f aca="false">Unlocks!B48</f>
        <v>47731</v>
      </c>
      <c r="C48" s="6" t="n">
        <f aca="false">Unlocks!M48</f>
        <v>4539833.33333333</v>
      </c>
      <c r="D48" s="10" t="n">
        <f aca="false">C48*Inputs!$B$5</f>
        <v>726373.333333333</v>
      </c>
      <c r="E48" s="10" t="n">
        <f aca="false">C48*Inputs!$B$9</f>
        <v>907966.666666667</v>
      </c>
      <c r="F48" s="10" t="n">
        <f aca="false">C48*Inputs!$B$6</f>
        <v>439421.136577716</v>
      </c>
      <c r="G48" s="10" t="n">
        <f aca="false">C48*Inputs!$B$7</f>
        <v>779240.178833147</v>
      </c>
      <c r="H48" s="10" t="n">
        <f aca="false">C48*Inputs!$B$8</f>
        <v>996021.326462435</v>
      </c>
      <c r="I48" s="11" t="str">
        <f aca="false">IF(Inputs!$B$11="","",Inputs!$B$11)</f>
        <v/>
      </c>
      <c r="J48" s="8" t="str">
        <f aca="false">IF(OR(I48="",I48=0),"INPUT REQUIRED",D48/I48)</f>
        <v>INPUT REQUIRED</v>
      </c>
      <c r="K48" s="8" t="str">
        <f aca="false">IF(OR(I48="",I48=0),"INPUT REQUIRED",E48/I48)</f>
        <v>INPUT REQUIRED</v>
      </c>
    </row>
    <row r="49" customFormat="false" ht="15" hidden="false" customHeight="false" outlineLevel="0" collapsed="false">
      <c r="A49" s="0" t="n">
        <v>44</v>
      </c>
      <c r="B49" s="7" t="n">
        <f aca="false">Unlocks!B49</f>
        <v>47761</v>
      </c>
      <c r="C49" s="6" t="n">
        <f aca="false">Unlocks!M49</f>
        <v>4539833.33333333</v>
      </c>
      <c r="D49" s="10" t="n">
        <f aca="false">C49*Inputs!$B$5</f>
        <v>726373.333333333</v>
      </c>
      <c r="E49" s="10" t="n">
        <f aca="false">C49*Inputs!$B$9</f>
        <v>907966.666666667</v>
      </c>
      <c r="F49" s="10" t="n">
        <f aca="false">C49*Inputs!$B$6</f>
        <v>439421.136577716</v>
      </c>
      <c r="G49" s="10" t="n">
        <f aca="false">C49*Inputs!$B$7</f>
        <v>779240.178833147</v>
      </c>
      <c r="H49" s="10" t="n">
        <f aca="false">C49*Inputs!$B$8</f>
        <v>996021.326462435</v>
      </c>
      <c r="I49" s="11" t="str">
        <f aca="false">IF(Inputs!$B$11="","",Inputs!$B$11)</f>
        <v/>
      </c>
      <c r="J49" s="8" t="str">
        <f aca="false">IF(OR(I49="",I49=0),"INPUT REQUIRED",D49/I49)</f>
        <v>INPUT REQUIRED</v>
      </c>
      <c r="K49" s="8" t="str">
        <f aca="false">IF(OR(I49="",I49=0),"INPUT REQUIRED",E49/I49)</f>
        <v>INPUT REQUIRED</v>
      </c>
    </row>
    <row r="50" customFormat="false" ht="15" hidden="false" customHeight="false" outlineLevel="0" collapsed="false">
      <c r="A50" s="0" t="n">
        <v>45</v>
      </c>
      <c r="B50" s="7" t="n">
        <f aca="false">Unlocks!B50</f>
        <v>47792</v>
      </c>
      <c r="C50" s="6" t="n">
        <f aca="false">Unlocks!M50</f>
        <v>4539833.33333333</v>
      </c>
      <c r="D50" s="10" t="n">
        <f aca="false">C50*Inputs!$B$5</f>
        <v>726373.333333333</v>
      </c>
      <c r="E50" s="10" t="n">
        <f aca="false">C50*Inputs!$B$9</f>
        <v>907966.666666667</v>
      </c>
      <c r="F50" s="10" t="n">
        <f aca="false">C50*Inputs!$B$6</f>
        <v>439421.136577716</v>
      </c>
      <c r="G50" s="10" t="n">
        <f aca="false">C50*Inputs!$B$7</f>
        <v>779240.178833147</v>
      </c>
      <c r="H50" s="10" t="n">
        <f aca="false">C50*Inputs!$B$8</f>
        <v>996021.326462435</v>
      </c>
      <c r="I50" s="11" t="str">
        <f aca="false">IF(Inputs!$B$11="","",Inputs!$B$11)</f>
        <v/>
      </c>
      <c r="J50" s="8" t="str">
        <f aca="false">IF(OR(I50="",I50=0),"INPUT REQUIRED",D50/I50)</f>
        <v>INPUT REQUIRED</v>
      </c>
      <c r="K50" s="8" t="str">
        <f aca="false">IF(OR(I50="",I50=0),"INPUT REQUIRED",E50/I50)</f>
        <v>INPUT REQUIRED</v>
      </c>
    </row>
    <row r="51" customFormat="false" ht="15" hidden="false" customHeight="false" outlineLevel="0" collapsed="false">
      <c r="A51" s="0" t="n">
        <v>46</v>
      </c>
      <c r="B51" s="7" t="n">
        <f aca="false">Unlocks!B51</f>
        <v>47822</v>
      </c>
      <c r="C51" s="6" t="n">
        <f aca="false">Unlocks!M51</f>
        <v>4539833.33333333</v>
      </c>
      <c r="D51" s="10" t="n">
        <f aca="false">C51*Inputs!$B$5</f>
        <v>726373.333333333</v>
      </c>
      <c r="E51" s="10" t="n">
        <f aca="false">C51*Inputs!$B$9</f>
        <v>907966.666666667</v>
      </c>
      <c r="F51" s="10" t="n">
        <f aca="false">C51*Inputs!$B$6</f>
        <v>439421.136577716</v>
      </c>
      <c r="G51" s="10" t="n">
        <f aca="false">C51*Inputs!$B$7</f>
        <v>779240.178833147</v>
      </c>
      <c r="H51" s="10" t="n">
        <f aca="false">C51*Inputs!$B$8</f>
        <v>996021.326462435</v>
      </c>
      <c r="I51" s="11" t="str">
        <f aca="false">IF(Inputs!$B$11="","",Inputs!$B$11)</f>
        <v/>
      </c>
      <c r="J51" s="8" t="str">
        <f aca="false">IF(OR(I51="",I51=0),"INPUT REQUIRED",D51/I51)</f>
        <v>INPUT REQUIRED</v>
      </c>
      <c r="K51" s="8" t="str">
        <f aca="false">IF(OR(I51="",I51=0),"INPUT REQUIRED",E51/I51)</f>
        <v>INPUT REQUIRED</v>
      </c>
    </row>
    <row r="52" customFormat="false" ht="15" hidden="false" customHeight="false" outlineLevel="0" collapsed="false">
      <c r="A52" s="0" t="n">
        <v>47</v>
      </c>
      <c r="B52" s="7" t="n">
        <f aca="false">Unlocks!B52</f>
        <v>47853</v>
      </c>
      <c r="C52" s="6" t="n">
        <f aca="false">Unlocks!M52</f>
        <v>4539833.33333333</v>
      </c>
      <c r="D52" s="10" t="n">
        <f aca="false">C52*Inputs!$B$5</f>
        <v>726373.333333333</v>
      </c>
      <c r="E52" s="10" t="n">
        <f aca="false">C52*Inputs!$B$9</f>
        <v>907966.666666667</v>
      </c>
      <c r="F52" s="10" t="n">
        <f aca="false">C52*Inputs!$B$6</f>
        <v>439421.136577716</v>
      </c>
      <c r="G52" s="10" t="n">
        <f aca="false">C52*Inputs!$B$7</f>
        <v>779240.178833147</v>
      </c>
      <c r="H52" s="10" t="n">
        <f aca="false">C52*Inputs!$B$8</f>
        <v>996021.326462435</v>
      </c>
      <c r="I52" s="11" t="str">
        <f aca="false">IF(Inputs!$B$11="","",Inputs!$B$11)</f>
        <v/>
      </c>
      <c r="J52" s="8" t="str">
        <f aca="false">IF(OR(I52="",I52=0),"INPUT REQUIRED",D52/I52)</f>
        <v>INPUT REQUIRED</v>
      </c>
      <c r="K52" s="8" t="str">
        <f aca="false">IF(OR(I52="",I52=0),"INPUT REQUIRED",E52/I52)</f>
        <v>INPUT REQUIRED</v>
      </c>
    </row>
    <row r="53" customFormat="false" ht="15" hidden="false" customHeight="false" outlineLevel="0" collapsed="false">
      <c r="A53" s="0" t="n">
        <v>48</v>
      </c>
      <c r="B53" s="7" t="n">
        <f aca="false">Unlocks!B53</f>
        <v>47884</v>
      </c>
      <c r="C53" s="6" t="n">
        <f aca="false">Unlocks!M53</f>
        <v>4539833.33333333</v>
      </c>
      <c r="D53" s="10" t="n">
        <f aca="false">C53*Inputs!$B$5</f>
        <v>726373.333333333</v>
      </c>
      <c r="E53" s="10" t="n">
        <f aca="false">C53*Inputs!$B$9</f>
        <v>907966.666666667</v>
      </c>
      <c r="F53" s="10" t="n">
        <f aca="false">C53*Inputs!$B$6</f>
        <v>439421.136577716</v>
      </c>
      <c r="G53" s="10" t="n">
        <f aca="false">C53*Inputs!$B$7</f>
        <v>779240.178833147</v>
      </c>
      <c r="H53" s="10" t="n">
        <f aca="false">C53*Inputs!$B$8</f>
        <v>996021.326462435</v>
      </c>
      <c r="I53" s="11" t="str">
        <f aca="false">IF(Inputs!$B$11="","",Inputs!$B$11)</f>
        <v/>
      </c>
      <c r="J53" s="8" t="str">
        <f aca="false">IF(OR(I53="",I53=0),"INPUT REQUIRED",D53/I53)</f>
        <v>INPUT REQUIRED</v>
      </c>
      <c r="K53" s="8" t="str">
        <f aca="false">IF(OR(I53="",I53=0),"INPUT REQUIRED",E53/I53)</f>
        <v>INPUT REQUIRED</v>
      </c>
    </row>
    <row r="54" customFormat="false" ht="15" hidden="false" customHeight="false" outlineLevel="0" collapsed="false">
      <c r="A54" s="0" t="n">
        <v>49</v>
      </c>
      <c r="B54" s="7" t="n">
        <f aca="false">Unlocks!B54</f>
        <v>47912</v>
      </c>
      <c r="C54" s="6" t="n">
        <f aca="false">Unlocks!M54</f>
        <v>4171358.33333333</v>
      </c>
      <c r="D54" s="10" t="n">
        <f aca="false">C54*Inputs!$B$5</f>
        <v>667417.333333333</v>
      </c>
      <c r="E54" s="10" t="n">
        <f aca="false">C54*Inputs!$B$9</f>
        <v>834271.666666667</v>
      </c>
      <c r="F54" s="10" t="n">
        <f aca="false">C54*Inputs!$B$6</f>
        <v>403755.575441006</v>
      </c>
      <c r="G54" s="10" t="n">
        <f aca="false">C54*Inputs!$B$7</f>
        <v>715993.247984978</v>
      </c>
      <c r="H54" s="10" t="n">
        <f aca="false">C54*Inputs!$B$8</f>
        <v>915179.381104328</v>
      </c>
      <c r="I54" s="11" t="str">
        <f aca="false">IF(Inputs!$B$11="","",Inputs!$B$11)</f>
        <v/>
      </c>
      <c r="J54" s="8" t="str">
        <f aca="false">IF(OR(I54="",I54=0),"INPUT REQUIRED",D54/I54)</f>
        <v>INPUT REQUIRED</v>
      </c>
      <c r="K54" s="8" t="str">
        <f aca="false">IF(OR(I54="",I54=0),"INPUT REQUIRED",E54/I54)</f>
        <v>INPUT REQUIRED</v>
      </c>
    </row>
    <row r="55" customFormat="false" ht="15" hidden="false" customHeight="false" outlineLevel="0" collapsed="false">
      <c r="A55" s="0" t="n">
        <v>50</v>
      </c>
      <c r="B55" s="7" t="n">
        <f aca="false">Unlocks!B55</f>
        <v>47943</v>
      </c>
      <c r="C55" s="6" t="n">
        <f aca="false">Unlocks!M55</f>
        <v>4171358.33333333</v>
      </c>
      <c r="D55" s="10" t="n">
        <f aca="false">C55*Inputs!$B$5</f>
        <v>667417.333333333</v>
      </c>
      <c r="E55" s="10" t="n">
        <f aca="false">C55*Inputs!$B$9</f>
        <v>834271.666666667</v>
      </c>
      <c r="F55" s="10" t="n">
        <f aca="false">C55*Inputs!$B$6</f>
        <v>403755.575441006</v>
      </c>
      <c r="G55" s="10" t="n">
        <f aca="false">C55*Inputs!$B$7</f>
        <v>715993.247984978</v>
      </c>
      <c r="H55" s="10" t="n">
        <f aca="false">C55*Inputs!$B$8</f>
        <v>915179.381104328</v>
      </c>
      <c r="I55" s="11" t="str">
        <f aca="false">IF(Inputs!$B$11="","",Inputs!$B$11)</f>
        <v/>
      </c>
      <c r="J55" s="8" t="str">
        <f aca="false">IF(OR(I55="",I55=0),"INPUT REQUIRED",D55/I55)</f>
        <v>INPUT REQUIRED</v>
      </c>
      <c r="K55" s="8" t="str">
        <f aca="false">IF(OR(I55="",I55=0),"INPUT REQUIRED",E55/I55)</f>
        <v>INPUT REQUIRED</v>
      </c>
    </row>
    <row r="56" customFormat="false" ht="15" hidden="false" customHeight="false" outlineLevel="0" collapsed="false">
      <c r="A56" s="0" t="n">
        <v>51</v>
      </c>
      <c r="B56" s="7" t="n">
        <f aca="false">Unlocks!B56</f>
        <v>47973</v>
      </c>
      <c r="C56" s="6" t="n">
        <f aca="false">Unlocks!M56</f>
        <v>4171358.33333333</v>
      </c>
      <c r="D56" s="10" t="n">
        <f aca="false">C56*Inputs!$B$5</f>
        <v>667417.333333333</v>
      </c>
      <c r="E56" s="10" t="n">
        <f aca="false">C56*Inputs!$B$9</f>
        <v>834271.666666667</v>
      </c>
      <c r="F56" s="10" t="n">
        <f aca="false">C56*Inputs!$B$6</f>
        <v>403755.575441006</v>
      </c>
      <c r="G56" s="10" t="n">
        <f aca="false">C56*Inputs!$B$7</f>
        <v>715993.247984978</v>
      </c>
      <c r="H56" s="10" t="n">
        <f aca="false">C56*Inputs!$B$8</f>
        <v>915179.381104328</v>
      </c>
      <c r="I56" s="11" t="str">
        <f aca="false">IF(Inputs!$B$11="","",Inputs!$B$11)</f>
        <v/>
      </c>
      <c r="J56" s="8" t="str">
        <f aca="false">IF(OR(I56="",I56=0),"INPUT REQUIRED",D56/I56)</f>
        <v>INPUT REQUIRED</v>
      </c>
      <c r="K56" s="8" t="str">
        <f aca="false">IF(OR(I56="",I56=0),"INPUT REQUIRED",E56/I56)</f>
        <v>INPUT REQUIRED</v>
      </c>
    </row>
    <row r="57" customFormat="false" ht="15" hidden="false" customHeight="false" outlineLevel="0" collapsed="false">
      <c r="A57" s="0" t="n">
        <v>52</v>
      </c>
      <c r="B57" s="7" t="n">
        <f aca="false">Unlocks!B57</f>
        <v>48004</v>
      </c>
      <c r="C57" s="6" t="n">
        <f aca="false">Unlocks!M57</f>
        <v>4171358.33333333</v>
      </c>
      <c r="D57" s="10" t="n">
        <f aca="false">C57*Inputs!$B$5</f>
        <v>667417.333333333</v>
      </c>
      <c r="E57" s="10" t="n">
        <f aca="false">C57*Inputs!$B$9</f>
        <v>834271.666666667</v>
      </c>
      <c r="F57" s="10" t="n">
        <f aca="false">C57*Inputs!$B$6</f>
        <v>403755.575441006</v>
      </c>
      <c r="G57" s="10" t="n">
        <f aca="false">C57*Inputs!$B$7</f>
        <v>715993.247984978</v>
      </c>
      <c r="H57" s="10" t="n">
        <f aca="false">C57*Inputs!$B$8</f>
        <v>915179.381104328</v>
      </c>
      <c r="I57" s="11" t="str">
        <f aca="false">IF(Inputs!$B$11="","",Inputs!$B$11)</f>
        <v/>
      </c>
      <c r="J57" s="8" t="str">
        <f aca="false">IF(OR(I57="",I57=0),"INPUT REQUIRED",D57/I57)</f>
        <v>INPUT REQUIRED</v>
      </c>
      <c r="K57" s="8" t="str">
        <f aca="false">IF(OR(I57="",I57=0),"INPUT REQUIRED",E57/I57)</f>
        <v>INPUT REQUIRED</v>
      </c>
    </row>
    <row r="58" customFormat="false" ht="15" hidden="false" customHeight="false" outlineLevel="0" collapsed="false">
      <c r="A58" s="0" t="n">
        <v>53</v>
      </c>
      <c r="B58" s="7" t="n">
        <f aca="false">Unlocks!B58</f>
        <v>48034</v>
      </c>
      <c r="C58" s="6" t="n">
        <f aca="false">Unlocks!M58</f>
        <v>4171358.33333333</v>
      </c>
      <c r="D58" s="10" t="n">
        <f aca="false">C58*Inputs!$B$5</f>
        <v>667417.333333333</v>
      </c>
      <c r="E58" s="10" t="n">
        <f aca="false">C58*Inputs!$B$9</f>
        <v>834271.666666667</v>
      </c>
      <c r="F58" s="10" t="n">
        <f aca="false">C58*Inputs!$B$6</f>
        <v>403755.575441006</v>
      </c>
      <c r="G58" s="10" t="n">
        <f aca="false">C58*Inputs!$B$7</f>
        <v>715993.247984978</v>
      </c>
      <c r="H58" s="10" t="n">
        <f aca="false">C58*Inputs!$B$8</f>
        <v>915179.381104328</v>
      </c>
      <c r="I58" s="11" t="str">
        <f aca="false">IF(Inputs!$B$11="","",Inputs!$B$11)</f>
        <v/>
      </c>
      <c r="J58" s="8" t="str">
        <f aca="false">IF(OR(I58="",I58=0),"INPUT REQUIRED",D58/I58)</f>
        <v>INPUT REQUIRED</v>
      </c>
      <c r="K58" s="8" t="str">
        <f aca="false">IF(OR(I58="",I58=0),"INPUT REQUIRED",E58/I58)</f>
        <v>INPUT REQUIRED</v>
      </c>
    </row>
    <row r="59" customFormat="false" ht="15" hidden="false" customHeight="false" outlineLevel="0" collapsed="false">
      <c r="A59" s="0" t="n">
        <v>54</v>
      </c>
      <c r="B59" s="7" t="n">
        <f aca="false">Unlocks!B59</f>
        <v>48065</v>
      </c>
      <c r="C59" s="6" t="n">
        <f aca="false">Unlocks!M59</f>
        <v>4171358.33333333</v>
      </c>
      <c r="D59" s="10" t="n">
        <f aca="false">C59*Inputs!$B$5</f>
        <v>667417.333333333</v>
      </c>
      <c r="E59" s="10" t="n">
        <f aca="false">C59*Inputs!$B$9</f>
        <v>834271.666666667</v>
      </c>
      <c r="F59" s="10" t="n">
        <f aca="false">C59*Inputs!$B$6</f>
        <v>403755.575441006</v>
      </c>
      <c r="G59" s="10" t="n">
        <f aca="false">C59*Inputs!$B$7</f>
        <v>715993.247984978</v>
      </c>
      <c r="H59" s="10" t="n">
        <f aca="false">C59*Inputs!$B$8</f>
        <v>915179.381104328</v>
      </c>
      <c r="I59" s="11" t="str">
        <f aca="false">IF(Inputs!$B$11="","",Inputs!$B$11)</f>
        <v/>
      </c>
      <c r="J59" s="8" t="str">
        <f aca="false">IF(OR(I59="",I59=0),"INPUT REQUIRED",D59/I59)</f>
        <v>INPUT REQUIRED</v>
      </c>
      <c r="K59" s="8" t="str">
        <f aca="false">IF(OR(I59="",I59=0),"INPUT REQUIRED",E59/I59)</f>
        <v>INPUT REQUIRED</v>
      </c>
    </row>
    <row r="60" customFormat="false" ht="15" hidden="false" customHeight="false" outlineLevel="0" collapsed="false">
      <c r="A60" s="0" t="n">
        <v>55</v>
      </c>
      <c r="B60" s="7" t="n">
        <f aca="false">Unlocks!B60</f>
        <v>48096</v>
      </c>
      <c r="C60" s="6" t="n">
        <f aca="false">Unlocks!M60</f>
        <v>4171358.33333333</v>
      </c>
      <c r="D60" s="10" t="n">
        <f aca="false">C60*Inputs!$B$5</f>
        <v>667417.333333333</v>
      </c>
      <c r="E60" s="10" t="n">
        <f aca="false">C60*Inputs!$B$9</f>
        <v>834271.666666667</v>
      </c>
      <c r="F60" s="10" t="n">
        <f aca="false">C60*Inputs!$B$6</f>
        <v>403755.575441006</v>
      </c>
      <c r="G60" s="10" t="n">
        <f aca="false">C60*Inputs!$B$7</f>
        <v>715993.247984978</v>
      </c>
      <c r="H60" s="10" t="n">
        <f aca="false">C60*Inputs!$B$8</f>
        <v>915179.381104328</v>
      </c>
      <c r="I60" s="11" t="str">
        <f aca="false">IF(Inputs!$B$11="","",Inputs!$B$11)</f>
        <v/>
      </c>
      <c r="J60" s="8" t="str">
        <f aca="false">IF(OR(I60="",I60=0),"INPUT REQUIRED",D60/I60)</f>
        <v>INPUT REQUIRED</v>
      </c>
      <c r="K60" s="8" t="str">
        <f aca="false">IF(OR(I60="",I60=0),"INPUT REQUIRED",E60/I60)</f>
        <v>INPUT REQUIRED</v>
      </c>
    </row>
    <row r="61" customFormat="false" ht="15" hidden="false" customHeight="false" outlineLevel="0" collapsed="false">
      <c r="A61" s="0" t="n">
        <v>56</v>
      </c>
      <c r="B61" s="7" t="n">
        <f aca="false">Unlocks!B61</f>
        <v>48126</v>
      </c>
      <c r="C61" s="6" t="n">
        <f aca="false">Unlocks!M61</f>
        <v>4171358.33333333</v>
      </c>
      <c r="D61" s="10" t="n">
        <f aca="false">C61*Inputs!$B$5</f>
        <v>667417.333333333</v>
      </c>
      <c r="E61" s="10" t="n">
        <f aca="false">C61*Inputs!$B$9</f>
        <v>834271.666666667</v>
      </c>
      <c r="F61" s="10" t="n">
        <f aca="false">C61*Inputs!$B$6</f>
        <v>403755.575441006</v>
      </c>
      <c r="G61" s="10" t="n">
        <f aca="false">C61*Inputs!$B$7</f>
        <v>715993.247984978</v>
      </c>
      <c r="H61" s="10" t="n">
        <f aca="false">C61*Inputs!$B$8</f>
        <v>915179.381104328</v>
      </c>
      <c r="I61" s="11" t="str">
        <f aca="false">IF(Inputs!$B$11="","",Inputs!$B$11)</f>
        <v/>
      </c>
      <c r="J61" s="8" t="str">
        <f aca="false">IF(OR(I61="",I61=0),"INPUT REQUIRED",D61/I61)</f>
        <v>INPUT REQUIRED</v>
      </c>
      <c r="K61" s="8" t="str">
        <f aca="false">IF(OR(I61="",I61=0),"INPUT REQUIRED",E61/I61)</f>
        <v>INPUT REQUIRED</v>
      </c>
    </row>
    <row r="62" customFormat="false" ht="15" hidden="false" customHeight="false" outlineLevel="0" collapsed="false">
      <c r="A62" s="0" t="n">
        <v>57</v>
      </c>
      <c r="B62" s="7" t="n">
        <f aca="false">Unlocks!B62</f>
        <v>48157</v>
      </c>
      <c r="C62" s="6" t="n">
        <f aca="false">Unlocks!M62</f>
        <v>4171358.33333333</v>
      </c>
      <c r="D62" s="10" t="n">
        <f aca="false">C62*Inputs!$B$5</f>
        <v>667417.333333333</v>
      </c>
      <c r="E62" s="10" t="n">
        <f aca="false">C62*Inputs!$B$9</f>
        <v>834271.666666667</v>
      </c>
      <c r="F62" s="10" t="n">
        <f aca="false">C62*Inputs!$B$6</f>
        <v>403755.575441006</v>
      </c>
      <c r="G62" s="10" t="n">
        <f aca="false">C62*Inputs!$B$7</f>
        <v>715993.247984978</v>
      </c>
      <c r="H62" s="10" t="n">
        <f aca="false">C62*Inputs!$B$8</f>
        <v>915179.381104328</v>
      </c>
      <c r="I62" s="11" t="str">
        <f aca="false">IF(Inputs!$B$11="","",Inputs!$B$11)</f>
        <v/>
      </c>
      <c r="J62" s="8" t="str">
        <f aca="false">IF(OR(I62="",I62=0),"INPUT REQUIRED",D62/I62)</f>
        <v>INPUT REQUIRED</v>
      </c>
      <c r="K62" s="8" t="str">
        <f aca="false">IF(OR(I62="",I62=0),"INPUT REQUIRED",E62/I62)</f>
        <v>INPUT REQUIRED</v>
      </c>
    </row>
    <row r="63" customFormat="false" ht="15" hidden="false" customHeight="false" outlineLevel="0" collapsed="false">
      <c r="A63" s="0" t="n">
        <v>58</v>
      </c>
      <c r="B63" s="7" t="n">
        <f aca="false">Unlocks!B63</f>
        <v>48187</v>
      </c>
      <c r="C63" s="6" t="n">
        <f aca="false">Unlocks!M63</f>
        <v>4171358.33333333</v>
      </c>
      <c r="D63" s="10" t="n">
        <f aca="false">C63*Inputs!$B$5</f>
        <v>667417.333333333</v>
      </c>
      <c r="E63" s="10" t="n">
        <f aca="false">C63*Inputs!$B$9</f>
        <v>834271.666666667</v>
      </c>
      <c r="F63" s="10" t="n">
        <f aca="false">C63*Inputs!$B$6</f>
        <v>403755.575441006</v>
      </c>
      <c r="G63" s="10" t="n">
        <f aca="false">C63*Inputs!$B$7</f>
        <v>715993.247984978</v>
      </c>
      <c r="H63" s="10" t="n">
        <f aca="false">C63*Inputs!$B$8</f>
        <v>915179.381104328</v>
      </c>
      <c r="I63" s="11" t="str">
        <f aca="false">IF(Inputs!$B$11="","",Inputs!$B$11)</f>
        <v/>
      </c>
      <c r="J63" s="8" t="str">
        <f aca="false">IF(OR(I63="",I63=0),"INPUT REQUIRED",D63/I63)</f>
        <v>INPUT REQUIRED</v>
      </c>
      <c r="K63" s="8" t="str">
        <f aca="false">IF(OR(I63="",I63=0),"INPUT REQUIRED",E63/I63)</f>
        <v>INPUT REQUIRED</v>
      </c>
    </row>
    <row r="64" customFormat="false" ht="15" hidden="false" customHeight="false" outlineLevel="0" collapsed="false">
      <c r="A64" s="0" t="n">
        <v>59</v>
      </c>
      <c r="B64" s="7" t="n">
        <f aca="false">Unlocks!B64</f>
        <v>48218</v>
      </c>
      <c r="C64" s="6" t="n">
        <f aca="false">Unlocks!M64</f>
        <v>4171358.33333333</v>
      </c>
      <c r="D64" s="10" t="n">
        <f aca="false">C64*Inputs!$B$5</f>
        <v>667417.333333333</v>
      </c>
      <c r="E64" s="10" t="n">
        <f aca="false">C64*Inputs!$B$9</f>
        <v>834271.666666667</v>
      </c>
      <c r="F64" s="10" t="n">
        <f aca="false">C64*Inputs!$B$6</f>
        <v>403755.575441006</v>
      </c>
      <c r="G64" s="10" t="n">
        <f aca="false">C64*Inputs!$B$7</f>
        <v>715993.247984978</v>
      </c>
      <c r="H64" s="10" t="n">
        <f aca="false">C64*Inputs!$B$8</f>
        <v>915179.381104328</v>
      </c>
      <c r="I64" s="11" t="str">
        <f aca="false">IF(Inputs!$B$11="","",Inputs!$B$11)</f>
        <v/>
      </c>
      <c r="J64" s="8" t="str">
        <f aca="false">IF(OR(I64="",I64=0),"INPUT REQUIRED",D64/I64)</f>
        <v>INPUT REQUIRED</v>
      </c>
      <c r="K64" s="8" t="str">
        <f aca="false">IF(OR(I64="",I64=0),"INPUT REQUIRED",E64/I64)</f>
        <v>INPUT REQUIRED</v>
      </c>
    </row>
    <row r="65" customFormat="false" ht="15" hidden="false" customHeight="false" outlineLevel="0" collapsed="false">
      <c r="A65" s="0" t="n">
        <v>60</v>
      </c>
      <c r="B65" s="7" t="n">
        <f aca="false">Unlocks!B65</f>
        <v>48249</v>
      </c>
      <c r="C65" s="6" t="n">
        <f aca="false">Unlocks!M65</f>
        <v>4171358.33333333</v>
      </c>
      <c r="D65" s="10" t="n">
        <f aca="false">C65*Inputs!$B$5</f>
        <v>667417.333333333</v>
      </c>
      <c r="E65" s="10" t="n">
        <f aca="false">C65*Inputs!$B$9</f>
        <v>834271.666666667</v>
      </c>
      <c r="F65" s="10" t="n">
        <f aca="false">C65*Inputs!$B$6</f>
        <v>403755.575441006</v>
      </c>
      <c r="G65" s="10" t="n">
        <f aca="false">C65*Inputs!$B$7</f>
        <v>715993.247984978</v>
      </c>
      <c r="H65" s="10" t="n">
        <f aca="false">C65*Inputs!$B$8</f>
        <v>915179.381104328</v>
      </c>
      <c r="I65" s="11" t="str">
        <f aca="false">IF(Inputs!$B$11="","",Inputs!$B$11)</f>
        <v/>
      </c>
      <c r="J65" s="8" t="str">
        <f aca="false">IF(OR(I65="",I65=0),"INPUT REQUIRED",D65/I65)</f>
        <v>INPUT REQUIRED</v>
      </c>
      <c r="K65" s="8" t="str">
        <f aca="false">IF(OR(I65="",I65=0),"INPUT REQUIRED",E65/I65)</f>
        <v>INPUT REQUIRED</v>
      </c>
    </row>
    <row r="66" customFormat="false" ht="15" hidden="false" customHeight="false" outlineLevel="0" collapsed="false">
      <c r="A66" s="0" t="n">
        <v>61</v>
      </c>
      <c r="B66" s="7" t="n">
        <f aca="false">Unlocks!B66</f>
        <v>48278</v>
      </c>
      <c r="C66" s="6" t="n">
        <f aca="false">Unlocks!M66</f>
        <v>1774821.25</v>
      </c>
      <c r="D66" s="10" t="n">
        <f aca="false">C66*Inputs!$B$5</f>
        <v>283971.4</v>
      </c>
      <c r="E66" s="10" t="n">
        <f aca="false">C66*Inputs!$B$9</f>
        <v>354964.25</v>
      </c>
      <c r="F66" s="10" t="n">
        <f aca="false">C66*Inputs!$B$6</f>
        <v>171789.119475153</v>
      </c>
      <c r="G66" s="10" t="n">
        <f aca="false">C66*Inputs!$B$7</f>
        <v>304639.383585345</v>
      </c>
      <c r="H66" s="10" t="n">
        <f aca="false">C66*Inputs!$B$8</f>
        <v>389388.703474882</v>
      </c>
      <c r="I66" s="11" t="str">
        <f aca="false">IF(Inputs!$B$11="","",Inputs!$B$11)</f>
        <v/>
      </c>
      <c r="J66" s="8" t="str">
        <f aca="false">IF(OR(I66="",I66=0),"INPUT REQUIRED",D66/I66)</f>
        <v>INPUT REQUIRED</v>
      </c>
      <c r="K66" s="8" t="str">
        <f aca="false">IF(OR(I66="",I66=0),"INPUT REQUIRED",E66/I66)</f>
        <v>INPUT REQUIRED</v>
      </c>
    </row>
    <row r="67" customFormat="false" ht="15" hidden="false" customHeight="false" outlineLevel="0" collapsed="false">
      <c r="A67" s="0" t="n">
        <v>62</v>
      </c>
      <c r="B67" s="7" t="n">
        <f aca="false">Unlocks!B67</f>
        <v>48309</v>
      </c>
      <c r="C67" s="6" t="n">
        <f aca="false">Unlocks!M67</f>
        <v>1774821.25</v>
      </c>
      <c r="D67" s="10" t="n">
        <f aca="false">C67*Inputs!$B$5</f>
        <v>283971.4</v>
      </c>
      <c r="E67" s="10" t="n">
        <f aca="false">C67*Inputs!$B$9</f>
        <v>354964.25</v>
      </c>
      <c r="F67" s="10" t="n">
        <f aca="false">C67*Inputs!$B$6</f>
        <v>171789.119475153</v>
      </c>
      <c r="G67" s="10" t="n">
        <f aca="false">C67*Inputs!$B$7</f>
        <v>304639.383585345</v>
      </c>
      <c r="H67" s="10" t="n">
        <f aca="false">C67*Inputs!$B$8</f>
        <v>389388.703474882</v>
      </c>
      <c r="I67" s="11" t="str">
        <f aca="false">IF(Inputs!$B$11="","",Inputs!$B$11)</f>
        <v/>
      </c>
      <c r="J67" s="8" t="str">
        <f aca="false">IF(OR(I67="",I67=0),"INPUT REQUIRED",D67/I67)</f>
        <v>INPUT REQUIRED</v>
      </c>
      <c r="K67" s="8" t="str">
        <f aca="false">IF(OR(I67="",I67=0),"INPUT REQUIRED",E67/I67)</f>
        <v>INPUT REQUIRED</v>
      </c>
    </row>
    <row r="68" customFormat="false" ht="15" hidden="false" customHeight="false" outlineLevel="0" collapsed="false">
      <c r="A68" s="0" t="n">
        <v>63</v>
      </c>
      <c r="B68" s="7" t="n">
        <f aca="false">Unlocks!B68</f>
        <v>48339</v>
      </c>
      <c r="C68" s="6" t="n">
        <f aca="false">Unlocks!M68</f>
        <v>1774821.25</v>
      </c>
      <c r="D68" s="10" t="n">
        <f aca="false">C68*Inputs!$B$5</f>
        <v>283971.4</v>
      </c>
      <c r="E68" s="10" t="n">
        <f aca="false">C68*Inputs!$B$9</f>
        <v>354964.25</v>
      </c>
      <c r="F68" s="10" t="n">
        <f aca="false">C68*Inputs!$B$6</f>
        <v>171789.119475153</v>
      </c>
      <c r="G68" s="10" t="n">
        <f aca="false">C68*Inputs!$B$7</f>
        <v>304639.383585345</v>
      </c>
      <c r="H68" s="10" t="n">
        <f aca="false">C68*Inputs!$B$8</f>
        <v>389388.703474882</v>
      </c>
      <c r="I68" s="11" t="str">
        <f aca="false">IF(Inputs!$B$11="","",Inputs!$B$11)</f>
        <v/>
      </c>
      <c r="J68" s="8" t="str">
        <f aca="false">IF(OR(I68="",I68=0),"INPUT REQUIRED",D68/I68)</f>
        <v>INPUT REQUIRED</v>
      </c>
      <c r="K68" s="8" t="str">
        <f aca="false">IF(OR(I68="",I68=0),"INPUT REQUIRED",E68/I68)</f>
        <v>INPUT REQUIRED</v>
      </c>
    </row>
    <row r="69" customFormat="false" ht="15" hidden="false" customHeight="false" outlineLevel="0" collapsed="false">
      <c r="A69" s="0" t="n">
        <v>64</v>
      </c>
      <c r="B69" s="7" t="n">
        <f aca="false">Unlocks!B69</f>
        <v>48370</v>
      </c>
      <c r="C69" s="6" t="n">
        <f aca="false">Unlocks!M69</f>
        <v>1774821.25</v>
      </c>
      <c r="D69" s="10" t="n">
        <f aca="false">C69*Inputs!$B$5</f>
        <v>283971.4</v>
      </c>
      <c r="E69" s="10" t="n">
        <f aca="false">C69*Inputs!$B$9</f>
        <v>354964.25</v>
      </c>
      <c r="F69" s="10" t="n">
        <f aca="false">C69*Inputs!$B$6</f>
        <v>171789.119475153</v>
      </c>
      <c r="G69" s="10" t="n">
        <f aca="false">C69*Inputs!$B$7</f>
        <v>304639.383585345</v>
      </c>
      <c r="H69" s="10" t="n">
        <f aca="false">C69*Inputs!$B$8</f>
        <v>389388.703474882</v>
      </c>
      <c r="I69" s="11" t="str">
        <f aca="false">IF(Inputs!$B$11="","",Inputs!$B$11)</f>
        <v/>
      </c>
      <c r="J69" s="8" t="str">
        <f aca="false">IF(OR(I69="",I69=0),"INPUT REQUIRED",D69/I69)</f>
        <v>INPUT REQUIRED</v>
      </c>
      <c r="K69" s="8" t="str">
        <f aca="false">IF(OR(I69="",I69=0),"INPUT REQUIRED",E69/I69)</f>
        <v>INPUT REQUIRED</v>
      </c>
    </row>
    <row r="70" customFormat="false" ht="15" hidden="false" customHeight="false" outlineLevel="0" collapsed="false">
      <c r="A70" s="0" t="n">
        <v>65</v>
      </c>
      <c r="B70" s="7" t="n">
        <f aca="false">Unlocks!B70</f>
        <v>48400</v>
      </c>
      <c r="C70" s="6" t="n">
        <f aca="false">Unlocks!M70</f>
        <v>1774821.25</v>
      </c>
      <c r="D70" s="10" t="n">
        <f aca="false">C70*Inputs!$B$5</f>
        <v>283971.4</v>
      </c>
      <c r="E70" s="10" t="n">
        <f aca="false">C70*Inputs!$B$9</f>
        <v>354964.25</v>
      </c>
      <c r="F70" s="10" t="n">
        <f aca="false">C70*Inputs!$B$6</f>
        <v>171789.119475153</v>
      </c>
      <c r="G70" s="10" t="n">
        <f aca="false">C70*Inputs!$B$7</f>
        <v>304639.383585345</v>
      </c>
      <c r="H70" s="10" t="n">
        <f aca="false">C70*Inputs!$B$8</f>
        <v>389388.703474882</v>
      </c>
      <c r="I70" s="11" t="str">
        <f aca="false">IF(Inputs!$B$11="","",Inputs!$B$11)</f>
        <v/>
      </c>
      <c r="J70" s="8" t="str">
        <f aca="false">IF(OR(I70="",I70=0),"INPUT REQUIRED",D70/I70)</f>
        <v>INPUT REQUIRED</v>
      </c>
      <c r="K70" s="8" t="str">
        <f aca="false">IF(OR(I70="",I70=0),"INPUT REQUIRED",E70/I70)</f>
        <v>INPUT REQUIRED</v>
      </c>
    </row>
    <row r="71" customFormat="false" ht="15" hidden="false" customHeight="false" outlineLevel="0" collapsed="false">
      <c r="A71" s="0" t="n">
        <v>66</v>
      </c>
      <c r="B71" s="7" t="n">
        <f aca="false">Unlocks!B71</f>
        <v>48431</v>
      </c>
      <c r="C71" s="6" t="n">
        <f aca="false">Unlocks!M71</f>
        <v>1774821.25</v>
      </c>
      <c r="D71" s="10" t="n">
        <f aca="false">C71*Inputs!$B$5</f>
        <v>283971.4</v>
      </c>
      <c r="E71" s="10" t="n">
        <f aca="false">C71*Inputs!$B$9</f>
        <v>354964.25</v>
      </c>
      <c r="F71" s="10" t="n">
        <f aca="false">C71*Inputs!$B$6</f>
        <v>171789.119475153</v>
      </c>
      <c r="G71" s="10" t="n">
        <f aca="false">C71*Inputs!$B$7</f>
        <v>304639.383585345</v>
      </c>
      <c r="H71" s="10" t="n">
        <f aca="false">C71*Inputs!$B$8</f>
        <v>389388.703474882</v>
      </c>
      <c r="I71" s="11" t="str">
        <f aca="false">IF(Inputs!$B$11="","",Inputs!$B$11)</f>
        <v/>
      </c>
      <c r="J71" s="8" t="str">
        <f aca="false">IF(OR(I71="",I71=0),"INPUT REQUIRED",D71/I71)</f>
        <v>INPUT REQUIRED</v>
      </c>
      <c r="K71" s="8" t="str">
        <f aca="false">IF(OR(I71="",I71=0),"INPUT REQUIRED",E71/I71)</f>
        <v>INPUT REQUIRED</v>
      </c>
    </row>
    <row r="72" customFormat="false" ht="15" hidden="false" customHeight="false" outlineLevel="0" collapsed="false">
      <c r="A72" s="0" t="n">
        <v>67</v>
      </c>
      <c r="B72" s="7" t="n">
        <f aca="false">Unlocks!B72</f>
        <v>48462</v>
      </c>
      <c r="C72" s="6" t="n">
        <f aca="false">Unlocks!M72</f>
        <v>1774821.25</v>
      </c>
      <c r="D72" s="10" t="n">
        <f aca="false">C72*Inputs!$B$5</f>
        <v>283971.4</v>
      </c>
      <c r="E72" s="10" t="n">
        <f aca="false">C72*Inputs!$B$9</f>
        <v>354964.25</v>
      </c>
      <c r="F72" s="10" t="n">
        <f aca="false">C72*Inputs!$B$6</f>
        <v>171789.119475153</v>
      </c>
      <c r="G72" s="10" t="n">
        <f aca="false">C72*Inputs!$B$7</f>
        <v>304639.383585345</v>
      </c>
      <c r="H72" s="10" t="n">
        <f aca="false">C72*Inputs!$B$8</f>
        <v>389388.703474882</v>
      </c>
      <c r="I72" s="11" t="str">
        <f aca="false">IF(Inputs!$B$11="","",Inputs!$B$11)</f>
        <v/>
      </c>
      <c r="J72" s="8" t="str">
        <f aca="false">IF(OR(I72="",I72=0),"INPUT REQUIRED",D72/I72)</f>
        <v>INPUT REQUIRED</v>
      </c>
      <c r="K72" s="8" t="str">
        <f aca="false">IF(OR(I72="",I72=0),"INPUT REQUIRED",E72/I72)</f>
        <v>INPUT REQUIRED</v>
      </c>
    </row>
    <row r="73" customFormat="false" ht="15" hidden="false" customHeight="false" outlineLevel="0" collapsed="false">
      <c r="A73" s="0" t="n">
        <v>68</v>
      </c>
      <c r="B73" s="7" t="n">
        <f aca="false">Unlocks!B73</f>
        <v>48492</v>
      </c>
      <c r="C73" s="6" t="n">
        <f aca="false">Unlocks!M73</f>
        <v>1774821.25</v>
      </c>
      <c r="D73" s="10" t="n">
        <f aca="false">C73*Inputs!$B$5</f>
        <v>283971.4</v>
      </c>
      <c r="E73" s="10" t="n">
        <f aca="false">C73*Inputs!$B$9</f>
        <v>354964.25</v>
      </c>
      <c r="F73" s="10" t="n">
        <f aca="false">C73*Inputs!$B$6</f>
        <v>171789.119475153</v>
      </c>
      <c r="G73" s="10" t="n">
        <f aca="false">C73*Inputs!$B$7</f>
        <v>304639.383585345</v>
      </c>
      <c r="H73" s="10" t="n">
        <f aca="false">C73*Inputs!$B$8</f>
        <v>389388.703474882</v>
      </c>
      <c r="I73" s="11" t="str">
        <f aca="false">IF(Inputs!$B$11="","",Inputs!$B$11)</f>
        <v/>
      </c>
      <c r="J73" s="8" t="str">
        <f aca="false">IF(OR(I73="",I73=0),"INPUT REQUIRED",D73/I73)</f>
        <v>INPUT REQUIRED</v>
      </c>
      <c r="K73" s="8" t="str">
        <f aca="false">IF(OR(I73="",I73=0),"INPUT REQUIRED",E73/I73)</f>
        <v>INPUT REQUIRED</v>
      </c>
    </row>
    <row r="74" customFormat="false" ht="15" hidden="false" customHeight="false" outlineLevel="0" collapsed="false">
      <c r="A74" s="0" t="n">
        <v>69</v>
      </c>
      <c r="B74" s="7" t="n">
        <f aca="false">Unlocks!B74</f>
        <v>48523</v>
      </c>
      <c r="C74" s="6" t="n">
        <f aca="false">Unlocks!M74</f>
        <v>1774821.25</v>
      </c>
      <c r="D74" s="10" t="n">
        <f aca="false">C74*Inputs!$B$5</f>
        <v>283971.4</v>
      </c>
      <c r="E74" s="10" t="n">
        <f aca="false">C74*Inputs!$B$9</f>
        <v>354964.25</v>
      </c>
      <c r="F74" s="10" t="n">
        <f aca="false">C74*Inputs!$B$6</f>
        <v>171789.119475153</v>
      </c>
      <c r="G74" s="10" t="n">
        <f aca="false">C74*Inputs!$B$7</f>
        <v>304639.383585345</v>
      </c>
      <c r="H74" s="10" t="n">
        <f aca="false">C74*Inputs!$B$8</f>
        <v>389388.703474882</v>
      </c>
      <c r="I74" s="11" t="str">
        <f aca="false">IF(Inputs!$B$11="","",Inputs!$B$11)</f>
        <v/>
      </c>
      <c r="J74" s="8" t="str">
        <f aca="false">IF(OR(I74="",I74=0),"INPUT REQUIRED",D74/I74)</f>
        <v>INPUT REQUIRED</v>
      </c>
      <c r="K74" s="8" t="str">
        <f aca="false">IF(OR(I74="",I74=0),"INPUT REQUIRED",E74/I74)</f>
        <v>INPUT REQUIRED</v>
      </c>
    </row>
    <row r="75" customFormat="false" ht="15" hidden="false" customHeight="false" outlineLevel="0" collapsed="false">
      <c r="A75" s="0" t="n">
        <v>70</v>
      </c>
      <c r="B75" s="7" t="n">
        <f aca="false">Unlocks!B75</f>
        <v>48553</v>
      </c>
      <c r="C75" s="6" t="n">
        <f aca="false">Unlocks!M75</f>
        <v>1774821.25</v>
      </c>
      <c r="D75" s="10" t="n">
        <f aca="false">C75*Inputs!$B$5</f>
        <v>283971.4</v>
      </c>
      <c r="E75" s="10" t="n">
        <f aca="false">C75*Inputs!$B$9</f>
        <v>354964.25</v>
      </c>
      <c r="F75" s="10" t="n">
        <f aca="false">C75*Inputs!$B$6</f>
        <v>171789.119475153</v>
      </c>
      <c r="G75" s="10" t="n">
        <f aca="false">C75*Inputs!$B$7</f>
        <v>304639.383585345</v>
      </c>
      <c r="H75" s="10" t="n">
        <f aca="false">C75*Inputs!$B$8</f>
        <v>389388.703474882</v>
      </c>
      <c r="I75" s="11" t="str">
        <f aca="false">IF(Inputs!$B$11="","",Inputs!$B$11)</f>
        <v/>
      </c>
      <c r="J75" s="8" t="str">
        <f aca="false">IF(OR(I75="",I75=0),"INPUT REQUIRED",D75/I75)</f>
        <v>INPUT REQUIRED</v>
      </c>
      <c r="K75" s="8" t="str">
        <f aca="false">IF(OR(I75="",I75=0),"INPUT REQUIRED",E75/I75)</f>
        <v>INPUT REQUIRED</v>
      </c>
    </row>
    <row r="76" customFormat="false" ht="15" hidden="false" customHeight="false" outlineLevel="0" collapsed="false">
      <c r="A76" s="0" t="n">
        <v>71</v>
      </c>
      <c r="B76" s="7" t="n">
        <f aca="false">Unlocks!B76</f>
        <v>48584</v>
      </c>
      <c r="C76" s="6" t="n">
        <f aca="false">Unlocks!M76</f>
        <v>1774821.25</v>
      </c>
      <c r="D76" s="10" t="n">
        <f aca="false">C76*Inputs!$B$5</f>
        <v>283971.4</v>
      </c>
      <c r="E76" s="10" t="n">
        <f aca="false">C76*Inputs!$B$9</f>
        <v>354964.25</v>
      </c>
      <c r="F76" s="10" t="n">
        <f aca="false">C76*Inputs!$B$6</f>
        <v>171789.119475153</v>
      </c>
      <c r="G76" s="10" t="n">
        <f aca="false">C76*Inputs!$B$7</f>
        <v>304639.383585345</v>
      </c>
      <c r="H76" s="10" t="n">
        <f aca="false">C76*Inputs!$B$8</f>
        <v>389388.703474882</v>
      </c>
      <c r="I76" s="11" t="str">
        <f aca="false">IF(Inputs!$B$11="","",Inputs!$B$11)</f>
        <v/>
      </c>
      <c r="J76" s="8" t="str">
        <f aca="false">IF(OR(I76="",I76=0),"INPUT REQUIRED",D76/I76)</f>
        <v>INPUT REQUIRED</v>
      </c>
      <c r="K76" s="8" t="str">
        <f aca="false">IF(OR(I76="",I76=0),"INPUT REQUIRED",E76/I76)</f>
        <v>INPUT REQUIRED</v>
      </c>
    </row>
    <row r="77" customFormat="false" ht="15" hidden="false" customHeight="false" outlineLevel="0" collapsed="false">
      <c r="A77" s="0" t="n">
        <v>72</v>
      </c>
      <c r="B77" s="7" t="n">
        <f aca="false">Unlocks!B77</f>
        <v>48615</v>
      </c>
      <c r="C77" s="6" t="n">
        <f aca="false">Unlocks!M77</f>
        <v>1774821.25</v>
      </c>
      <c r="D77" s="10" t="n">
        <f aca="false">C77*Inputs!$B$5</f>
        <v>283971.4</v>
      </c>
      <c r="E77" s="10" t="n">
        <f aca="false">C77*Inputs!$B$9</f>
        <v>354964.25</v>
      </c>
      <c r="F77" s="10" t="n">
        <f aca="false">C77*Inputs!$B$6</f>
        <v>171789.119475153</v>
      </c>
      <c r="G77" s="10" t="n">
        <f aca="false">C77*Inputs!$B$7</f>
        <v>304639.383585345</v>
      </c>
      <c r="H77" s="10" t="n">
        <f aca="false">C77*Inputs!$B$8</f>
        <v>389388.703474882</v>
      </c>
      <c r="I77" s="11" t="str">
        <f aca="false">IF(Inputs!$B$11="","",Inputs!$B$11)</f>
        <v/>
      </c>
      <c r="J77" s="8" t="str">
        <f aca="false">IF(OR(I77="",I77=0),"INPUT REQUIRED",D77/I77)</f>
        <v>INPUT REQUIRED</v>
      </c>
      <c r="K77" s="8" t="str">
        <f aca="false">IF(OR(I77="",I77=0),"INPUT REQUIRED",E77/I77)</f>
        <v>INPUT REQUIRED</v>
      </c>
    </row>
    <row r="78" customFormat="false" ht="15" hidden="false" customHeight="false" outlineLevel="0" collapsed="false">
      <c r="A78" s="0" t="n">
        <v>73</v>
      </c>
      <c r="B78" s="7" t="n">
        <f aca="false">Unlocks!B78</f>
        <v>48643</v>
      </c>
      <c r="C78" s="6" t="n">
        <f aca="false">Unlocks!M78</f>
        <v>1508598.0625</v>
      </c>
      <c r="D78" s="10" t="n">
        <f aca="false">C78*Inputs!$B$5</f>
        <v>241375.69</v>
      </c>
      <c r="E78" s="10" t="n">
        <f aca="false">C78*Inputs!$B$9</f>
        <v>301719.6125</v>
      </c>
      <c r="F78" s="10" t="n">
        <f aca="false">C78*Inputs!$B$6</f>
        <v>146020.75155388</v>
      </c>
      <c r="G78" s="10" t="n">
        <f aca="false">C78*Inputs!$B$7</f>
        <v>258943.476047543</v>
      </c>
      <c r="H78" s="10" t="n">
        <f aca="false">C78*Inputs!$B$8</f>
        <v>330980.397953649</v>
      </c>
      <c r="I78" s="11" t="str">
        <f aca="false">IF(Inputs!$B$11="","",Inputs!$B$11)</f>
        <v/>
      </c>
      <c r="J78" s="8" t="str">
        <f aca="false">IF(OR(I78="",I78=0),"INPUT REQUIRED",D78/I78)</f>
        <v>INPUT REQUIRED</v>
      </c>
      <c r="K78" s="8" t="str">
        <f aca="false">IF(OR(I78="",I78=0),"INPUT REQUIRED",E78/I78)</f>
        <v>INPUT REQUIRED</v>
      </c>
    </row>
    <row r="79" customFormat="false" ht="15" hidden="false" customHeight="false" outlineLevel="0" collapsed="false">
      <c r="A79" s="0" t="n">
        <v>74</v>
      </c>
      <c r="B79" s="7" t="n">
        <f aca="false">Unlocks!B79</f>
        <v>48674</v>
      </c>
      <c r="C79" s="6" t="n">
        <f aca="false">Unlocks!M79</f>
        <v>1508598.0625</v>
      </c>
      <c r="D79" s="10" t="n">
        <f aca="false">C79*Inputs!$B$5</f>
        <v>241375.69</v>
      </c>
      <c r="E79" s="10" t="n">
        <f aca="false">C79*Inputs!$B$9</f>
        <v>301719.6125</v>
      </c>
      <c r="F79" s="10" t="n">
        <f aca="false">C79*Inputs!$B$6</f>
        <v>146020.75155388</v>
      </c>
      <c r="G79" s="10" t="n">
        <f aca="false">C79*Inputs!$B$7</f>
        <v>258943.476047543</v>
      </c>
      <c r="H79" s="10" t="n">
        <f aca="false">C79*Inputs!$B$8</f>
        <v>330980.397953649</v>
      </c>
      <c r="I79" s="11" t="str">
        <f aca="false">IF(Inputs!$B$11="","",Inputs!$B$11)</f>
        <v/>
      </c>
      <c r="J79" s="8" t="str">
        <f aca="false">IF(OR(I79="",I79=0),"INPUT REQUIRED",D79/I79)</f>
        <v>INPUT REQUIRED</v>
      </c>
      <c r="K79" s="8" t="str">
        <f aca="false">IF(OR(I79="",I79=0),"INPUT REQUIRED",E79/I79)</f>
        <v>INPUT REQUIRED</v>
      </c>
    </row>
    <row r="80" customFormat="false" ht="15" hidden="false" customHeight="false" outlineLevel="0" collapsed="false">
      <c r="A80" s="0" t="n">
        <v>75</v>
      </c>
      <c r="B80" s="7" t="n">
        <f aca="false">Unlocks!B80</f>
        <v>48704</v>
      </c>
      <c r="C80" s="6" t="n">
        <f aca="false">Unlocks!M80</f>
        <v>1508598.0625</v>
      </c>
      <c r="D80" s="10" t="n">
        <f aca="false">C80*Inputs!$B$5</f>
        <v>241375.69</v>
      </c>
      <c r="E80" s="10" t="n">
        <f aca="false">C80*Inputs!$B$9</f>
        <v>301719.6125</v>
      </c>
      <c r="F80" s="10" t="n">
        <f aca="false">C80*Inputs!$B$6</f>
        <v>146020.75155388</v>
      </c>
      <c r="G80" s="10" t="n">
        <f aca="false">C80*Inputs!$B$7</f>
        <v>258943.476047543</v>
      </c>
      <c r="H80" s="10" t="n">
        <f aca="false">C80*Inputs!$B$8</f>
        <v>330980.397953649</v>
      </c>
      <c r="I80" s="11" t="str">
        <f aca="false">IF(Inputs!$B$11="","",Inputs!$B$11)</f>
        <v/>
      </c>
      <c r="J80" s="8" t="str">
        <f aca="false">IF(OR(I80="",I80=0),"INPUT REQUIRED",D80/I80)</f>
        <v>INPUT REQUIRED</v>
      </c>
      <c r="K80" s="8" t="str">
        <f aca="false">IF(OR(I80="",I80=0),"INPUT REQUIRED",E80/I80)</f>
        <v>INPUT REQUIRED</v>
      </c>
    </row>
    <row r="81" customFormat="false" ht="15" hidden="false" customHeight="false" outlineLevel="0" collapsed="false">
      <c r="A81" s="0" t="n">
        <v>76</v>
      </c>
      <c r="B81" s="7" t="n">
        <f aca="false">Unlocks!B81</f>
        <v>48735</v>
      </c>
      <c r="C81" s="6" t="n">
        <f aca="false">Unlocks!M81</f>
        <v>1508598.0625</v>
      </c>
      <c r="D81" s="10" t="n">
        <f aca="false">C81*Inputs!$B$5</f>
        <v>241375.69</v>
      </c>
      <c r="E81" s="10" t="n">
        <f aca="false">C81*Inputs!$B$9</f>
        <v>301719.6125</v>
      </c>
      <c r="F81" s="10" t="n">
        <f aca="false">C81*Inputs!$B$6</f>
        <v>146020.75155388</v>
      </c>
      <c r="G81" s="10" t="n">
        <f aca="false">C81*Inputs!$B$7</f>
        <v>258943.476047543</v>
      </c>
      <c r="H81" s="10" t="n">
        <f aca="false">C81*Inputs!$B$8</f>
        <v>330980.397953649</v>
      </c>
      <c r="I81" s="11" t="str">
        <f aca="false">IF(Inputs!$B$11="","",Inputs!$B$11)</f>
        <v/>
      </c>
      <c r="J81" s="8" t="str">
        <f aca="false">IF(OR(I81="",I81=0),"INPUT REQUIRED",D81/I81)</f>
        <v>INPUT REQUIRED</v>
      </c>
      <c r="K81" s="8" t="str">
        <f aca="false">IF(OR(I81="",I81=0),"INPUT REQUIRED",E81/I81)</f>
        <v>INPUT REQUIRED</v>
      </c>
    </row>
    <row r="82" customFormat="false" ht="15" hidden="false" customHeight="false" outlineLevel="0" collapsed="false">
      <c r="A82" s="0" t="n">
        <v>77</v>
      </c>
      <c r="B82" s="7" t="n">
        <f aca="false">Unlocks!B82</f>
        <v>48765</v>
      </c>
      <c r="C82" s="6" t="n">
        <f aca="false">Unlocks!M82</f>
        <v>1508598.0625</v>
      </c>
      <c r="D82" s="10" t="n">
        <f aca="false">C82*Inputs!$B$5</f>
        <v>241375.69</v>
      </c>
      <c r="E82" s="10" t="n">
        <f aca="false">C82*Inputs!$B$9</f>
        <v>301719.6125</v>
      </c>
      <c r="F82" s="10" t="n">
        <f aca="false">C82*Inputs!$B$6</f>
        <v>146020.75155388</v>
      </c>
      <c r="G82" s="10" t="n">
        <f aca="false">C82*Inputs!$B$7</f>
        <v>258943.476047543</v>
      </c>
      <c r="H82" s="10" t="n">
        <f aca="false">C82*Inputs!$B$8</f>
        <v>330980.397953649</v>
      </c>
      <c r="I82" s="11" t="str">
        <f aca="false">IF(Inputs!$B$11="","",Inputs!$B$11)</f>
        <v/>
      </c>
      <c r="J82" s="8" t="str">
        <f aca="false">IF(OR(I82="",I82=0),"INPUT REQUIRED",D82/I82)</f>
        <v>INPUT REQUIRED</v>
      </c>
      <c r="K82" s="8" t="str">
        <f aca="false">IF(OR(I82="",I82=0),"INPUT REQUIRED",E82/I82)</f>
        <v>INPUT REQUIRED</v>
      </c>
    </row>
    <row r="83" customFormat="false" ht="15" hidden="false" customHeight="false" outlineLevel="0" collapsed="false">
      <c r="A83" s="0" t="n">
        <v>78</v>
      </c>
      <c r="B83" s="7" t="n">
        <f aca="false">Unlocks!B83</f>
        <v>48796</v>
      </c>
      <c r="C83" s="6" t="n">
        <f aca="false">Unlocks!M83</f>
        <v>1508598.0625</v>
      </c>
      <c r="D83" s="10" t="n">
        <f aca="false">C83*Inputs!$B$5</f>
        <v>241375.69</v>
      </c>
      <c r="E83" s="10" t="n">
        <f aca="false">C83*Inputs!$B$9</f>
        <v>301719.6125</v>
      </c>
      <c r="F83" s="10" t="n">
        <f aca="false">C83*Inputs!$B$6</f>
        <v>146020.75155388</v>
      </c>
      <c r="G83" s="10" t="n">
        <f aca="false">C83*Inputs!$B$7</f>
        <v>258943.476047543</v>
      </c>
      <c r="H83" s="10" t="n">
        <f aca="false">C83*Inputs!$B$8</f>
        <v>330980.397953649</v>
      </c>
      <c r="I83" s="11" t="str">
        <f aca="false">IF(Inputs!$B$11="","",Inputs!$B$11)</f>
        <v/>
      </c>
      <c r="J83" s="8" t="str">
        <f aca="false">IF(OR(I83="",I83=0),"INPUT REQUIRED",D83/I83)</f>
        <v>INPUT REQUIRED</v>
      </c>
      <c r="K83" s="8" t="str">
        <f aca="false">IF(OR(I83="",I83=0),"INPUT REQUIRED",E83/I83)</f>
        <v>INPUT REQUIRED</v>
      </c>
    </row>
    <row r="84" customFormat="false" ht="15" hidden="false" customHeight="false" outlineLevel="0" collapsed="false">
      <c r="A84" s="0" t="n">
        <v>79</v>
      </c>
      <c r="B84" s="7" t="n">
        <f aca="false">Unlocks!B84</f>
        <v>48827</v>
      </c>
      <c r="C84" s="6" t="n">
        <f aca="false">Unlocks!M84</f>
        <v>1508598.0625</v>
      </c>
      <c r="D84" s="10" t="n">
        <f aca="false">C84*Inputs!$B$5</f>
        <v>241375.69</v>
      </c>
      <c r="E84" s="10" t="n">
        <f aca="false">C84*Inputs!$B$9</f>
        <v>301719.6125</v>
      </c>
      <c r="F84" s="10" t="n">
        <f aca="false">C84*Inputs!$B$6</f>
        <v>146020.75155388</v>
      </c>
      <c r="G84" s="10" t="n">
        <f aca="false">C84*Inputs!$B$7</f>
        <v>258943.476047543</v>
      </c>
      <c r="H84" s="10" t="n">
        <f aca="false">C84*Inputs!$B$8</f>
        <v>330980.397953649</v>
      </c>
      <c r="I84" s="11" t="str">
        <f aca="false">IF(Inputs!$B$11="","",Inputs!$B$11)</f>
        <v/>
      </c>
      <c r="J84" s="8" t="str">
        <f aca="false">IF(OR(I84="",I84=0),"INPUT REQUIRED",D84/I84)</f>
        <v>INPUT REQUIRED</v>
      </c>
      <c r="K84" s="8" t="str">
        <f aca="false">IF(OR(I84="",I84=0),"INPUT REQUIRED",E84/I84)</f>
        <v>INPUT REQUIRED</v>
      </c>
    </row>
    <row r="85" customFormat="false" ht="15" hidden="false" customHeight="false" outlineLevel="0" collapsed="false">
      <c r="A85" s="0" t="n">
        <v>80</v>
      </c>
      <c r="B85" s="7" t="n">
        <f aca="false">Unlocks!B85</f>
        <v>48857</v>
      </c>
      <c r="C85" s="6" t="n">
        <f aca="false">Unlocks!M85</f>
        <v>1508598.0625</v>
      </c>
      <c r="D85" s="10" t="n">
        <f aca="false">C85*Inputs!$B$5</f>
        <v>241375.69</v>
      </c>
      <c r="E85" s="10" t="n">
        <f aca="false">C85*Inputs!$B$9</f>
        <v>301719.6125</v>
      </c>
      <c r="F85" s="10" t="n">
        <f aca="false">C85*Inputs!$B$6</f>
        <v>146020.75155388</v>
      </c>
      <c r="G85" s="10" t="n">
        <f aca="false">C85*Inputs!$B$7</f>
        <v>258943.476047543</v>
      </c>
      <c r="H85" s="10" t="n">
        <f aca="false">C85*Inputs!$B$8</f>
        <v>330980.397953649</v>
      </c>
      <c r="I85" s="11" t="str">
        <f aca="false">IF(Inputs!$B$11="","",Inputs!$B$11)</f>
        <v/>
      </c>
      <c r="J85" s="8" t="str">
        <f aca="false">IF(OR(I85="",I85=0),"INPUT REQUIRED",D85/I85)</f>
        <v>INPUT REQUIRED</v>
      </c>
      <c r="K85" s="8" t="str">
        <f aca="false">IF(OR(I85="",I85=0),"INPUT REQUIRED",E85/I85)</f>
        <v>INPUT REQUIRED</v>
      </c>
    </row>
    <row r="86" customFormat="false" ht="15" hidden="false" customHeight="false" outlineLevel="0" collapsed="false">
      <c r="A86" s="0" t="n">
        <v>81</v>
      </c>
      <c r="B86" s="7" t="n">
        <f aca="false">Unlocks!B86</f>
        <v>48888</v>
      </c>
      <c r="C86" s="6" t="n">
        <f aca="false">Unlocks!M86</f>
        <v>1508598.0625</v>
      </c>
      <c r="D86" s="10" t="n">
        <f aca="false">C86*Inputs!$B$5</f>
        <v>241375.69</v>
      </c>
      <c r="E86" s="10" t="n">
        <f aca="false">C86*Inputs!$B$9</f>
        <v>301719.6125</v>
      </c>
      <c r="F86" s="10" t="n">
        <f aca="false">C86*Inputs!$B$6</f>
        <v>146020.75155388</v>
      </c>
      <c r="G86" s="10" t="n">
        <f aca="false">C86*Inputs!$B$7</f>
        <v>258943.476047543</v>
      </c>
      <c r="H86" s="10" t="n">
        <f aca="false">C86*Inputs!$B$8</f>
        <v>330980.397953649</v>
      </c>
      <c r="I86" s="11" t="str">
        <f aca="false">IF(Inputs!$B$11="","",Inputs!$B$11)</f>
        <v/>
      </c>
      <c r="J86" s="8" t="str">
        <f aca="false">IF(OR(I86="",I86=0),"INPUT REQUIRED",D86/I86)</f>
        <v>INPUT REQUIRED</v>
      </c>
      <c r="K86" s="8" t="str">
        <f aca="false">IF(OR(I86="",I86=0),"INPUT REQUIRED",E86/I86)</f>
        <v>INPUT REQUIRED</v>
      </c>
    </row>
    <row r="87" customFormat="false" ht="15" hidden="false" customHeight="false" outlineLevel="0" collapsed="false">
      <c r="A87" s="0" t="n">
        <v>82</v>
      </c>
      <c r="B87" s="7" t="n">
        <f aca="false">Unlocks!B87</f>
        <v>48918</v>
      </c>
      <c r="C87" s="6" t="n">
        <f aca="false">Unlocks!M87</f>
        <v>1508598.0625</v>
      </c>
      <c r="D87" s="10" t="n">
        <f aca="false">C87*Inputs!$B$5</f>
        <v>241375.69</v>
      </c>
      <c r="E87" s="10" t="n">
        <f aca="false">C87*Inputs!$B$9</f>
        <v>301719.6125</v>
      </c>
      <c r="F87" s="10" t="n">
        <f aca="false">C87*Inputs!$B$6</f>
        <v>146020.75155388</v>
      </c>
      <c r="G87" s="10" t="n">
        <f aca="false">C87*Inputs!$B$7</f>
        <v>258943.476047543</v>
      </c>
      <c r="H87" s="10" t="n">
        <f aca="false">C87*Inputs!$B$8</f>
        <v>330980.397953649</v>
      </c>
      <c r="I87" s="11" t="str">
        <f aca="false">IF(Inputs!$B$11="","",Inputs!$B$11)</f>
        <v/>
      </c>
      <c r="J87" s="8" t="str">
        <f aca="false">IF(OR(I87="",I87=0),"INPUT REQUIRED",D87/I87)</f>
        <v>INPUT REQUIRED</v>
      </c>
      <c r="K87" s="8" t="str">
        <f aca="false">IF(OR(I87="",I87=0),"INPUT REQUIRED",E87/I87)</f>
        <v>INPUT REQUIRED</v>
      </c>
    </row>
    <row r="88" customFormat="false" ht="15" hidden="false" customHeight="false" outlineLevel="0" collapsed="false">
      <c r="A88" s="0" t="n">
        <v>83</v>
      </c>
      <c r="B88" s="7" t="n">
        <f aca="false">Unlocks!B88</f>
        <v>48949</v>
      </c>
      <c r="C88" s="6" t="n">
        <f aca="false">Unlocks!M88</f>
        <v>1508598.0625</v>
      </c>
      <c r="D88" s="10" t="n">
        <f aca="false">C88*Inputs!$B$5</f>
        <v>241375.69</v>
      </c>
      <c r="E88" s="10" t="n">
        <f aca="false">C88*Inputs!$B$9</f>
        <v>301719.6125</v>
      </c>
      <c r="F88" s="10" t="n">
        <f aca="false">C88*Inputs!$B$6</f>
        <v>146020.75155388</v>
      </c>
      <c r="G88" s="10" t="n">
        <f aca="false">C88*Inputs!$B$7</f>
        <v>258943.476047543</v>
      </c>
      <c r="H88" s="10" t="n">
        <f aca="false">C88*Inputs!$B$8</f>
        <v>330980.397953649</v>
      </c>
      <c r="I88" s="11" t="str">
        <f aca="false">IF(Inputs!$B$11="","",Inputs!$B$11)</f>
        <v/>
      </c>
      <c r="J88" s="8" t="str">
        <f aca="false">IF(OR(I88="",I88=0),"INPUT REQUIRED",D88/I88)</f>
        <v>INPUT REQUIRED</v>
      </c>
      <c r="K88" s="8" t="str">
        <f aca="false">IF(OR(I88="",I88=0),"INPUT REQUIRED",E88/I88)</f>
        <v>INPUT REQUIRED</v>
      </c>
    </row>
    <row r="89" customFormat="false" ht="15" hidden="false" customHeight="false" outlineLevel="0" collapsed="false">
      <c r="A89" s="0" t="n">
        <v>84</v>
      </c>
      <c r="B89" s="7" t="n">
        <f aca="false">Unlocks!B89</f>
        <v>48980</v>
      </c>
      <c r="C89" s="6" t="n">
        <f aca="false">Unlocks!M89</f>
        <v>1508598.0625</v>
      </c>
      <c r="D89" s="10" t="n">
        <f aca="false">C89*Inputs!$B$5</f>
        <v>241375.69</v>
      </c>
      <c r="E89" s="10" t="n">
        <f aca="false">C89*Inputs!$B$9</f>
        <v>301719.6125</v>
      </c>
      <c r="F89" s="10" t="n">
        <f aca="false">C89*Inputs!$B$6</f>
        <v>146020.75155388</v>
      </c>
      <c r="G89" s="10" t="n">
        <f aca="false">C89*Inputs!$B$7</f>
        <v>258943.476047543</v>
      </c>
      <c r="H89" s="10" t="n">
        <f aca="false">C89*Inputs!$B$8</f>
        <v>330980.397953649</v>
      </c>
      <c r="I89" s="11" t="str">
        <f aca="false">IF(Inputs!$B$11="","",Inputs!$B$11)</f>
        <v/>
      </c>
      <c r="J89" s="8" t="str">
        <f aca="false">IF(OR(I89="",I89=0),"INPUT REQUIRED",D89/I89)</f>
        <v>INPUT REQUIRED</v>
      </c>
      <c r="K89" s="8" t="str">
        <f aca="false">IF(OR(I89="",I89=0),"INPUT REQUIRED",E89/I89)</f>
        <v>INPUT REQUIRED</v>
      </c>
    </row>
    <row r="91" customFormat="false" ht="15" hidden="false" customHeight="false" outlineLevel="0" collapsed="false">
      <c r="A91" s="0" t="s">
        <v>47</v>
      </c>
      <c r="C91" s="6" t="n">
        <f aca="false">C18</f>
        <v>17441666.6666667</v>
      </c>
      <c r="D91" s="10" t="n">
        <f aca="false">D18</f>
        <v>2790666.66666667</v>
      </c>
      <c r="E91" s="10" t="n">
        <f aca="false">E18</f>
        <v>3488333.33333333</v>
      </c>
    </row>
    <row r="92" customFormat="false" ht="15" hidden="false" customHeight="false" outlineLevel="0" collapsed="false">
      <c r="A92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1" t="s">
        <v>49</v>
      </c>
    </row>
    <row r="4" customFormat="false" ht="28.3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</row>
    <row r="5" customFormat="false" ht="15" hidden="false" customHeight="false" outlineLevel="0" collapsed="false">
      <c r="A5" s="0" t="s">
        <v>22</v>
      </c>
      <c r="B5" s="6" t="n">
        <f aca="false">Unlocks!C5</f>
        <v>0</v>
      </c>
      <c r="C5" s="6" t="n">
        <f aca="false">Unlocks!C18</f>
        <v>2083333.33333333</v>
      </c>
      <c r="D5" s="10" t="n">
        <f aca="false">C5*Inputs!$B$5</f>
        <v>333333.333333333</v>
      </c>
      <c r="E5" s="10" t="n">
        <f aca="false">C5*Inputs!$B$9</f>
        <v>416666.666666667</v>
      </c>
    </row>
    <row r="6" customFormat="false" ht="15" hidden="false" customHeight="false" outlineLevel="0" collapsed="false">
      <c r="A6" s="0" t="s">
        <v>23</v>
      </c>
      <c r="B6" s="6" t="n">
        <f aca="false">Unlocks!D5</f>
        <v>0</v>
      </c>
      <c r="C6" s="6" t="n">
        <f aca="false">Unlocks!D18</f>
        <v>8125000</v>
      </c>
      <c r="D6" s="10" t="n">
        <f aca="false">C6*Inputs!$B$5</f>
        <v>1300000</v>
      </c>
      <c r="E6" s="10" t="n">
        <f aca="false">C6*Inputs!$B$9</f>
        <v>1625000</v>
      </c>
    </row>
    <row r="7" customFormat="false" ht="15" hidden="false" customHeight="false" outlineLevel="0" collapsed="false">
      <c r="A7" s="0" t="s">
        <v>24</v>
      </c>
      <c r="B7" s="6" t="n">
        <f aca="false">Unlocks!E5</f>
        <v>3000000</v>
      </c>
      <c r="C7" s="6" t="n">
        <f aca="false">Unlocks!E18</f>
        <v>0</v>
      </c>
      <c r="D7" s="10" t="n">
        <f aca="false">C7*Inputs!$B$5</f>
        <v>0</v>
      </c>
      <c r="E7" s="10" t="n">
        <f aca="false">C7*Inputs!$B$9</f>
        <v>0</v>
      </c>
    </row>
    <row r="8" customFormat="false" ht="15" hidden="false" customHeight="false" outlineLevel="0" collapsed="false">
      <c r="A8" s="0" t="s">
        <v>25</v>
      </c>
      <c r="B8" s="6" t="n">
        <f aca="false">Unlocks!F5</f>
        <v>0</v>
      </c>
      <c r="C8" s="6" t="n">
        <f aca="false">Unlocks!F18</f>
        <v>3400000</v>
      </c>
      <c r="D8" s="10" t="n">
        <f aca="false">C8*Inputs!$B$5</f>
        <v>544000</v>
      </c>
      <c r="E8" s="10" t="n">
        <f aca="false">C8*Inputs!$B$9</f>
        <v>680000</v>
      </c>
    </row>
    <row r="9" customFormat="false" ht="15" hidden="false" customHeight="false" outlineLevel="0" collapsed="false">
      <c r="A9" s="0" t="s">
        <v>26</v>
      </c>
      <c r="B9" s="6" t="n">
        <f aca="false">Unlocks!G5</f>
        <v>35000000</v>
      </c>
      <c r="C9" s="6" t="n">
        <f aca="false">Unlocks!G18</f>
        <v>500000</v>
      </c>
      <c r="D9" s="10" t="n">
        <f aca="false">C9*Inputs!$B$5</f>
        <v>80000</v>
      </c>
      <c r="E9" s="10" t="n">
        <f aca="false">C9*Inputs!$B$9</f>
        <v>100000</v>
      </c>
    </row>
    <row r="10" customFormat="false" ht="15" hidden="false" customHeight="false" outlineLevel="0" collapsed="false">
      <c r="A10" s="0" t="s">
        <v>27</v>
      </c>
      <c r="B10" s="6" t="n">
        <f aca="false">Unlocks!H5</f>
        <v>0</v>
      </c>
      <c r="C10" s="6" t="n">
        <f aca="false">Unlocks!H18</f>
        <v>1666666.66666667</v>
      </c>
      <c r="D10" s="10" t="n">
        <f aca="false">C10*Inputs!$B$5</f>
        <v>266666.666666667</v>
      </c>
      <c r="E10" s="10" t="n">
        <f aca="false">C10*Inputs!$B$9</f>
        <v>333333.333333333</v>
      </c>
    </row>
    <row r="11" customFormat="false" ht="15" hidden="false" customHeight="false" outlineLevel="0" collapsed="false">
      <c r="A11" s="0" t="s">
        <v>28</v>
      </c>
      <c r="B11" s="6" t="n">
        <f aca="false">Unlocks!I5</f>
        <v>0</v>
      </c>
      <c r="C11" s="6" t="n">
        <f aca="false">Unlocks!I18</f>
        <v>1666666.66666667</v>
      </c>
      <c r="D11" s="10" t="n">
        <f aca="false">C11*Inputs!$B$5</f>
        <v>266666.666666667</v>
      </c>
      <c r="E11" s="10" t="n">
        <f aca="false">C11*Inputs!$B$9</f>
        <v>333333.333333333</v>
      </c>
    </row>
    <row r="12" customFormat="false" ht="15" hidden="false" customHeight="false" outlineLevel="0" collapsed="false">
      <c r="A12" s="0" t="s">
        <v>29</v>
      </c>
      <c r="B12" s="6" t="n">
        <f aca="false">Unlocks!J5</f>
        <v>0</v>
      </c>
      <c r="C12" s="6" t="n">
        <f aca="false">Unlocks!J18</f>
        <v>0</v>
      </c>
      <c r="D12" s="10" t="n">
        <f aca="false">C12*Inputs!$B$5</f>
        <v>0</v>
      </c>
      <c r="E12" s="10" t="n">
        <f aca="false">C12*Inputs!$B$9</f>
        <v>0</v>
      </c>
    </row>
    <row r="13" customFormat="false" ht="15" hidden="false" customHeight="false" outlineLevel="0" collapsed="false">
      <c r="A13" s="0" t="s">
        <v>30</v>
      </c>
      <c r="B13" s="6" t="n">
        <f aca="false">Unlocks!K5</f>
        <v>10000000</v>
      </c>
      <c r="C13" s="6" t="n">
        <f aca="false">Unlocks!K18</f>
        <v>0</v>
      </c>
      <c r="D13" s="10" t="n">
        <f aca="false">C13*Inputs!$B$5</f>
        <v>0</v>
      </c>
      <c r="E13" s="10" t="n">
        <f aca="false">C13*Inputs!$B$9</f>
        <v>0</v>
      </c>
    </row>
    <row r="14" customFormat="false" ht="15" hidden="false" customHeight="false" outlineLevel="0" collapsed="false">
      <c r="A14" s="0" t="s">
        <v>31</v>
      </c>
      <c r="B14" s="6" t="n">
        <f aca="false">Unlocks!L5</f>
        <v>5000000</v>
      </c>
      <c r="C14" s="6" t="n">
        <f aca="false">Unlocks!L18</f>
        <v>0</v>
      </c>
      <c r="D14" s="10" t="n">
        <f aca="false">C14*Inputs!$B$5</f>
        <v>0</v>
      </c>
      <c r="E14" s="10" t="n">
        <f aca="false">C14*Inputs!$B$9</f>
        <v>0</v>
      </c>
    </row>
    <row r="15" customFormat="false" ht="15" hidden="false" customHeight="false" outlineLevel="0" collapsed="false">
      <c r="A15" s="9" t="s">
        <v>35</v>
      </c>
      <c r="B15" s="6" t="n">
        <f aca="false">SUM(B5:B14)</f>
        <v>53000000</v>
      </c>
      <c r="C15" s="6" t="n">
        <f aca="false">SUM(C5:C14)</f>
        <v>17441666.6666667</v>
      </c>
      <c r="D15" s="10" t="n">
        <f aca="false">SUM(D5:D14)</f>
        <v>2790666.66666667</v>
      </c>
      <c r="E15" s="10" t="n">
        <f aca="false">SUM(E5:E14)</f>
        <v>3488333.33333333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2026-10-19T14:12:27Z</dcterms:created>
  <dc:creator>openpyxl</dc:creator>
  <dc:description/>
  <dc:language>en-US</dc:language>
  <cp:lastModifiedBy/>
  <dcterms:modified xsi:type="dcterms:W3CDTF">2026-10-19T14:12:27Z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