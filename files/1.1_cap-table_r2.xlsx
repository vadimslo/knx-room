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lders" sheetId="1" state="visible" r:id="rId3"/>
    <sheet name="Buckets" sheetId="2" state="visible" r:id="rId4"/>
    <sheet name="Equity" sheetId="3" state="visible" r:id="rId5"/>
    <sheet name="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<sst xmlns="http://schemas.openxmlformats.org/spreadsheetml/2006/main" count="126" uniqueCount="93">
  <si>
    <t xml:space="preserve">Holder</t>
  </si>
  <si>
    <t xml:space="preserve">Round</t>
  </si>
  <si>
    <t xml:space="preserve">Date</t>
  </si>
  <si>
    <t xml:space="preserve">USD committed</t>
  </si>
  <si>
    <t xml:space="preserve">KNX</t>
  </si>
  <si>
    <t xml:space="preserve">% of supply</t>
  </si>
  <si>
    <t xml:space="preserve">Price (USD)</t>
  </si>
  <si>
    <t xml:space="preserve">FDV (USD)</t>
  </si>
  <si>
    <t xml:space="preserve">Brandon Torres Declet</t>
  </si>
  <si>
    <t xml:space="preserve">Pre-seed</t>
  </si>
  <si>
    <t xml:space="preserve">LD Capital</t>
  </si>
  <si>
    <t xml:space="preserve">Seed</t>
  </si>
  <si>
    <t xml:space="preserve">2025-12-18</t>
  </si>
  <si>
    <t xml:space="preserve">Cogitent Ventures</t>
  </si>
  <si>
    <t xml:space="preserve">2025-12-13</t>
  </si>
  <si>
    <t xml:space="preserve">Leland Ventures</t>
  </si>
  <si>
    <t xml:space="preserve">2025-12-19</t>
  </si>
  <si>
    <t xml:space="preserve">M77 Ventures</t>
  </si>
  <si>
    <t xml:space="preserve">Block Maven LLC</t>
  </si>
  <si>
    <t xml:space="preserve">2026-06-01</t>
  </si>
  <si>
    <t xml:space="preserve">Covey</t>
  </si>
  <si>
    <t xml:space="preserve">KOL / strategic round (via T-Rex, K1, Nebula)</t>
  </si>
  <si>
    <t xml:space="preserve">KOL / strategic</t>
  </si>
  <si>
    <t xml:space="preserve">2026-01</t>
  </si>
  <si>
    <t xml:space="preserve">New round, main close</t>
  </si>
  <si>
    <t xml:space="preserve">New round</t>
  </si>
  <si>
    <t xml:space="preserve">2026</t>
  </si>
  <si>
    <t xml:space="preserve">New round, top-up close</t>
  </si>
  <si>
    <t xml:space="preserve">Total</t>
  </si>
  <si>
    <t xml:space="preserve">Pocket</t>
  </si>
  <si>
    <t xml:space="preserve">Class</t>
  </si>
  <si>
    <t xml:space="preserve">Unlocked at TGE</t>
  </si>
  <si>
    <t xml:space="preserve">Release</t>
  </si>
  <si>
    <t xml:space="preserve">Pre-seed (Brandon Torres Declet)</t>
  </si>
  <si>
    <t xml:space="preserve">Legacy investors</t>
  </si>
  <si>
    <t xml:space="preserve">0% at TGE, 12-month cliff, linear T+13 to T+60 (48 months)</t>
  </si>
  <si>
    <t xml:space="preserve">Seed (LD Capital)</t>
  </si>
  <si>
    <t xml:space="preserve">Seed (Cogitent Ventures)</t>
  </si>
  <si>
    <t xml:space="preserve">Seed (Leland Ventures)</t>
  </si>
  <si>
    <t xml:space="preserve">Seed (M77 Ventures)</t>
  </si>
  <si>
    <t xml:space="preserve">Seed (Block Maven LLC)</t>
  </si>
  <si>
    <t xml:space="preserve">Seed (Covey)</t>
  </si>
  <si>
    <t xml:space="preserve">KOL round (T-Rex, K1, Nebula)</t>
  </si>
  <si>
    <t xml:space="preserve">0% at TGE, 12-month cliff, linear T+13 to T+36 (24 months)</t>
  </si>
  <si>
    <t xml:space="preserve">KOLpad allocations (KOLs and Mindo commission)</t>
  </si>
  <si>
    <t xml:space="preserve">KOLpad</t>
  </si>
  <si>
    <t xml:space="preserve">20% at TGE, 40% at T+1, 40% at T+2</t>
  </si>
  <si>
    <t xml:space="preserve">Mining and validator emissions</t>
  </si>
  <si>
    <t xml:space="preserve">Emissions</t>
  </si>
  <si>
    <t xml:space="preserve">Declining annual cap: 48,000,000 in year 1, stepping down 15% a year; issuance is the lesser of the cap and a usage-linked formula. Starts T+4</t>
  </si>
  <si>
    <t xml:space="preserve">Marketing and exchanges</t>
  </si>
  <si>
    <t xml:space="preserve">Marketing</t>
  </si>
  <si>
    <t xml:space="preserve">35,000,000 at TGE itemized to listing and liquidity obligations; 15,000,000 linear T+1 to T+30</t>
  </si>
  <si>
    <t xml:space="preserve">Treasury and reserves</t>
  </si>
  <si>
    <t xml:space="preserve">Treasury</t>
  </si>
  <si>
    <t xml:space="preserve">0% at TGE, linear T+7 to T+36 (30 months)</t>
  </si>
  <si>
    <t xml:space="preserve">Foundation</t>
  </si>
  <si>
    <t xml:space="preserve">0% at TGE, linear T+13 to T+36 (24 months)</t>
  </si>
  <si>
    <t xml:space="preserve">Team and advisors</t>
  </si>
  <si>
    <t xml:space="preserve">Team</t>
  </si>
  <si>
    <t xml:space="preserve">0% at TGE, 2,000,000 a month T+14 to T+38 (25 months)</t>
  </si>
  <si>
    <t xml:space="preserve">Liquidity / market making</t>
  </si>
  <si>
    <t xml:space="preserve">Liquidity</t>
  </si>
  <si>
    <t xml:space="preserve">10,000,000 at TGE as a returnable market-maker loan, terms to be published</t>
  </si>
  <si>
    <t xml:space="preserve">Community airdrop</t>
  </si>
  <si>
    <t xml:space="preserve">Airdrop</t>
  </si>
  <si>
    <t xml:space="preserve">5,000,000 at TGE, retroactive and unconditional</t>
  </si>
  <si>
    <t xml:space="preserve">Entity</t>
  </si>
  <si>
    <t xml:space="preserve">Capital or instrument</t>
  </si>
  <si>
    <t xml:space="preserve">Source</t>
  </si>
  <si>
    <t xml:space="preserve">Dalithium Inc (BVI, company no. 2210176)</t>
  </si>
  <si>
    <t xml:space="preserve">50,000 ordinary shares (entire authorised capital)</t>
  </si>
  <si>
    <t xml:space="preserve">Dalithium Foundation (Panama), 100%</t>
  </si>
  <si>
    <t xml:space="preserve">Register of Members 2 Jun 2026; Share Certificate No. 1, 29 May 2026</t>
  </si>
  <si>
    <t xml:space="preserve">Dalithium Inc (BVI)</t>
  </si>
  <si>
    <t xml:space="preserve">USD 2,000,000 equity investment, Brandon Torres Declet, closed December 2025</t>
  </si>
  <si>
    <t xml:space="preserve">listing questionnaire, July 2026; shareholder list, July 2026</t>
  </si>
  <si>
    <t xml:space="preserve">Konnex Inc (Liberia, C-129951)</t>
  </si>
  <si>
    <t xml:space="preserve">1 of 500 authorised registered shares</t>
  </si>
  <si>
    <t xml:space="preserve">Pablo Pérez Pazos, 100%</t>
  </si>
  <si>
    <t xml:space="preserve">Registers 29 Jan 2026; Declaration of Incumbency 23 Mar 2026</t>
  </si>
  <si>
    <t xml:space="preserve">Dalithium Foundation (Panama, Record 25066646)</t>
  </si>
  <si>
    <t xml:space="preserve">private-interest foundation, no shares</t>
  </si>
  <si>
    <t xml:space="preserve">founder of record CL Corporate Services Inc.; beneficial owner of record Pablo Pérez Pazos</t>
  </si>
  <si>
    <t xml:space="preserve">Public Registry certificate 27 May 2026; Register of Beneficial Owner</t>
  </si>
  <si>
    <t xml:space="preserve">Check</t>
  </si>
  <si>
    <t xml:space="preserve">Value</t>
  </si>
  <si>
    <t xml:space="preserve">Expected</t>
  </si>
  <si>
    <t xml:space="preserve">OK</t>
  </si>
  <si>
    <t xml:space="preserve">Pockets sum</t>
  </si>
  <si>
    <t xml:space="preserve">Investor KNX</t>
  </si>
  <si>
    <t xml:space="preserve">Capital USD</t>
  </si>
  <si>
    <t xml:space="preserve">TGE unlock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</si>
</sst>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000"/>
    <numFmt numFmtId="168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D2" s="2" t="n">
        <v>1000000</v>
      </c>
      <c r="E2" s="2" t="n">
        <v>10331395</v>
      </c>
      <c r="F2" s="3" t="n">
        <f aca="false">E2/1000000000</f>
        <v>0.010331395</v>
      </c>
      <c r="G2" s="4" t="n">
        <f aca="false">D2/E2</f>
        <v>0.0967923499198317</v>
      </c>
      <c r="H2" s="2" t="n">
        <f aca="false">G2*1000000000</f>
        <v>96792349.9198317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2" t="n">
        <v>4687500</v>
      </c>
      <c r="E3" s="2" t="n">
        <v>27309255</v>
      </c>
      <c r="F3" s="3" t="n">
        <f aca="false">E3/1000000000</f>
        <v>0.027309255</v>
      </c>
      <c r="G3" s="4" t="n">
        <f aca="false">D3/E3</f>
        <v>0.171645107125771</v>
      </c>
      <c r="H3" s="2" t="n">
        <f aca="false">G3*1000000000</f>
        <v>171645107.125771</v>
      </c>
    </row>
    <row r="4" customFormat="false" ht="15" hidden="false" customHeight="false" outlineLevel="0" collapsed="false">
      <c r="A4" s="0" t="s">
        <v>13</v>
      </c>
      <c r="B4" s="0" t="s">
        <v>11</v>
      </c>
      <c r="C4" s="0" t="s">
        <v>14</v>
      </c>
      <c r="D4" s="2" t="n">
        <v>2812500</v>
      </c>
      <c r="E4" s="2" t="n">
        <v>16385554</v>
      </c>
      <c r="F4" s="3" t="n">
        <f aca="false">E4/1000000000</f>
        <v>0.016385554</v>
      </c>
      <c r="G4" s="4" t="n">
        <f aca="false">D4/E4</f>
        <v>0.171645096650379</v>
      </c>
      <c r="H4" s="2" t="n">
        <f aca="false">G4*1000000000</f>
        <v>171645096.650379</v>
      </c>
    </row>
    <row r="5" customFormat="false" ht="15" hidden="false" customHeight="false" outlineLevel="0" collapsed="false">
      <c r="A5" s="0" t="s">
        <v>15</v>
      </c>
      <c r="B5" s="0" t="s">
        <v>11</v>
      </c>
      <c r="C5" s="0" t="s">
        <v>16</v>
      </c>
      <c r="D5" s="2" t="n">
        <v>1875000</v>
      </c>
      <c r="E5" s="2" t="n">
        <v>10923703</v>
      </c>
      <c r="F5" s="3" t="n">
        <f aca="false">E5/1000000000</f>
        <v>0.010923703</v>
      </c>
      <c r="G5" s="4" t="n">
        <f aca="false">D5/E5</f>
        <v>0.171645091412683</v>
      </c>
      <c r="H5" s="2" t="n">
        <f aca="false">G5*1000000000</f>
        <v>171645091.412683</v>
      </c>
    </row>
    <row r="6" customFormat="false" ht="15" hidden="false" customHeight="false" outlineLevel="0" collapsed="false">
      <c r="A6" s="0" t="s">
        <v>17</v>
      </c>
      <c r="B6" s="0" t="s">
        <v>11</v>
      </c>
      <c r="C6" s="0" t="s">
        <v>14</v>
      </c>
      <c r="D6" s="2" t="n">
        <v>1875000</v>
      </c>
      <c r="E6" s="2" t="n">
        <v>10923703</v>
      </c>
      <c r="F6" s="3" t="n">
        <f aca="false">E6/1000000000</f>
        <v>0.010923703</v>
      </c>
      <c r="G6" s="4" t="n">
        <f aca="false">D6/E6</f>
        <v>0.171645091412683</v>
      </c>
      <c r="H6" s="2" t="n">
        <f aca="false">G6*1000000000</f>
        <v>171645091.412683</v>
      </c>
    </row>
    <row r="7" customFormat="false" ht="15" hidden="false" customHeight="false" outlineLevel="0" collapsed="false">
      <c r="A7" s="0" t="s">
        <v>18</v>
      </c>
      <c r="B7" s="0" t="s">
        <v>11</v>
      </c>
      <c r="C7" s="0" t="s">
        <v>19</v>
      </c>
      <c r="D7" s="2" t="n">
        <v>1875000</v>
      </c>
      <c r="E7" s="2" t="n">
        <v>10923703</v>
      </c>
      <c r="F7" s="3" t="n">
        <f aca="false">E7/1000000000</f>
        <v>0.010923703</v>
      </c>
      <c r="G7" s="4" t="n">
        <f aca="false">D7/E7</f>
        <v>0.171645091412683</v>
      </c>
      <c r="H7" s="2" t="n">
        <f aca="false">G7*1000000000</f>
        <v>171645091.412683</v>
      </c>
    </row>
    <row r="8" customFormat="false" ht="15" hidden="false" customHeight="false" outlineLevel="0" collapsed="false">
      <c r="A8" s="0" t="s">
        <v>20</v>
      </c>
      <c r="B8" s="0" t="s">
        <v>11</v>
      </c>
      <c r="C8" s="0" t="s">
        <v>14</v>
      </c>
      <c r="D8" s="2" t="n">
        <v>1875000</v>
      </c>
      <c r="E8" s="2" t="n">
        <v>10923703</v>
      </c>
      <c r="F8" s="3" t="n">
        <f aca="false">E8/1000000000</f>
        <v>0.010923703</v>
      </c>
      <c r="G8" s="4" t="n">
        <f aca="false">D8/E8</f>
        <v>0.171645091412683</v>
      </c>
      <c r="H8" s="2" t="n">
        <f aca="false">G8*1000000000</f>
        <v>171645091.412683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23</v>
      </c>
      <c r="D9" s="2" t="n">
        <v>500000</v>
      </c>
      <c r="E9" s="2" t="n">
        <v>2278984</v>
      </c>
      <c r="F9" s="3" t="n">
        <f aca="false">E9/1000000000</f>
        <v>0.002278984</v>
      </c>
      <c r="G9" s="4" t="n">
        <f aca="false">D9/E9</f>
        <v>0.219396011556027</v>
      </c>
      <c r="H9" s="2" t="n">
        <f aca="false">G9*1000000000</f>
        <v>219396011.556027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0" t="s">
        <v>26</v>
      </c>
      <c r="D10" s="2" t="n">
        <v>28000000</v>
      </c>
      <c r="E10" s="2" t="n">
        <v>175000000</v>
      </c>
      <c r="F10" s="3" t="n">
        <f aca="false">E10/1000000000</f>
        <v>0.175</v>
      </c>
      <c r="G10" s="4" t="n">
        <f aca="false">D10/E10</f>
        <v>0.16</v>
      </c>
      <c r="H10" s="2" t="n">
        <f aca="false">G10*1000000000</f>
        <v>160000000</v>
      </c>
    </row>
    <row r="11" customFormat="false" ht="15" hidden="false" customHeight="false" outlineLevel="0" collapsed="false">
      <c r="A11" s="0" t="s">
        <v>27</v>
      </c>
      <c r="B11" s="0" t="s">
        <v>25</v>
      </c>
      <c r="C11" s="0" t="s">
        <v>26</v>
      </c>
      <c r="D11" s="2" t="n">
        <v>4000000</v>
      </c>
      <c r="E11" s="2" t="n">
        <v>20000000</v>
      </c>
      <c r="F11" s="3" t="n">
        <f aca="false">E11/1000000000</f>
        <v>0.02</v>
      </c>
      <c r="G11" s="4" t="n">
        <f aca="false">D11/E11</f>
        <v>0.2</v>
      </c>
      <c r="H11" s="2" t="n">
        <f aca="false">G11*1000000000</f>
        <v>200000000</v>
      </c>
    </row>
    <row r="12" customFormat="false" ht="15" hidden="false" customHeight="false" outlineLevel="0" collapsed="false">
      <c r="A12" s="5" t="s">
        <v>28</v>
      </c>
      <c r="D12" s="2" t="n">
        <f aca="false">SUM(D2:D11)</f>
        <v>48500000</v>
      </c>
      <c r="E12" s="2" t="n">
        <f aca="false">SUM(E2:E11)</f>
        <v>295000000</v>
      </c>
      <c r="F12" s="3" t="n">
        <f aca="false">E12/1000000000</f>
        <v>0.295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4</v>
      </c>
      <c r="D1" s="1" t="s">
        <v>5</v>
      </c>
      <c r="E1" s="1" t="s">
        <v>31</v>
      </c>
      <c r="F1" s="1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2" t="n">
        <v>10331395</v>
      </c>
      <c r="D2" s="3" t="n">
        <f aca="false">C2/1000000000</f>
        <v>0.010331395</v>
      </c>
      <c r="E2" s="2" t="n">
        <v>0</v>
      </c>
      <c r="F2" s="6" t="s">
        <v>35</v>
      </c>
    </row>
    <row r="3" customFormat="false" ht="15" hidden="false" customHeight="false" outlineLevel="0" collapsed="false">
      <c r="A3" s="0" t="s">
        <v>36</v>
      </c>
      <c r="B3" s="0" t="s">
        <v>34</v>
      </c>
      <c r="C3" s="2" t="n">
        <v>27309255</v>
      </c>
      <c r="D3" s="3" t="n">
        <f aca="false">C3/1000000000</f>
        <v>0.027309255</v>
      </c>
      <c r="E3" s="2" t="n">
        <v>0</v>
      </c>
      <c r="F3" s="6" t="s">
        <v>35</v>
      </c>
    </row>
    <row r="4" customFormat="false" ht="15" hidden="false" customHeight="false" outlineLevel="0" collapsed="false">
      <c r="A4" s="0" t="s">
        <v>37</v>
      </c>
      <c r="B4" s="0" t="s">
        <v>34</v>
      </c>
      <c r="C4" s="2" t="n">
        <v>16385554</v>
      </c>
      <c r="D4" s="3" t="n">
        <f aca="false">C4/1000000000</f>
        <v>0.016385554</v>
      </c>
      <c r="E4" s="2" t="n">
        <v>0</v>
      </c>
      <c r="F4" s="6" t="s">
        <v>35</v>
      </c>
    </row>
    <row r="5" customFormat="false" ht="15" hidden="false" customHeight="false" outlineLevel="0" collapsed="false">
      <c r="A5" s="0" t="s">
        <v>38</v>
      </c>
      <c r="B5" s="0" t="s">
        <v>34</v>
      </c>
      <c r="C5" s="2" t="n">
        <v>10923703</v>
      </c>
      <c r="D5" s="3" t="n">
        <f aca="false">C5/1000000000</f>
        <v>0.010923703</v>
      </c>
      <c r="E5" s="2" t="n">
        <v>0</v>
      </c>
      <c r="F5" s="6" t="s">
        <v>35</v>
      </c>
    </row>
    <row r="6" customFormat="false" ht="15" hidden="false" customHeight="false" outlineLevel="0" collapsed="false">
      <c r="A6" s="0" t="s">
        <v>39</v>
      </c>
      <c r="B6" s="0" t="s">
        <v>34</v>
      </c>
      <c r="C6" s="2" t="n">
        <v>10923703</v>
      </c>
      <c r="D6" s="3" t="n">
        <f aca="false">C6/1000000000</f>
        <v>0.010923703</v>
      </c>
      <c r="E6" s="2" t="n">
        <v>0</v>
      </c>
      <c r="F6" s="6" t="s">
        <v>35</v>
      </c>
    </row>
    <row r="7" customFormat="false" ht="15" hidden="false" customHeight="false" outlineLevel="0" collapsed="false">
      <c r="A7" s="0" t="s">
        <v>40</v>
      </c>
      <c r="B7" s="0" t="s">
        <v>34</v>
      </c>
      <c r="C7" s="2" t="n">
        <v>10923703</v>
      </c>
      <c r="D7" s="3" t="n">
        <f aca="false">C7/1000000000</f>
        <v>0.010923703</v>
      </c>
      <c r="E7" s="2" t="n">
        <v>0</v>
      </c>
      <c r="F7" s="6" t="s">
        <v>35</v>
      </c>
    </row>
    <row r="8" customFormat="false" ht="15" hidden="false" customHeight="false" outlineLevel="0" collapsed="false">
      <c r="A8" s="0" t="s">
        <v>41</v>
      </c>
      <c r="B8" s="0" t="s">
        <v>34</v>
      </c>
      <c r="C8" s="2" t="n">
        <v>10923703</v>
      </c>
      <c r="D8" s="3" t="n">
        <f aca="false">C8/1000000000</f>
        <v>0.010923703</v>
      </c>
      <c r="E8" s="2" t="n">
        <v>0</v>
      </c>
      <c r="F8" s="6" t="s">
        <v>35</v>
      </c>
    </row>
    <row r="9" customFormat="false" ht="15" hidden="false" customHeight="false" outlineLevel="0" collapsed="false">
      <c r="A9" s="0" t="s">
        <v>42</v>
      </c>
      <c r="B9" s="0" t="s">
        <v>34</v>
      </c>
      <c r="C9" s="2" t="n">
        <v>2278984</v>
      </c>
      <c r="D9" s="3" t="n">
        <f aca="false">C9/1000000000</f>
        <v>0.002278984</v>
      </c>
      <c r="E9" s="2" t="n">
        <v>0</v>
      </c>
      <c r="F9" s="6" t="s">
        <v>35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2" t="n">
        <v>175000000</v>
      </c>
      <c r="D10" s="3" t="n">
        <f aca="false">C10/1000000000</f>
        <v>0.175</v>
      </c>
      <c r="E10" s="2" t="n">
        <v>0</v>
      </c>
      <c r="F10" s="6" t="s">
        <v>43</v>
      </c>
    </row>
    <row r="11" customFormat="false" ht="15" hidden="false" customHeight="false" outlineLevel="0" collapsed="false">
      <c r="A11" s="0" t="s">
        <v>27</v>
      </c>
      <c r="B11" s="0" t="s">
        <v>25</v>
      </c>
      <c r="C11" s="2" t="n">
        <v>20000000</v>
      </c>
      <c r="D11" s="3" t="n">
        <f aca="false">C11/1000000000</f>
        <v>0.02</v>
      </c>
      <c r="E11" s="2" t="n">
        <v>0</v>
      </c>
      <c r="F11" s="6" t="s">
        <v>43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2" t="n">
        <v>15000000</v>
      </c>
      <c r="D12" s="3" t="n">
        <f aca="false">C12/1000000000</f>
        <v>0.015</v>
      </c>
      <c r="E12" s="2" t="n">
        <v>3000000</v>
      </c>
      <c r="F12" s="6" t="s">
        <v>46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2" t="n">
        <v>485000000</v>
      </c>
      <c r="D13" s="3" t="n">
        <f aca="false">C13/1000000000</f>
        <v>0.485</v>
      </c>
      <c r="E13" s="2" t="n">
        <v>0</v>
      </c>
      <c r="F13" s="6" t="s">
        <v>49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2" t="n">
        <v>50000000</v>
      </c>
      <c r="D14" s="3" t="n">
        <f aca="false">C14/1000000000</f>
        <v>0.05</v>
      </c>
      <c r="E14" s="2" t="n">
        <v>35000000</v>
      </c>
      <c r="F14" s="6" t="s">
        <v>52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2" t="n">
        <v>50000000</v>
      </c>
      <c r="D15" s="3" t="n">
        <f aca="false">C15/1000000000</f>
        <v>0.05</v>
      </c>
      <c r="E15" s="2" t="n">
        <v>0</v>
      </c>
      <c r="F15" s="6" t="s">
        <v>55</v>
      </c>
    </row>
    <row r="16" customFormat="false" ht="15" hidden="false" customHeight="false" outlineLevel="0" collapsed="false">
      <c r="A16" s="0" t="s">
        <v>56</v>
      </c>
      <c r="B16" s="0" t="s">
        <v>56</v>
      </c>
      <c r="C16" s="2" t="n">
        <v>40000000</v>
      </c>
      <c r="D16" s="3" t="n">
        <f aca="false">C16/1000000000</f>
        <v>0.04</v>
      </c>
      <c r="E16" s="2" t="n">
        <v>0</v>
      </c>
      <c r="F16" s="6" t="s">
        <v>57</v>
      </c>
    </row>
    <row r="17" customFormat="false" ht="15" hidden="false" customHeight="false" outlineLevel="0" collapsed="false">
      <c r="A17" s="0" t="s">
        <v>58</v>
      </c>
      <c r="B17" s="0" t="s">
        <v>59</v>
      </c>
      <c r="C17" s="2" t="n">
        <v>50000000</v>
      </c>
      <c r="D17" s="3" t="n">
        <f aca="false">C17/1000000000</f>
        <v>0.05</v>
      </c>
      <c r="E17" s="2" t="n">
        <v>0</v>
      </c>
      <c r="F17" s="6" t="s">
        <v>60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2" t="n">
        <v>10000000</v>
      </c>
      <c r="D18" s="3" t="n">
        <f aca="false">C18/1000000000</f>
        <v>0.01</v>
      </c>
      <c r="E18" s="2" t="n">
        <v>10000000</v>
      </c>
      <c r="F18" s="6" t="s">
        <v>63</v>
      </c>
    </row>
    <row r="19" customFormat="false" ht="15" hidden="false" customHeight="false" outlineLevel="0" collapsed="false">
      <c r="A19" s="0" t="s">
        <v>64</v>
      </c>
      <c r="B19" s="0" t="s">
        <v>65</v>
      </c>
      <c r="C19" s="2" t="n">
        <v>5000000</v>
      </c>
      <c r="D19" s="3" t="n">
        <f aca="false">C19/1000000000</f>
        <v>0.005</v>
      </c>
      <c r="E19" s="2" t="n">
        <v>5000000</v>
      </c>
      <c r="F19" s="6" t="s">
        <v>66</v>
      </c>
    </row>
    <row r="20" customFormat="false" ht="15" hidden="false" customHeight="false" outlineLevel="0" collapsed="false">
      <c r="A20" s="5" t="s">
        <v>28</v>
      </c>
      <c r="C20" s="2" t="n">
        <f aca="false">SUM(C2:C19)</f>
        <v>1000000000</v>
      </c>
      <c r="D20" s="3" t="n">
        <f aca="false">C20/1000000000</f>
        <v>1</v>
      </c>
      <c r="E20" s="2" t="n">
        <f aca="false">SUM(E2:E19)</f>
        <v>53000000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67</v>
      </c>
      <c r="B1" s="1" t="s">
        <v>68</v>
      </c>
      <c r="C1" s="1" t="s">
        <v>0</v>
      </c>
      <c r="D1" s="1" t="s">
        <v>69</v>
      </c>
    </row>
    <row r="2" customFormat="false" ht="15" hidden="false" customHeight="false" outlineLevel="0" collapsed="false">
      <c r="A2" s="0" t="s">
        <v>70</v>
      </c>
      <c r="B2" s="0" t="s">
        <v>71</v>
      </c>
      <c r="C2" s="0" t="s">
        <v>72</v>
      </c>
      <c r="D2" s="0" t="s">
        <v>73</v>
      </c>
    </row>
    <row r="3" customFormat="false" ht="15" hidden="false" customHeight="false" outlineLevel="0" collapsed="false">
      <c r="A3" s="0" t="s">
        <v>74</v>
      </c>
      <c r="B3" s="0" t="s">
        <v>75</v>
      </c>
      <c r="D3" s="0" t="s">
        <v>76</v>
      </c>
    </row>
    <row r="4" customFormat="false" ht="15" hidden="false" customHeight="false" outlineLevel="0" collapsed="false">
      <c r="A4" s="0" t="s">
        <v>77</v>
      </c>
      <c r="B4" s="0" t="s">
        <v>78</v>
      </c>
      <c r="C4" s="0" t="s">
        <v>79</v>
      </c>
      <c r="D4" s="0" t="s">
        <v>80</v>
      </c>
    </row>
    <row r="5" customFormat="false" ht="15" hidden="false" customHeight="false" outlineLevel="0" collapsed="false">
      <c r="A5" s="0" t="s">
        <v>81</v>
      </c>
      <c r="B5" s="0" t="s">
        <v>82</v>
      </c>
      <c r="C5" s="0" t="s">
        <v>83</v>
      </c>
      <c r="D5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85</v>
      </c>
      <c r="B1" s="1" t="s">
        <v>86</v>
      </c>
      <c r="C1" s="1" t="s">
        <v>87</v>
      </c>
      <c r="D1" s="1" t="s">
        <v>88</v>
      </c>
    </row>
    <row r="2" customFormat="false" ht="15" hidden="false" customHeight="false" outlineLevel="0" collapsed="false">
      <c r="A2" s="0" t="s">
        <v>89</v>
      </c>
      <c r="B2" s="2" t="n">
        <f aca="false">Buckets!C20</f>
        <v>1000000000</v>
      </c>
      <c r="C2" s="2" t="n">
        <v>1000000000</v>
      </c>
      <c r="D2" s="7" t="b">
        <f aca="false">ABS(B2-C2)&lt;1</f>
        <v>1</v>
      </c>
    </row>
    <row r="3" customFormat="false" ht="15" hidden="false" customHeight="false" outlineLevel="0" collapsed="false">
      <c r="A3" s="0" t="s">
        <v>90</v>
      </c>
      <c r="B3" s="2" t="n">
        <f aca="false">Holders!E12</f>
        <v>295000000</v>
      </c>
      <c r="C3" s="2" t="n">
        <v>295000000</v>
      </c>
      <c r="D3" s="7" t="b">
        <f aca="false">ABS(B3-C3)&lt;1</f>
        <v>1</v>
      </c>
    </row>
    <row r="4" customFormat="false" ht="15" hidden="false" customHeight="false" outlineLevel="0" collapsed="false">
      <c r="A4" s="0" t="s">
        <v>91</v>
      </c>
      <c r="B4" s="2" t="n">
        <f aca="false">Holders!D12</f>
        <v>48500000</v>
      </c>
      <c r="C4" s="2" t="n">
        <v>48500000</v>
      </c>
      <c r="D4" s="7" t="b">
        <f aca="false">ABS(B4-C4)&lt;1</f>
        <v>1</v>
      </c>
    </row>
    <row r="5" customFormat="false" ht="15" hidden="false" customHeight="false" outlineLevel="0" collapsed="false">
      <c r="A5" s="0" t="s">
        <v>92</v>
      </c>
      <c r="B5" s="2" t="n">
        <f aca="false">Buckets!E20</f>
        <v>53000000</v>
      </c>
      <c r="C5" s="2" t="n">
        <v>53000000</v>
      </c>
      <c r="D5" s="7" t="b">
        <f aca="false">ABS(B5-C5)&lt;1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2026-10-19T14:12:27Z</dcterms:created>
  <dc:creator>openpyxl</dc:creator>
  <dc:description/>
  <dc:language>en-US</dc:language>
  <cp:lastModifiedBy/>
  <dcterms:modified xsi:type="dcterms:W3CDTF">2026-10-19T14:12:27Z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