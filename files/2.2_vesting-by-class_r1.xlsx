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Wallet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3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8" customWidth="1" min="4" max="4"/>
    <col width="24" customWidth="1" min="5" max="5"/>
    <col width="44" customWidth="1" min="6" max="6"/>
    <col width="24" customWidth="1" min="7" max="7"/>
    <col width="60" customWidth="1" min="8" max="8"/>
    <col width="18" customWidth="1" min="9" max="9"/>
  </cols>
  <sheetData>
    <row r="1">
      <c r="A1" s="1" t="inlineStr">
        <is>
          <t>Vesting and lockup by holder class (TRS V_04, 17 September 2026)</t>
        </is>
      </c>
    </row>
    <row r="2">
      <c r="A2" s="2" t="inlineStr">
        <is>
          <t>TGE target Q3 2027 (model working date 15 September 2027). Vesting day: 15th of each month. Investor amounts are post-restructure and conditional on the seven consents.</t>
        </is>
      </c>
    </row>
    <row r="4">
      <c r="A4" s="3" t="inlineStr">
        <is>
          <t>Class</t>
        </is>
      </c>
      <c r="B4" s="3" t="inlineStr">
        <is>
          <t>KNX</t>
        </is>
      </c>
      <c r="C4" s="3" t="inlineStr">
        <is>
          <t>% of supply</t>
        </is>
      </c>
      <c r="D4" s="3" t="inlineStr">
        <is>
          <t>Unlocked at TGE (KNX)</t>
        </is>
      </c>
      <c r="E4" s="3" t="inlineStr">
        <is>
          <t>Cliff</t>
        </is>
      </c>
      <c r="F4" s="3" t="inlineStr">
        <is>
          <t>Linear period</t>
        </is>
      </c>
      <c r="G4" s="3" t="inlineStr">
        <is>
          <t>Monthly amount (KNX)</t>
        </is>
      </c>
      <c r="H4" s="3" t="inlineStr">
        <is>
          <t>Vesting wallet (Base)</t>
        </is>
      </c>
      <c r="I4" s="3" t="inlineStr">
        <is>
          <t>Hardcoded in smart contract (V_04 row 16)</t>
        </is>
      </c>
    </row>
    <row r="5">
      <c r="A5" t="inlineStr">
        <is>
          <t>Legacy investors (pre-seed, seed, KOL round)</t>
        </is>
      </c>
      <c r="B5" s="4" t="n">
        <v>99999999.99999999</v>
      </c>
      <c r="C5" s="5">
        <f>B5/1000000000</f>
        <v/>
      </c>
      <c r="D5" s="4" t="n">
        <v>0</v>
      </c>
      <c r="E5" s="6" t="inlineStr">
        <is>
          <t>12 months</t>
        </is>
      </c>
      <c r="F5" s="6" t="inlineStr">
        <is>
          <t>T+13 to T+60 (48 months)</t>
        </is>
      </c>
      <c r="G5" s="7" t="n">
        <v>2083333.333333331</v>
      </c>
      <c r="H5" s="6" t="inlineStr">
        <is>
          <t>0x7472420ccAdE13f6E52A40C509F887Ad64ddaf5E (pre-seed and seed); 0xd16F088C8D21C7A1072f195f1C7578979498E31c (KOL round)</t>
        </is>
      </c>
      <c r="I5" t="inlineStr">
        <is>
          <t>No</t>
        </is>
      </c>
    </row>
    <row r="6">
      <c r="A6" t="inlineStr">
        <is>
          <t>New round</t>
        </is>
      </c>
      <c r="B6" s="4" t="n">
        <v>200000000</v>
      </c>
      <c r="C6" s="5">
        <f>B6/1000000000</f>
        <v/>
      </c>
      <c r="D6" s="4" t="n">
        <v>0</v>
      </c>
      <c r="E6" s="6" t="inlineStr">
        <is>
          <t>12 months</t>
        </is>
      </c>
      <c r="F6" s="6" t="inlineStr">
        <is>
          <t>T+13 to T+36 (24 months)</t>
        </is>
      </c>
      <c r="G6" s="7" t="n">
        <v>8333333.33333333</v>
      </c>
      <c r="H6" s="6" t="inlineStr">
        <is>
          <t>to be created at close</t>
        </is>
      </c>
      <c r="I6" t="inlineStr">
        <is>
          <t>No</t>
        </is>
      </c>
    </row>
    <row r="7">
      <c r="A7" t="inlineStr">
        <is>
          <t>Emissions</t>
        </is>
      </c>
      <c r="B7" s="4" t="n">
        <v>430000000</v>
      </c>
      <c r="C7" s="5">
        <f>B7/1000000000</f>
        <v/>
      </c>
      <c r="D7" s="4" t="n">
        <v>0</v>
      </c>
      <c r="E7" s="6" t="inlineStr">
        <is>
          <t>none; release from T+4</t>
        </is>
      </c>
      <c r="F7" s="6" t="inlineStr">
        <is>
          <t>Declining annual cap from T+4; 4,000,000 per month T+4 to T+12, then cap/12 with the cap stepping down 15% a year</t>
        </is>
      </c>
      <c r="G7" t="inlineStr">
        <is>
          <t>4,000,000 then 3,400,000; 2,890,000; 2,456,500; 2,088,025; 1,774,821.25; 1,508,598.06</t>
        </is>
      </c>
      <c r="H7" s="6" t="inlineStr">
        <is>
          <t>0xfaCBAdA2A526884770AA82c50A165AE7BE606190</t>
        </is>
      </c>
      <c r="I7" t="inlineStr">
        <is>
          <t>No</t>
        </is>
      </c>
    </row>
    <row r="8">
      <c r="A8" t="inlineStr">
        <is>
          <t>Marketing</t>
        </is>
      </c>
      <c r="B8" s="4" t="n">
        <v>95000000</v>
      </c>
      <c r="C8" s="5">
        <f>B8/1000000000</f>
        <v/>
      </c>
      <c r="D8" s="4" t="n">
        <v>40000000</v>
      </c>
      <c r="E8" s="6" t="inlineStr">
        <is>
          <t>none</t>
        </is>
      </c>
      <c r="F8" s="6" t="inlineStr">
        <is>
          <t>T+1 to T+30 (30 months) on 55,000,000</t>
        </is>
      </c>
      <c r="G8" s="7" t="n">
        <v>1833333.33333333</v>
      </c>
      <c r="H8" s="6" t="inlineStr">
        <is>
          <t>0x6e2275EBb346b24bfdE292511687C84C1690B977; 0x4184450111458f33a17fD2Fa385AAc199b2B0252</t>
        </is>
      </c>
      <c r="I8" t="inlineStr">
        <is>
          <t>No</t>
        </is>
      </c>
    </row>
    <row r="9">
      <c r="A9" t="inlineStr">
        <is>
          <t>Treasury</t>
        </is>
      </c>
      <c r="B9" s="4" t="n">
        <v>50000000</v>
      </c>
      <c r="C9" s="5">
        <f>B9/1000000000</f>
        <v/>
      </c>
      <c r="D9" s="4" t="n">
        <v>1000000</v>
      </c>
      <c r="E9" s="6" t="inlineStr">
        <is>
          <t>6 months on 49,000,000</t>
        </is>
      </c>
      <c r="F9" s="6" t="inlineStr">
        <is>
          <t>T+7 to T+36 (30 months)</t>
        </is>
      </c>
      <c r="G9" s="7" t="n">
        <v>1633333.33333333</v>
      </c>
      <c r="H9" s="6" t="inlineStr">
        <is>
          <t>0xa9154ad8F0F07b4A35236a121364286e11b47511</t>
        </is>
      </c>
      <c r="I9" t="inlineStr">
        <is>
          <t>No</t>
        </is>
      </c>
    </row>
    <row r="10">
      <c r="A10" t="inlineStr">
        <is>
          <t>Foundation</t>
        </is>
      </c>
      <c r="B10" s="4" t="n">
        <v>40000000</v>
      </c>
      <c r="C10" s="5">
        <f>B10/1000000000</f>
        <v/>
      </c>
      <c r="D10" s="4" t="n">
        <v>1000000</v>
      </c>
      <c r="E10" s="6" t="inlineStr">
        <is>
          <t>12 months on 39,000,000</t>
        </is>
      </c>
      <c r="F10" s="6" t="inlineStr">
        <is>
          <t>T+13 to T+36 (24 months)</t>
        </is>
      </c>
      <c r="G10" s="7" t="n">
        <v>1625000</v>
      </c>
      <c r="H10" s="6" t="inlineStr">
        <is>
          <t>0xd3A6B6DC87664eeE275B74e970e44e7a94b73657</t>
        </is>
      </c>
      <c r="I10" t="inlineStr">
        <is>
          <t>No</t>
        </is>
      </c>
    </row>
    <row r="11">
      <c r="A11" t="inlineStr">
        <is>
          <t>Team</t>
        </is>
      </c>
      <c r="B11" s="4" t="n">
        <v>50000000</v>
      </c>
      <c r="C11" s="5">
        <f>B11/1000000000</f>
        <v/>
      </c>
      <c r="D11" s="4" t="n">
        <v>0</v>
      </c>
      <c r="E11" s="6" t="inlineStr">
        <is>
          <t>12 months</t>
        </is>
      </c>
      <c r="F11" s="6" t="inlineStr">
        <is>
          <t>T+14 to T+38 (25 months)</t>
        </is>
      </c>
      <c r="G11" s="7" t="n">
        <v>2000000</v>
      </c>
      <c r="H11" s="6" t="inlineStr">
        <is>
          <t>0x9506F36A5c9cf12CE07E1aF0798c963409fBa01E</t>
        </is>
      </c>
      <c r="I11" t="inlineStr">
        <is>
          <t>No</t>
        </is>
      </c>
    </row>
    <row r="12">
      <c r="A12" t="inlineStr">
        <is>
          <t>Liquidity</t>
        </is>
      </c>
      <c r="B12" s="4" t="n">
        <v>30000000</v>
      </c>
      <c r="C12" s="5">
        <f>B12/1000000000</f>
        <v/>
      </c>
      <c r="D12" s="4" t="n">
        <v>30000000</v>
      </c>
      <c r="E12" s="6" t="inlineStr">
        <is>
          <t>none</t>
        </is>
      </c>
      <c r="F12" s="6" t="inlineStr">
        <is>
          <t>none; fully unlocked at TGE</t>
        </is>
      </c>
      <c r="G12" s="7" t="n">
        <v>0</v>
      </c>
      <c r="H12" s="6" t="inlineStr">
        <is>
          <t>0xc30A6E81d78ec8d5CCA05Ca0E99d6a02a7f3596B</t>
        </is>
      </c>
      <c r="I12" t="inlineStr">
        <is>
          <t>No</t>
        </is>
      </c>
    </row>
    <row r="13">
      <c r="A13" t="inlineStr">
        <is>
          <t>Airdrop</t>
        </is>
      </c>
      <c r="B13" s="4" t="n">
        <v>5000000</v>
      </c>
      <c r="C13" s="5">
        <f>B13/1000000000</f>
        <v/>
      </c>
      <c r="D13" s="4" t="n">
        <v>5000000</v>
      </c>
      <c r="E13" s="6" t="inlineStr">
        <is>
          <t>none</t>
        </is>
      </c>
      <c r="F13" s="6" t="inlineStr">
        <is>
          <t>none; fully unlocked at TGE</t>
        </is>
      </c>
      <c r="G13" s="7" t="n">
        <v>0</v>
      </c>
      <c r="H13" s="6" t="inlineStr">
        <is>
          <t>0x78224046bE0566E28573391A64D2c3910D06b858</t>
        </is>
      </c>
      <c r="I13" t="inlineStr">
        <is>
          <t>No</t>
        </is>
      </c>
    </row>
    <row r="14">
      <c r="A14" s="8" t="inlineStr">
        <is>
          <t>Total</t>
        </is>
      </c>
      <c r="B14" s="4">
        <f>SUM(B5:B13)</f>
        <v/>
      </c>
      <c r="C14" s="5">
        <f>SUM(C5:C13)</f>
        <v/>
      </c>
      <c r="D14" s="4">
        <f>SUM(D5:D13)</f>
        <v/>
      </c>
    </row>
    <row r="16">
      <c r="A16" t="inlineStr">
        <is>
          <t>Per-holder detail for the legacy investors is in 1.1_cap-table_r1.xlsx (Holders). Monthly amounts by pocket are in 2.1_unlock-grid_r1.xlsx.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18" customWidth="1" min="3" max="3"/>
    <col width="22" customWidth="1" min="4" max="4"/>
    <col width="22" customWidth="1" min="5" max="5"/>
    <col width="26" customWidth="1" min="6" max="6"/>
  </cols>
  <sheetData>
    <row r="1">
      <c r="A1" s="1" t="inlineStr">
        <is>
          <t>Wallet register: the ten Base Safes holding KNX</t>
        </is>
      </c>
    </row>
    <row r="2">
      <c r="A2" s="2" t="inlineStr">
        <is>
          <t>Token 0x5a6FF6033D9b86AAB5e00CCc91fd16234118e35a on Base, 18 decimals, total supply 1,000,000,000 KNX, deployed 11 June 2026. Balances: base.blockscout.com, snapshot 2026-09-17 10:38 UTC, all 20 transfers replayed.</t>
        </is>
      </c>
    </row>
    <row r="4">
      <c r="A4" s="3" t="inlineStr">
        <is>
          <t>Bucket</t>
        </is>
      </c>
      <c r="B4" s="3" t="inlineStr">
        <is>
          <t>Address (Base)</t>
        </is>
      </c>
      <c r="C4" s="3" t="inlineStr">
        <is>
          <t>Type</t>
        </is>
      </c>
      <c r="D4" s="3" t="inlineStr">
        <is>
          <t>Balance at snapshot (KNX)</t>
        </is>
      </c>
      <c r="E4" s="3" t="inlineStr">
        <is>
          <t>V_04 target (KNX)</t>
        </is>
      </c>
      <c r="F4" s="3" t="inlineStr">
        <is>
          <t>Difference (target minus balance)</t>
        </is>
      </c>
    </row>
    <row r="5">
      <c r="A5" t="inlineStr">
        <is>
          <t>Mining and validator emissions</t>
        </is>
      </c>
      <c r="B5" t="inlineStr">
        <is>
          <t>0xfaCBAdA2A526884770AA82c50A165AE7BE606190</t>
        </is>
      </c>
      <c r="C5" t="inlineStr">
        <is>
          <t>Gnosis Safe proxy</t>
        </is>
      </c>
      <c r="D5" s="4" t="n">
        <v>406887070</v>
      </c>
      <c r="E5" s="4" t="n">
        <v>430000000</v>
      </c>
      <c r="F5" s="4">
        <f>E5-D5</f>
        <v/>
      </c>
    </row>
    <row r="6">
      <c r="A6" t="inlineStr">
        <is>
          <t>Investors (pre-seed and seed)</t>
        </is>
      </c>
      <c r="B6" t="inlineStr">
        <is>
          <t>0x7472420ccAdE13f6E52A40C509F887Ad64ddaf5E</t>
        </is>
      </c>
      <c r="C6" t="inlineStr">
        <is>
          <t>Gnosis Safe proxy</t>
        </is>
      </c>
      <c r="D6" s="4" t="n">
        <v>252230578</v>
      </c>
      <c r="E6" s="4" t="n">
        <v>97721015.77908671</v>
      </c>
      <c r="F6" s="4">
        <f>E6-D6</f>
        <v/>
      </c>
    </row>
    <row r="7">
      <c r="A7" t="inlineStr">
        <is>
          <t>Marketing and exchanges (wallet B)</t>
        </is>
      </c>
      <c r="B7" t="inlineStr">
        <is>
          <t>0x4184450111458f33a17fD2Fa385AAc199b2B0252</t>
        </is>
      </c>
      <c r="C7" t="inlineStr">
        <is>
          <t>Gnosis Safe proxy</t>
        </is>
      </c>
      <c r="D7" s="4" t="n">
        <v>60000000</v>
      </c>
      <c r="E7" t="inlineStr">
        <is>
          <t>combined 95,000,000</t>
        </is>
      </c>
      <c r="F7" t="inlineStr">
        <is>
          <t>see combined row</t>
        </is>
      </c>
    </row>
    <row r="8">
      <c r="A8" t="inlineStr">
        <is>
          <t>Treasury and reserves</t>
        </is>
      </c>
      <c r="B8" t="inlineStr">
        <is>
          <t>0xa9154ad8F0F07b4A35236a121364286e11b47511</t>
        </is>
      </c>
      <c r="C8" t="inlineStr">
        <is>
          <t>Gnosis Safe proxy</t>
        </is>
      </c>
      <c r="D8" s="4" t="n">
        <v>50000000</v>
      </c>
      <c r="E8" s="4" t="n">
        <v>50000000</v>
      </c>
      <c r="F8" s="4">
        <f>E8-D8</f>
        <v/>
      </c>
    </row>
    <row r="9">
      <c r="A9" t="inlineStr">
        <is>
          <t>Team and advisors</t>
        </is>
      </c>
      <c r="B9" t="inlineStr">
        <is>
          <t>0x9506F36A5c9cf12CE07E1aF0798c963409fBa01E</t>
        </is>
      </c>
      <c r="C9" t="inlineStr">
        <is>
          <t>Gnosis Safe proxy</t>
        </is>
      </c>
      <c r="D9" s="4" t="n">
        <v>50000000</v>
      </c>
      <c r="E9" s="4" t="n">
        <v>50000000</v>
      </c>
      <c r="F9" s="4">
        <f>E9-D9</f>
        <v/>
      </c>
    </row>
    <row r="10">
      <c r="A10" t="inlineStr">
        <is>
          <t>Community airdrop</t>
        </is>
      </c>
      <c r="B10" t="inlineStr">
        <is>
          <t>0x78224046bE0566E28573391A64D2c3910D06b858</t>
        </is>
      </c>
      <c r="C10" t="inlineStr">
        <is>
          <t>Gnosis Safe proxy</t>
        </is>
      </c>
      <c r="D10" s="4" t="n">
        <v>50000000</v>
      </c>
      <c r="E10" s="4" t="n">
        <v>5000000</v>
      </c>
      <c r="F10" s="4">
        <f>E10-D10</f>
        <v/>
      </c>
    </row>
    <row r="11">
      <c r="A11" t="inlineStr">
        <is>
          <t>Liquidity / market making</t>
        </is>
      </c>
      <c r="B11" t="inlineStr">
        <is>
          <t>0xc30A6E81d78ec8d5CCA05Ca0E99d6a02a7f3596B</t>
        </is>
      </c>
      <c r="C11" t="inlineStr">
        <is>
          <t>Gnosis Safe proxy</t>
        </is>
      </c>
      <c r="D11" s="4" t="n">
        <v>50000000</v>
      </c>
      <c r="E11" s="4" t="n">
        <v>30000000</v>
      </c>
      <c r="F11" s="4">
        <f>E11-D11</f>
        <v/>
      </c>
    </row>
    <row r="12">
      <c r="A12" t="inlineStr">
        <is>
          <t>Foundation</t>
        </is>
      </c>
      <c r="B12" t="inlineStr">
        <is>
          <t>0xd3A6B6DC87664eeE275B74e970e44e7a94b73657</t>
        </is>
      </c>
      <c r="C12" t="inlineStr">
        <is>
          <t>Gnosis Safe proxy</t>
        </is>
      </c>
      <c r="D12" s="4" t="n">
        <v>40000000</v>
      </c>
      <c r="E12" s="4" t="n">
        <v>40000000</v>
      </c>
      <c r="F12" s="4">
        <f>E12-D12</f>
        <v/>
      </c>
    </row>
    <row r="13">
      <c r="A13" t="inlineStr">
        <is>
          <t>Marketing and exchanges (wallet A)</t>
        </is>
      </c>
      <c r="B13" t="inlineStr">
        <is>
          <t>0x6e2275EBb346b24bfdE292511687C84C1690B977</t>
        </is>
      </c>
      <c r="C13" t="inlineStr">
        <is>
          <t>Gnosis Safe proxy</t>
        </is>
      </c>
      <c r="D13" s="4" t="n">
        <v>35000000</v>
      </c>
      <c r="E13" t="inlineStr">
        <is>
          <t>combined 95,000,000</t>
        </is>
      </c>
      <c r="F13" t="inlineStr">
        <is>
          <t>see combined row</t>
        </is>
      </c>
    </row>
    <row r="14">
      <c r="A14" t="inlineStr">
        <is>
          <t>KOL / strategic round</t>
        </is>
      </c>
      <c r="B14" t="inlineStr">
        <is>
          <t>0xd16F088C8D21C7A1072f195f1C7578979498E31c</t>
        </is>
      </c>
      <c r="C14" t="inlineStr">
        <is>
          <t>Gnosis Safe proxy</t>
        </is>
      </c>
      <c r="D14" s="4" t="n">
        <v>5882352</v>
      </c>
      <c r="E14" s="4" t="n">
        <v>2278984.22091329</v>
      </c>
      <c r="F14" s="4">
        <f>E14-D14</f>
        <v/>
      </c>
    </row>
    <row r="15">
      <c r="A15" s="8" t="inlineStr">
        <is>
          <t>Marketing, both Safes combined</t>
        </is>
      </c>
      <c r="D15" s="4">
        <f>D7+D13</f>
        <v/>
      </c>
      <c r="E15" s="4" t="n">
        <v>95000000</v>
      </c>
      <c r="F15" s="4">
        <f>E15-D15</f>
        <v/>
      </c>
    </row>
    <row r="16">
      <c r="A16" s="8" t="inlineStr">
        <is>
          <t>New round</t>
        </is>
      </c>
      <c r="B16" t="inlineStr">
        <is>
          <t>to be created at close</t>
        </is>
      </c>
      <c r="D16" s="4" t="n">
        <v>0</v>
      </c>
      <c r="E16" s="4" t="n">
        <v>200000000</v>
      </c>
      <c r="F16" s="4">
        <f>E16-D16</f>
        <v/>
      </c>
    </row>
    <row r="17">
      <c r="A17" s="8" t="inlineStr">
        <is>
          <t>Total of the ten Safes</t>
        </is>
      </c>
      <c r="D17" s="4">
        <f>SUM(D5:D14)</f>
        <v/>
      </c>
    </row>
    <row r="19">
      <c r="A19" t="inlineStr">
        <is>
          <t>Signers stated for every Safe: Vladimir Smelov and Pablo Pérez Pazos (Coinbase Pre-Launch Questionnaire v2, Q50). Signature thresholds and the third-party vesting provider are to be fixed before TGE (Q50, Q52).</t>
        </is>
      </c>
    </row>
    <row r="20">
      <c r="A20" t="inlineStr">
        <is>
          <t>Balances reflect the June to July 2026 distribution on the July 2026 allocation set. Re-allocation to the V_04 amounts and creation of the new round wallet are pending.</t>
        </is>
      </c>
    </row>
    <row r="21">
      <c r="A21" t="inlineStr">
        <is>
          <t>Deployer EOA 0x7E167d3a4aE82bA90D9f76a40DcFD611c832D440 minted the full supply and holds 0 KNX after distribution. Contract source is not verified on the explorer; the token contract audit (QuillAudits, 20 July 2026) is filed under room item 3.7.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2026-09-17T11:08:53Z</dcterms:created>
  <dcterms:modified xmlns:dcterms="http://purl.org/dc/terms/" xmlns:xsi="http://www.w3.org/2001/XMLSchema-instance" xsi:type="dcterms:W3CDTF">2026-09-17T11:08:53Z</dcterms:modified>
</cp:coreProperties>
</file>