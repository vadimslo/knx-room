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oken Release Schedule" sheetId="1" state="visible" r:id="rId1"/>
    <sheet xmlns:r="http://schemas.openxmlformats.org/officeDocument/2006/relationships" name="InvestorInsiders Breakdown" sheetId="2" state="visible" r:id="rId2"/>
    <sheet xmlns:r="http://schemas.openxmlformats.org/officeDocument/2006/relationships" name="Monetary Polic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4">
    <numFmt numFmtId="164" formatCode="m/d/yy"/>
    <numFmt numFmtId="165" formatCode="d\ mmm&quot;, &quot;yyyy"/>
    <numFmt numFmtId="166" formatCode="m/d/yyyy"/>
    <numFmt numFmtId="167" formatCode="#,##0.0000"/>
    <numFmt numFmtId="168" formatCode="0.0000%"/>
    <numFmt numFmtId="169" formatCode="\$#,##0.0000"/>
    <numFmt numFmtId="170" formatCode="\$#,##0"/>
    <numFmt numFmtId="171" formatCode="d\-mmm\-yyyy"/>
    <numFmt numFmtId="172" formatCode="0.0"/>
    <numFmt numFmtId="173" formatCode="\$#,##0.00"/>
    <numFmt numFmtId="174" formatCode="mm/dd/yyyy"/>
    <numFmt numFmtId="175" formatCode="000"/>
    <numFmt numFmtId="176" formatCode="mmmm\ d&quot;, &quot;yyyy"/>
    <numFmt numFmtId="177" formatCode="d\ mmm\ yyyy"/>
  </numFmts>
  <fonts count="39">
    <font>
      <name val="Arial"/>
      <charset val="1"/>
      <family val="0"/>
      <color theme="1"/>
      <sz val="10"/>
    </font>
    <font>
      <name val="Arial"/>
      <family val="0"/>
      <sz val="10"/>
    </font>
    <font>
      <name val="Arial"/>
      <family val="0"/>
      <sz val="10"/>
    </font>
    <font>
      <name val="Arial"/>
      <family val="0"/>
      <sz val="10"/>
    </font>
    <font>
      <name val="Arial"/>
      <charset val="1"/>
      <family val="0"/>
      <b val="1"/>
      <color theme="1"/>
      <sz val="11"/>
    </font>
    <font>
      <name val="Arial"/>
      <charset val="1"/>
      <family val="0"/>
      <color theme="1"/>
      <sz val="11"/>
    </font>
    <font>
      <name val="Arial"/>
      <charset val="1"/>
      <family val="0"/>
      <i val="1"/>
      <color theme="1"/>
      <sz val="11"/>
    </font>
    <font>
      <name val="Arial"/>
      <charset val="1"/>
      <family val="0"/>
      <color rgb="FFFFFFFF"/>
      <sz val="11"/>
    </font>
    <font>
      <name val="Arial"/>
      <charset val="1"/>
      <family val="0"/>
      <b val="1"/>
      <color rgb="FFFF0000"/>
      <sz val="11"/>
    </font>
    <font>
      <name val="Arial"/>
      <charset val="1"/>
      <family val="0"/>
      <b val="1"/>
      <color rgb="FF0000FF"/>
      <sz val="11"/>
    </font>
    <font>
      <name val="Arial"/>
      <charset val="1"/>
      <family val="0"/>
      <b val="1"/>
      <color theme="1"/>
      <sz val="15"/>
    </font>
    <font>
      <name val="Arial"/>
      <charset val="1"/>
      <family val="0"/>
      <color rgb="FF0000FF"/>
      <sz val="11"/>
    </font>
    <font>
      <name val="Arial"/>
      <charset val="1"/>
      <family val="0"/>
      <i val="1"/>
      <color rgb="FF0000FF"/>
      <sz val="11"/>
    </font>
    <font>
      <name val="Roboto"/>
      <charset val="1"/>
      <family val="0"/>
      <color theme="1"/>
      <sz val="11"/>
    </font>
    <font>
      <name val="Arial"/>
      <charset val="1"/>
      <family val="0"/>
      <b val="1"/>
      <color rgb="FFC00000"/>
      <sz val="9"/>
    </font>
    <font>
      <name val="Arial"/>
      <charset val="1"/>
      <family val="0"/>
      <color rgb="FFFF0000"/>
      <sz val="11"/>
    </font>
    <font>
      <name val="Arial"/>
      <charset val="1"/>
      <family val="0"/>
      <b val="1"/>
      <color rgb="FF0000FF"/>
      <sz val="12"/>
    </font>
    <font>
      <name val="Arial"/>
      <charset val="1"/>
      <family val="0"/>
      <b val="1"/>
      <color rgb="FF0000FF"/>
      <sz val="13"/>
    </font>
    <font>
      <name val="Arial"/>
      <charset val="1"/>
      <family val="0"/>
      <color rgb="FFF3F3F3"/>
      <sz val="11"/>
    </font>
    <font>
      <name val="Arial"/>
      <charset val="1"/>
      <family val="0"/>
      <b val="1"/>
      <i val="1"/>
      <color theme="1"/>
      <sz val="11"/>
    </font>
    <font>
      <name val="Arial"/>
      <family val="2"/>
      <sz val="10"/>
    </font>
    <font>
      <name val="Arial"/>
      <charset val="1"/>
      <family val="0"/>
      <b val="1"/>
      <color theme="1"/>
      <sz val="10"/>
    </font>
    <font>
      <name val="Arial"/>
      <charset val="1"/>
      <family val="0"/>
      <b val="1"/>
      <color rgb="FFFF0000"/>
      <sz val="13"/>
    </font>
    <font>
      <name val="Arial"/>
      <charset val="1"/>
      <family val="0"/>
      <color theme="1"/>
      <sz val="7"/>
    </font>
    <font>
      <name val="Arial"/>
      <charset val="1"/>
      <family val="0"/>
      <b val="1"/>
      <color rgb="FFFF0000"/>
      <sz val="10"/>
    </font>
    <font>
      <name val="Arial"/>
      <charset val="1"/>
      <family val="0"/>
      <color rgb="FFFF0000"/>
      <sz val="10"/>
    </font>
    <font>
      <name val="Arial"/>
      <charset val="1"/>
      <family val="0"/>
      <color rgb="FFFF0000"/>
      <sz val="11"/>
      <u val="single"/>
    </font>
    <font>
      <name val="Arial"/>
      <charset val="1"/>
      <family val="0"/>
      <b val="1"/>
      <color rgb="FFFFFFFF"/>
      <sz val="11"/>
    </font>
    <font>
      <name val="Arial"/>
      <charset val="1"/>
      <family val="0"/>
      <b val="1"/>
      <color rgb="FF1155CC"/>
      <sz val="11"/>
      <u val="single"/>
    </font>
    <font>
      <name val="Arial"/>
      <charset val="1"/>
      <family val="0"/>
      <color rgb="FF1155CC"/>
      <sz val="8"/>
      <u val="single"/>
    </font>
    <font>
      <name val="Noto Sans CJK SC"/>
      <family val="2"/>
      <b val="1"/>
      <color rgb="FFFF0000"/>
      <sz val="11"/>
    </font>
    <font>
      <name val="Noto Sans CJK SC"/>
      <family val="2"/>
      <b val="1"/>
      <color rgb="FFFFFFFF"/>
      <sz val="11"/>
    </font>
    <font>
      <name val="Noto Sans CJK SC"/>
      <family val="2"/>
      <color theme="1"/>
      <sz val="11"/>
    </font>
    <font>
      <name val="Arial"/>
      <charset val="1"/>
      <family val="0"/>
      <color rgb="FF1155CC"/>
      <sz val="11"/>
      <u val="single"/>
    </font>
    <font>
      <name val="Noto Sans CJK SC"/>
      <family val="2"/>
      <color rgb="FF1155CC"/>
      <sz val="11"/>
      <u val="single"/>
    </font>
    <font>
      <name val="Noto Sans CJK SC"/>
      <family val="2"/>
      <color theme="1"/>
      <sz val="8"/>
    </font>
    <font>
      <name val="Arial"/>
      <charset val="1"/>
      <family val="0"/>
      <b val="1"/>
      <color rgb="FFC00000"/>
      <sz val="10"/>
    </font>
    <font>
      <name val="Arial"/>
      <charset val="1"/>
      <family val="0"/>
      <i val="1"/>
      <color rgb="FFFF0000"/>
      <sz val="11"/>
    </font>
    <font>
      <name val="Cambria"/>
      <charset val="1"/>
      <family val="0"/>
      <color rgb="FF0000FF"/>
      <sz val="11"/>
      <u val="single"/>
    </font>
  </fonts>
  <fills count="16">
    <fill>
      <patternFill/>
    </fill>
    <fill>
      <patternFill patternType="gray125"/>
    </fill>
    <fill>
      <patternFill patternType="solid">
        <fgColor rgb="FFEFEFEF"/>
        <bgColor rgb="FFF3F3F3"/>
      </patternFill>
    </fill>
    <fill>
      <patternFill patternType="solid">
        <fgColor rgb="FFFFFF00"/>
        <bgColor rgb="FFFFFF00"/>
      </patternFill>
    </fill>
    <fill>
      <patternFill patternType="solid">
        <fgColor rgb="FFFFF2CC"/>
        <bgColor rgb="FFF3F3F3"/>
      </patternFill>
    </fill>
    <fill>
      <patternFill patternType="solid">
        <fgColor rgb="FFFFFFFF"/>
        <bgColor rgb="FFF3F3F3"/>
      </patternFill>
    </fill>
    <fill>
      <patternFill patternType="solid">
        <fgColor rgb="FFF9CB9C"/>
        <bgColor rgb="FFD9D9D9"/>
      </patternFill>
    </fill>
    <fill>
      <patternFill patternType="solid">
        <fgColor rgb="FFD9D9D9"/>
        <bgColor rgb="FFCCCCCC"/>
      </patternFill>
    </fill>
    <fill>
      <patternFill patternType="solid">
        <fgColor rgb="FF00FF00"/>
        <bgColor rgb="FF33CCCC"/>
      </patternFill>
    </fill>
    <fill>
      <patternFill patternType="solid">
        <fgColor rgb="FF9FC5E8"/>
        <bgColor rgb="FFCCCCCC"/>
      </patternFill>
    </fill>
    <fill>
      <patternFill patternType="solid">
        <fgColor rgb="FF999999"/>
        <bgColor rgb="FF808080"/>
      </patternFill>
    </fill>
    <fill>
      <patternFill patternType="solid">
        <fgColor rgb="FFFF9900"/>
        <bgColor rgb="FFFFCC00"/>
      </patternFill>
    </fill>
    <fill>
      <patternFill patternType="solid">
        <fgColor rgb="FFDDEBF7"/>
        <bgColor rgb="FFEFEFEF"/>
      </patternFill>
    </fill>
    <fill>
      <patternFill patternType="solid">
        <fgColor rgb="FF000000"/>
        <bgColor rgb="FF003300"/>
      </patternFill>
    </fill>
    <fill>
      <patternFill patternType="solid">
        <fgColor rgb="FF00FFFF"/>
        <bgColor rgb="FF00FFFF"/>
      </patternFill>
    </fill>
    <fill>
      <patternFill patternType="solid">
        <fgColor rgb="FFCCCCCC"/>
        <bgColor rgb="FFD9D9D9"/>
      </patternFill>
    </fill>
  </fills>
  <borders count="44">
    <border>
      <left/>
      <right/>
      <top/>
      <botto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
      <left style="thick"/>
      <right/>
      <top style="thick"/>
      <bottom/>
      <diagonal/>
    </border>
    <border>
      <left style="thick"/>
      <right style="thick"/>
      <top style="thick"/>
      <bottom/>
      <diagonal/>
    </border>
    <border>
      <left style="thick">
        <color rgb="FF0000FF"/>
      </left>
      <right style="thick">
        <color rgb="FF0000FF"/>
      </right>
      <top style="thick">
        <color rgb="FF0000FF"/>
      </top>
      <bottom/>
      <diagonal/>
    </border>
    <border>
      <left style="thick"/>
      <right/>
      <top style="thin"/>
      <bottom/>
      <diagonal/>
    </border>
    <border>
      <left style="thick"/>
      <right style="thick"/>
      <top style="thin"/>
      <bottom/>
      <diagonal/>
    </border>
    <border>
      <left style="thick">
        <color rgb="FF0000FF"/>
      </left>
      <right style="thick">
        <color rgb="FF0000FF"/>
      </right>
      <top/>
      <bottom/>
      <diagonal/>
    </border>
    <border>
      <left style="thick"/>
      <right/>
      <top/>
      <bottom style="thin"/>
      <diagonal/>
    </border>
    <border>
      <left style="thick"/>
      <right style="thick"/>
      <top/>
      <bottom style="thin"/>
      <diagonal/>
    </border>
    <border>
      <left style="thick"/>
      <right/>
      <top/>
      <bottom/>
      <diagonal/>
    </border>
    <border>
      <left style="thick"/>
      <right style="thick"/>
      <top/>
      <bottom/>
      <diagonal/>
    </border>
    <border>
      <left style="thick"/>
      <right/>
      <top/>
      <bottom style="thick"/>
      <diagonal/>
    </border>
    <border>
      <left style="thick"/>
      <right style="thick"/>
      <top/>
      <bottom style="thick"/>
      <diagonal/>
    </border>
    <border>
      <left style="thick">
        <color rgb="FF0000FF"/>
      </left>
      <right style="thick">
        <color rgb="FF0000FF"/>
      </right>
      <top/>
      <bottom style="thick">
        <color rgb="FF0000FF"/>
      </bottom>
      <diagonal/>
    </border>
    <border>
      <left style="thick"/>
      <right style="thick"/>
      <top style="thick"/>
      <bottom style="thick"/>
      <diagonal/>
    </border>
    <border>
      <left style="thick"/>
      <right/>
      <top style="thick"/>
      <bottom style="thick"/>
      <diagonal/>
    </border>
    <border>
      <left/>
      <right/>
      <top style="thick"/>
      <bottom style="thick"/>
      <diagonal/>
    </border>
    <border>
      <left/>
      <right style="thick"/>
      <top/>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style="thin"/>
      <top/>
      <bottom/>
      <diagonal/>
    </border>
    <border>
      <left style="thin"/>
      <right style="thin"/>
      <top/>
      <bottom style="thin"/>
      <diagonal/>
    </border>
    <border>
      <left style="thin"/>
      <right style="thin"/>
      <top style="thin"/>
      <bottom/>
      <diagonal/>
    </border>
    <border>
      <left/>
      <right/>
      <top style="thick"/>
      <bottom/>
      <diagonal/>
    </border>
    <border>
      <left/>
      <right style="thick"/>
      <top style="thick"/>
      <bottom/>
      <diagonal/>
    </border>
    <border>
      <left/>
      <right/>
      <top style="thick">
        <color rgb="FF0000FF"/>
      </top>
      <bottom/>
      <diagonal/>
    </border>
    <border>
      <left style="thick">
        <color rgb="FF0000FF"/>
      </left>
      <right/>
      <top/>
      <bottom/>
      <diagonal/>
    </border>
    <border>
      <left/>
      <right style="thick">
        <color rgb="FF0000FF"/>
      </right>
      <top style="thick">
        <color rgb="FF0000FF"/>
      </top>
      <bottom/>
      <diagonal/>
    </border>
    <border>
      <left/>
      <right style="thick">
        <color rgb="FF0000FF"/>
      </right>
      <top/>
      <bottom/>
      <diagonal/>
    </border>
    <border>
      <left/>
      <right style="thick"/>
      <top style="thin"/>
      <bottom/>
      <diagonal/>
    </border>
    <border>
      <left/>
      <right style="thick"/>
      <top/>
      <bottom style="thin"/>
      <diagonal/>
    </border>
    <border>
      <left/>
      <right style="thick"/>
      <top/>
      <bottom style="thick"/>
      <diagonal/>
    </border>
    <border>
      <left/>
      <right/>
      <top/>
      <bottom style="thick">
        <color rgb="FF0000FF"/>
      </bottom>
      <diagonal/>
    </border>
    <border>
      <left/>
      <right style="thick">
        <color rgb="FF0000FF"/>
      </right>
      <top/>
      <bottom style="thick">
        <color rgb="FF0000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13">
    <xf numFmtId="0" fontId="0" fillId="0" borderId="0" applyAlignment="1" pivotButton="0" quotePrefix="0" xfId="0">
      <alignment horizontal="general" vertical="bottom"/>
    </xf>
    <xf numFmtId="0" fontId="4" fillId="2" borderId="1" applyAlignment="1" pivotButton="0" quotePrefix="0" xfId="0">
      <alignment horizontal="left" vertical="bottom"/>
    </xf>
    <xf numFmtId="0" fontId="5" fillId="2" borderId="2" applyAlignment="1" pivotButton="0" quotePrefix="0" xfId="0">
      <alignment horizontal="center" vertical="bottom"/>
    </xf>
    <xf numFmtId="0" fontId="6" fillId="2" borderId="3"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3" fontId="4" fillId="2" borderId="4" applyAlignment="1" pivotButton="0" quotePrefix="0" xfId="0">
      <alignment horizontal="left" vertical="bottom"/>
    </xf>
    <xf numFmtId="3" fontId="5" fillId="3" borderId="0" applyAlignment="1" pivotButton="0" quotePrefix="0" xfId="0">
      <alignment horizontal="center" vertical="bottom"/>
    </xf>
    <xf numFmtId="0" fontId="6" fillId="2" borderId="5" applyAlignment="1" pivotButton="0" quotePrefix="0" xfId="0">
      <alignment horizontal="general" vertical="bottom"/>
    </xf>
    <xf numFmtId="0" fontId="4" fillId="2" borderId="6" applyAlignment="1" pivotButton="0" quotePrefix="0" xfId="0">
      <alignment horizontal="left" vertical="bottom"/>
    </xf>
    <xf numFmtId="0" fontId="5" fillId="2" borderId="7" applyAlignment="1" pivotButton="0" quotePrefix="0" xfId="0">
      <alignment horizontal="center" vertical="bottom"/>
    </xf>
    <xf numFmtId="0" fontId="6" fillId="2" borderId="8" applyAlignment="1" pivotButton="0" quotePrefix="0" xfId="0">
      <alignment horizontal="general" vertical="bottom"/>
    </xf>
    <xf numFmtId="164" fontId="7" fillId="0" borderId="0" applyAlignment="1" pivotButton="0" quotePrefix="0" xfId="0">
      <alignment horizontal="right" vertical="bottom"/>
    </xf>
    <xf numFmtId="165" fontId="5" fillId="0" borderId="0" applyAlignment="1" pivotButton="0" quotePrefix="0" xfId="0">
      <alignment horizontal="right" vertical="bottom"/>
    </xf>
    <xf numFmtId="3" fontId="5" fillId="4" borderId="0" applyAlignment="1" pivotButton="0" quotePrefix="0" xfId="0">
      <alignment horizontal="general" vertical="bottom"/>
    </xf>
    <xf numFmtId="3" fontId="5" fillId="0" borderId="0" applyAlignment="1" pivotButton="0" quotePrefix="0" xfId="0">
      <alignment horizontal="right" vertical="bottom"/>
    </xf>
    <xf numFmtId="10" fontId="5" fillId="0" borderId="0" applyAlignment="1" pivotButton="0" quotePrefix="0" xfId="0">
      <alignment horizontal="general" vertical="bottom"/>
    </xf>
    <xf numFmtId="10" fontId="5" fillId="0" borderId="0" applyAlignment="1" pivotButton="0" quotePrefix="0" xfId="0">
      <alignment horizontal="right" vertical="bottom"/>
    </xf>
    <xf numFmtId="3" fontId="4" fillId="0" borderId="0" applyAlignment="1" pivotButton="0" quotePrefix="0" xfId="0">
      <alignment horizontal="right" vertical="bottom"/>
    </xf>
    <xf numFmtId="3" fontId="5" fillId="0" borderId="0" applyAlignment="1" pivotButton="0" quotePrefix="0" xfId="0">
      <alignment horizontal="general" vertical="bottom"/>
    </xf>
    <xf numFmtId="0" fontId="4" fillId="5" borderId="0" applyAlignment="1" pivotButton="0" quotePrefix="0" xfId="0">
      <alignment horizontal="right" vertical="center"/>
    </xf>
    <xf numFmtId="0" fontId="4" fillId="5" borderId="0" applyAlignment="1" pivotButton="0" quotePrefix="0" xfId="0">
      <alignment horizontal="center" vertical="center"/>
    </xf>
    <xf numFmtId="10" fontId="4" fillId="0" borderId="0" applyAlignment="1" pivotButton="0" quotePrefix="0" xfId="0">
      <alignment horizontal="right" vertical="center"/>
    </xf>
    <xf numFmtId="0" fontId="4" fillId="0" borderId="0" applyAlignment="1" pivotButton="0" quotePrefix="0" xfId="0">
      <alignment horizontal="general" vertical="center"/>
    </xf>
    <xf numFmtId="0" fontId="8" fillId="0" borderId="0" applyAlignment="1" pivotButton="0" quotePrefix="0" xfId="0">
      <alignment horizontal="general" vertical="center"/>
    </xf>
    <xf numFmtId="0" fontId="5" fillId="0" borderId="0" applyAlignment="1" pivotButton="0" quotePrefix="0" xfId="0">
      <alignment horizontal="general" vertical="center"/>
    </xf>
    <xf numFmtId="0" fontId="4" fillId="0" borderId="0" applyAlignment="1" pivotButton="0" quotePrefix="0" xfId="0">
      <alignment horizontal="general" vertical="center" wrapText="1"/>
    </xf>
    <xf numFmtId="0" fontId="4" fillId="2" borderId="0" applyAlignment="1" pivotButton="0" quotePrefix="0" xfId="0">
      <alignment horizontal="center" vertical="center"/>
    </xf>
    <xf numFmtId="0" fontId="4" fillId="2" borderId="9" applyAlignment="1" pivotButton="0" quotePrefix="0" xfId="0">
      <alignment horizontal="center" vertical="center"/>
    </xf>
    <xf numFmtId="0" fontId="9" fillId="6" borderId="10" applyAlignment="1" pivotButton="0" quotePrefix="0" xfId="0">
      <alignment horizontal="center" vertical="center"/>
    </xf>
    <xf numFmtId="0" fontId="10" fillId="3" borderId="11" applyAlignment="1" pivotButton="0" quotePrefix="0" xfId="0">
      <alignment horizontal="general" vertical="center"/>
    </xf>
    <xf numFmtId="0" fontId="4" fillId="7" borderId="0" applyAlignment="1" pivotButton="0" quotePrefix="0" xfId="0">
      <alignment horizontal="center" vertical="center"/>
    </xf>
    <xf numFmtId="0" fontId="4" fillId="7" borderId="12" applyAlignment="1" pivotButton="0" quotePrefix="0" xfId="0">
      <alignment horizontal="center" vertical="center"/>
    </xf>
    <xf numFmtId="0" fontId="11" fillId="6" borderId="13" applyAlignment="1" pivotButton="0" quotePrefix="0" xfId="0">
      <alignment horizontal="center" vertical="center"/>
    </xf>
    <xf numFmtId="166" fontId="11" fillId="6" borderId="13" applyAlignment="1" pivotButton="0" quotePrefix="0" xfId="0">
      <alignment horizontal="center" vertical="center"/>
    </xf>
    <xf numFmtId="0" fontId="4" fillId="3" borderId="14" applyAlignment="1" pivotButton="0" quotePrefix="0" xfId="0">
      <alignment horizontal="general" vertical="center"/>
    </xf>
    <xf numFmtId="0" fontId="4" fillId="7" borderId="15" applyAlignment="1" pivotButton="0" quotePrefix="0" xfId="0">
      <alignment horizontal="center" vertical="center"/>
    </xf>
    <xf numFmtId="0" fontId="12" fillId="6" borderId="16" applyAlignment="1" pivotButton="0" quotePrefix="0" xfId="0">
      <alignment horizontal="center" vertical="center"/>
    </xf>
    <xf numFmtId="0" fontId="13" fillId="3" borderId="14" applyAlignment="1" pivotButton="0" quotePrefix="0" xfId="0">
      <alignment horizontal="general" vertical="center"/>
    </xf>
    <xf numFmtId="0" fontId="4" fillId="2" borderId="12" applyAlignment="1" pivotButton="0" quotePrefix="0" xfId="0">
      <alignment horizontal="center" vertical="center"/>
    </xf>
    <xf numFmtId="0" fontId="12" fillId="6" borderId="13" applyAlignment="1" pivotButton="0" quotePrefix="0" xfId="0">
      <alignment horizontal="center" vertical="center"/>
    </xf>
    <xf numFmtId="0" fontId="5" fillId="3" borderId="14" applyAlignment="1" pivotButton="0" quotePrefix="0" xfId="0">
      <alignment horizontal="general" vertical="center"/>
    </xf>
    <xf numFmtId="3" fontId="4" fillId="2" borderId="0" applyAlignment="1" pivotButton="0" quotePrefix="0" xfId="0">
      <alignment horizontal="center" vertical="center"/>
    </xf>
    <xf numFmtId="3" fontId="4" fillId="2" borderId="17" applyAlignment="1" pivotButton="0" quotePrefix="0" xfId="0">
      <alignment horizontal="center" vertical="center"/>
    </xf>
    <xf numFmtId="0" fontId="6" fillId="2" borderId="18" applyAlignment="1" pivotButton="0" quotePrefix="0" xfId="0">
      <alignment horizontal="general" vertical="center"/>
    </xf>
    <xf numFmtId="0" fontId="4" fillId="2" borderId="17" applyAlignment="1" pivotButton="0" quotePrefix="0" xfId="0">
      <alignment horizontal="center" vertical="center"/>
    </xf>
    <xf numFmtId="3" fontId="5" fillId="0" borderId="18" applyAlignment="1" pivotButton="0" quotePrefix="0" xfId="0">
      <alignment horizontal="center" vertical="center"/>
    </xf>
    <xf numFmtId="3" fontId="5" fillId="2" borderId="18" applyAlignment="1" pivotButton="0" quotePrefix="0" xfId="0">
      <alignment horizontal="center" vertical="center"/>
    </xf>
    <xf numFmtId="0" fontId="4" fillId="2" borderId="19" applyAlignment="1" pivotButton="0" quotePrefix="0" xfId="0">
      <alignment horizontal="center" vertical="center"/>
    </xf>
    <xf numFmtId="3" fontId="11" fillId="6" borderId="20" applyAlignment="1" pivotButton="0" quotePrefix="0" xfId="0">
      <alignment horizontal="center" vertical="center"/>
    </xf>
    <xf numFmtId="0" fontId="5" fillId="3" borderId="21" applyAlignment="1" pivotButton="0" quotePrefix="0" xfId="0">
      <alignment horizontal="general" vertical="center"/>
    </xf>
    <xf numFmtId="0" fontId="5" fillId="0" borderId="0" applyAlignment="1" pivotButton="0" quotePrefix="0" xfId="0">
      <alignment horizontal="right" vertical="center"/>
    </xf>
    <xf numFmtId="0" fontId="4" fillId="0" borderId="0" applyAlignment="1" pivotButton="0" quotePrefix="0" xfId="0">
      <alignment horizontal="left" vertical="center"/>
    </xf>
    <xf numFmtId="10" fontId="14" fillId="0" borderId="0" applyAlignment="1" pivotButton="0" quotePrefix="0" xfId="0">
      <alignment horizontal="right" vertical="center"/>
    </xf>
    <xf numFmtId="0" fontId="4" fillId="0" borderId="0" applyAlignment="1" pivotButton="0" quotePrefix="0" xfId="0">
      <alignment horizontal="right" vertical="center"/>
    </xf>
    <xf numFmtId="10" fontId="4" fillId="0" borderId="0" applyAlignment="1" pivotButton="0" quotePrefix="0" xfId="0">
      <alignment horizontal="right" vertical="center" wrapText="1"/>
    </xf>
    <xf numFmtId="0" fontId="7" fillId="0" borderId="0" applyAlignment="1" pivotButton="0" quotePrefix="0" xfId="0">
      <alignment horizontal="general" vertical="center"/>
    </xf>
    <xf numFmtId="0" fontId="4" fillId="2" borderId="22" applyAlignment="1" pivotButton="0" quotePrefix="0" xfId="0">
      <alignment horizontal="center" vertical="center"/>
    </xf>
    <xf numFmtId="0" fontId="9" fillId="6" borderId="23" applyAlignment="1" pivotButton="0" quotePrefix="0" xfId="0">
      <alignment horizontal="center" vertical="center"/>
    </xf>
    <xf numFmtId="0" fontId="9" fillId="6" borderId="24" applyAlignment="1" pivotButton="0" quotePrefix="0" xfId="0">
      <alignment horizontal="center" vertical="center"/>
    </xf>
    <xf numFmtId="0" fontId="9" fillId="6" borderId="24" applyAlignment="1" pivotButton="0" quotePrefix="0" xfId="0">
      <alignment horizontal="center" vertical="center" wrapText="1"/>
    </xf>
    <xf numFmtId="0" fontId="4" fillId="8" borderId="22" applyAlignment="1" pivotButton="0" quotePrefix="0" xfId="0">
      <alignment horizontal="center" vertical="center" wrapText="1"/>
    </xf>
    <xf numFmtId="0" fontId="4" fillId="9" borderId="22" applyAlignment="1" pivotButton="0" quotePrefix="0" xfId="0">
      <alignment horizontal="center" vertical="center" wrapText="1"/>
    </xf>
    <xf numFmtId="0" fontId="4" fillId="2" borderId="18" applyAlignment="1" pivotButton="0" quotePrefix="0" xfId="0">
      <alignment horizontal="center" vertical="center"/>
    </xf>
    <xf numFmtId="0" fontId="15" fillId="6" borderId="0" applyAlignment="1" pivotButton="0" quotePrefix="0" xfId="0">
      <alignment horizontal="center" vertical="center" wrapText="1"/>
    </xf>
    <xf numFmtId="0" fontId="15" fillId="3" borderId="0" applyAlignment="1" pivotButton="0" quotePrefix="0" xfId="0">
      <alignment horizontal="center" vertical="center" wrapText="1"/>
    </xf>
    <xf numFmtId="0" fontId="11" fillId="6" borderId="0" applyAlignment="1" pivotButton="0" quotePrefix="0" xfId="0">
      <alignment horizontal="center" vertical="center" wrapText="1"/>
    </xf>
    <xf numFmtId="10" fontId="4" fillId="10" borderId="18" applyAlignment="1" pivotButton="0" quotePrefix="0" xfId="0">
      <alignment horizontal="center" vertical="center" wrapText="1"/>
    </xf>
    <xf numFmtId="10" fontId="4" fillId="10" borderId="18" applyAlignment="1" pivotButton="0" quotePrefix="0" xfId="0">
      <alignment horizontal="center" vertical="center"/>
    </xf>
    <xf numFmtId="0" fontId="16" fillId="8" borderId="17" applyAlignment="1" pivotButton="0" quotePrefix="0" xfId="0">
      <alignment horizontal="center" vertical="bottom"/>
    </xf>
    <xf numFmtId="0" fontId="11" fillId="8" borderId="0" applyAlignment="1" pivotButton="0" quotePrefix="0" xfId="0">
      <alignment horizontal="left" vertical="bottom"/>
    </xf>
    <xf numFmtId="3" fontId="11" fillId="8" borderId="0" applyAlignment="1" pivotButton="0" quotePrefix="0" xfId="0">
      <alignment horizontal="center" vertical="center"/>
    </xf>
    <xf numFmtId="0" fontId="17" fillId="11" borderId="0" applyAlignment="1" pivotButton="0" quotePrefix="0" xfId="0">
      <alignment horizontal="left" vertical="bottom"/>
    </xf>
    <xf numFmtId="0" fontId="5" fillId="8" borderId="0" applyAlignment="1" pivotButton="0" quotePrefix="0" xfId="0">
      <alignment horizontal="left" vertical="bottom"/>
    </xf>
    <xf numFmtId="3" fontId="11" fillId="8" borderId="0" applyAlignment="1" pivotButton="0" quotePrefix="0" xfId="0">
      <alignment horizontal="left" vertical="bottom"/>
    </xf>
    <xf numFmtId="3" fontId="11" fillId="6" borderId="25" applyAlignment="1" pivotButton="0" quotePrefix="0" xfId="0">
      <alignment horizontal="center" vertical="center"/>
    </xf>
    <xf numFmtId="3" fontId="5" fillId="10" borderId="18" applyAlignment="1" pivotButton="0" quotePrefix="0" xfId="0">
      <alignment horizontal="center" vertical="center" wrapText="1"/>
    </xf>
    <xf numFmtId="3" fontId="4" fillId="10" borderId="18" applyAlignment="1" pivotButton="0" quotePrefix="0" xfId="0">
      <alignment horizontal="center" vertical="center"/>
    </xf>
    <xf numFmtId="0" fontId="7" fillId="5" borderId="0" applyAlignment="1" pivotButton="0" quotePrefix="0" xfId="0">
      <alignment horizontal="left" vertical="center"/>
    </xf>
    <xf numFmtId="0" fontId="5" fillId="5" borderId="0" applyAlignment="1" pivotButton="0" quotePrefix="0" xfId="0">
      <alignment horizontal="left" vertical="center"/>
    </xf>
    <xf numFmtId="0" fontId="11" fillId="6" borderId="0" applyAlignment="1" pivotButton="0" quotePrefix="0" xfId="0">
      <alignment horizontal="center" vertical="center"/>
    </xf>
    <xf numFmtId="0" fontId="11" fillId="6" borderId="25" applyAlignment="1" pivotButton="0" quotePrefix="0" xfId="0">
      <alignment horizontal="center" vertical="center"/>
    </xf>
    <xf numFmtId="4" fontId="11" fillId="6" borderId="17" applyAlignment="1" pivotButton="0" quotePrefix="0" xfId="0">
      <alignment horizontal="center" vertical="center"/>
    </xf>
    <xf numFmtId="4" fontId="11" fillId="6" borderId="0" applyAlignment="1" pivotButton="0" quotePrefix="0" xfId="0">
      <alignment horizontal="center" vertical="center"/>
    </xf>
    <xf numFmtId="3" fontId="11" fillId="6" borderId="0" applyAlignment="1" pivotButton="0" quotePrefix="0" xfId="0">
      <alignment horizontal="center" vertical="center"/>
    </xf>
    <xf numFmtId="3" fontId="4" fillId="8" borderId="18" applyAlignment="1" pivotButton="0" quotePrefix="0" xfId="0">
      <alignment horizontal="center" vertical="center" wrapText="1"/>
    </xf>
    <xf numFmtId="3" fontId="4" fillId="9" borderId="18" applyAlignment="1" pivotButton="0" quotePrefix="0" xfId="0">
      <alignment horizontal="center" vertical="center"/>
    </xf>
    <xf numFmtId="167" fontId="4" fillId="0" borderId="0" applyAlignment="1" pivotButton="0" quotePrefix="0" xfId="0">
      <alignment horizontal="general" vertical="center"/>
    </xf>
    <xf numFmtId="3" fontId="5" fillId="2" borderId="17" applyAlignment="1" pivotButton="0" quotePrefix="0" xfId="0">
      <alignment horizontal="center" vertical="center"/>
    </xf>
    <xf numFmtId="3" fontId="5" fillId="2" borderId="0" applyAlignment="1" pivotButton="0" quotePrefix="0" xfId="0">
      <alignment horizontal="center" vertical="center"/>
    </xf>
    <xf numFmtId="3" fontId="4" fillId="10" borderId="18" applyAlignment="1" pivotButton="0" quotePrefix="0" xfId="0">
      <alignment horizontal="center" vertical="center" wrapText="1"/>
    </xf>
    <xf numFmtId="0" fontId="4" fillId="8" borderId="18" applyAlignment="1" pivotButton="0" quotePrefix="0" xfId="0">
      <alignment horizontal="center" vertical="center"/>
    </xf>
    <xf numFmtId="168" fontId="5" fillId="8" borderId="17" applyAlignment="1" pivotButton="0" quotePrefix="0" xfId="0">
      <alignment horizontal="center" vertical="center"/>
    </xf>
    <xf numFmtId="168" fontId="5" fillId="8" borderId="0" applyAlignment="1" pivotButton="0" quotePrefix="0" xfId="0">
      <alignment horizontal="center" vertical="center"/>
    </xf>
    <xf numFmtId="10" fontId="5" fillId="8" borderId="0" applyAlignment="1" pivotButton="0" quotePrefix="0" xfId="0">
      <alignment horizontal="center" vertical="center"/>
    </xf>
    <xf numFmtId="10" fontId="5" fillId="10" borderId="25" applyAlignment="1" pivotButton="0" quotePrefix="0" xfId="0">
      <alignment horizontal="center" vertical="center"/>
    </xf>
    <xf numFmtId="10" fontId="4" fillId="8" borderId="18" applyAlignment="1" pivotButton="0" quotePrefix="0" xfId="0">
      <alignment horizontal="center" vertical="center" wrapText="1"/>
    </xf>
    <xf numFmtId="0" fontId="4" fillId="9" borderId="18" applyAlignment="1" pivotButton="0" quotePrefix="0" xfId="0">
      <alignment horizontal="center" vertical="center"/>
    </xf>
    <xf numFmtId="168" fontId="5" fillId="9" borderId="17" applyAlignment="1" pivotButton="0" quotePrefix="0" xfId="0">
      <alignment horizontal="center" vertical="center"/>
    </xf>
    <xf numFmtId="168" fontId="5" fillId="9" borderId="0" applyAlignment="1" pivotButton="0" quotePrefix="0" xfId="0">
      <alignment horizontal="center" vertical="center"/>
    </xf>
    <xf numFmtId="10" fontId="5" fillId="9" borderId="0" applyAlignment="1" pivotButton="0" quotePrefix="0" xfId="0">
      <alignment horizontal="center" vertical="center"/>
    </xf>
    <xf numFmtId="10" fontId="5" fillId="9" borderId="25" applyAlignment="1" pivotButton="0" quotePrefix="0" xfId="0">
      <alignment horizontal="center" vertical="center"/>
    </xf>
    <xf numFmtId="0" fontId="5" fillId="10" borderId="18" applyAlignment="1" pivotButton="0" quotePrefix="0" xfId="0">
      <alignment horizontal="general" vertical="bottom"/>
    </xf>
    <xf numFmtId="10" fontId="4" fillId="9" borderId="18" applyAlignment="1" pivotButton="0" quotePrefix="0" xfId="0">
      <alignment horizontal="center" vertical="center" wrapText="1"/>
    </xf>
    <xf numFmtId="169" fontId="11" fillId="6" borderId="17" applyAlignment="1" pivotButton="0" quotePrefix="0" xfId="0">
      <alignment horizontal="center" vertical="center"/>
    </xf>
    <xf numFmtId="169" fontId="11" fillId="6" borderId="0" applyAlignment="1" pivotButton="0" quotePrefix="0" xfId="0">
      <alignment horizontal="center" vertical="center"/>
    </xf>
    <xf numFmtId="0" fontId="5" fillId="2" borderId="0" applyAlignment="1" pivotButton="0" quotePrefix="0" xfId="0">
      <alignment horizontal="center" vertical="center"/>
    </xf>
    <xf numFmtId="4" fontId="5" fillId="2" borderId="0" applyAlignment="1" pivotButton="0" quotePrefix="0" xfId="0">
      <alignment horizontal="center" vertical="center"/>
    </xf>
    <xf numFmtId="169" fontId="5" fillId="2" borderId="0" applyAlignment="1" pivotButton="0" quotePrefix="0" xfId="0">
      <alignment horizontal="center" vertical="center"/>
    </xf>
    <xf numFmtId="4" fontId="5" fillId="2" borderId="25" applyAlignment="1" pivotButton="0" quotePrefix="0" xfId="0">
      <alignment horizontal="center" vertical="center"/>
    </xf>
    <xf numFmtId="4" fontId="5" fillId="10" borderId="18" applyAlignment="1" pivotButton="0" quotePrefix="0" xfId="0">
      <alignment horizontal="center" vertical="center" wrapText="1"/>
    </xf>
    <xf numFmtId="170" fontId="5" fillId="2" borderId="17" applyAlignment="1" pivotButton="0" quotePrefix="0" xfId="0">
      <alignment horizontal="center" vertical="center"/>
    </xf>
    <xf numFmtId="170" fontId="5" fillId="2" borderId="0" applyAlignment="1" pivotButton="0" quotePrefix="0" xfId="0">
      <alignment horizontal="center" vertical="center"/>
    </xf>
    <xf numFmtId="170" fontId="5" fillId="2" borderId="25" applyAlignment="1" pivotButton="0" quotePrefix="0" xfId="0">
      <alignment horizontal="center" vertical="center"/>
    </xf>
    <xf numFmtId="170" fontId="4" fillId="2" borderId="18" applyAlignment="1" pivotButton="0" quotePrefix="0" xfId="0">
      <alignment horizontal="center" vertical="center" wrapText="1"/>
    </xf>
    <xf numFmtId="170" fontId="4" fillId="10" borderId="18" applyAlignment="1" pivotButton="0" quotePrefix="0" xfId="0">
      <alignment horizontal="center" vertical="center"/>
    </xf>
    <xf numFmtId="0" fontId="7" fillId="5" borderId="0" applyAlignment="1" pivotButton="0" quotePrefix="0" xfId="0">
      <alignment horizontal="general" vertical="center"/>
    </xf>
    <xf numFmtId="0" fontId="4" fillId="2" borderId="0" applyAlignment="1" pivotButton="0" quotePrefix="0" xfId="0">
      <alignment horizontal="center" vertical="center" wrapText="1"/>
    </xf>
    <xf numFmtId="0" fontId="4" fillId="2" borderId="20" applyAlignment="1" pivotButton="0" quotePrefix="0" xfId="0">
      <alignment horizontal="center" vertical="center" wrapText="1"/>
    </xf>
    <xf numFmtId="170" fontId="4" fillId="10" borderId="20" applyAlignment="1" pivotButton="0" quotePrefix="0" xfId="0">
      <alignment horizontal="center" vertical="center" wrapText="1"/>
    </xf>
    <xf numFmtId="170" fontId="4" fillId="10" borderId="20" applyAlignment="1" pivotButton="0" quotePrefix="0" xfId="0">
      <alignment horizontal="center" vertical="center"/>
    </xf>
    <xf numFmtId="3" fontId="11" fillId="5" borderId="0" applyAlignment="1" pivotButton="0" quotePrefix="0" xfId="0">
      <alignment horizontal="center" vertical="center"/>
    </xf>
    <xf numFmtId="0" fontId="4" fillId="2" borderId="19" applyAlignment="1" pivotButton="0" quotePrefix="0" xfId="0">
      <alignment horizontal="center" vertical="center" wrapText="1"/>
    </xf>
    <xf numFmtId="0" fontId="6" fillId="0" borderId="26" applyAlignment="1" pivotButton="0" quotePrefix="0" xfId="0">
      <alignment horizontal="center" vertical="center" wrapText="1"/>
    </xf>
    <xf numFmtId="0" fontId="4" fillId="5" borderId="0" applyAlignment="1" pivotButton="0" quotePrefix="0" xfId="0">
      <alignment horizontal="general" vertical="center"/>
    </xf>
    <xf numFmtId="10" fontId="6" fillId="3" borderId="0" applyAlignment="1" pivotButton="0" quotePrefix="0" xfId="0">
      <alignment horizontal="right" vertical="center" wrapText="1"/>
    </xf>
    <xf numFmtId="10" fontId="6" fillId="0" borderId="26" applyAlignment="1" pivotButton="0" quotePrefix="0" xfId="0">
      <alignment horizontal="center" vertical="center" wrapText="1"/>
    </xf>
    <xf numFmtId="10" fontId="6" fillId="3" borderId="26" applyAlignment="1" pivotButton="0" quotePrefix="0" xfId="0">
      <alignment horizontal="center" vertical="center" wrapText="1"/>
    </xf>
    <xf numFmtId="0" fontId="6" fillId="5" borderId="26" applyAlignment="1" pivotButton="0" quotePrefix="0" xfId="0">
      <alignment horizontal="center" vertical="center" wrapText="1"/>
    </xf>
    <xf numFmtId="10" fontId="6" fillId="5" borderId="26" applyAlignment="1" pivotButton="0" quotePrefix="0" xfId="0">
      <alignment horizontal="center" vertical="center" wrapText="1"/>
    </xf>
    <xf numFmtId="9" fontId="6" fillId="0" borderId="26" applyAlignment="1" pivotButton="0" quotePrefix="0" xfId="0">
      <alignment horizontal="center" vertical="center" wrapText="1"/>
    </xf>
    <xf numFmtId="10" fontId="4" fillId="0" borderId="0" applyAlignment="1" pivotButton="0" quotePrefix="0" xfId="0">
      <alignment horizontal="center" vertical="center" wrapText="1"/>
    </xf>
    <xf numFmtId="0" fontId="6" fillId="0" borderId="0" applyAlignment="1" pivotButton="0" quotePrefix="0" xfId="0">
      <alignment horizontal="right" vertical="center" wrapText="1"/>
    </xf>
    <xf numFmtId="0" fontId="12" fillId="6" borderId="18" applyAlignment="1" pivotButton="0" quotePrefix="0" xfId="0">
      <alignment horizontal="center" vertical="center"/>
    </xf>
    <xf numFmtId="0" fontId="6" fillId="0" borderId="0" applyAlignment="1" pivotButton="0" quotePrefix="0" xfId="0">
      <alignment horizontal="center" vertical="center"/>
    </xf>
    <xf numFmtId="0" fontId="6" fillId="0" borderId="0" applyAlignment="1" pivotButton="0" quotePrefix="0" xfId="0">
      <alignment horizontal="general" vertical="center"/>
    </xf>
    <xf numFmtId="0" fontId="6" fillId="2" borderId="27" applyAlignment="1" pivotButton="0" quotePrefix="0" xfId="0">
      <alignment horizontal="center" vertical="center"/>
    </xf>
    <xf numFmtId="0" fontId="6" fillId="2" borderId="28" applyAlignment="1" pivotButton="0" quotePrefix="0" xfId="0">
      <alignment horizontal="center" vertical="center"/>
    </xf>
    <xf numFmtId="0" fontId="6" fillId="2" borderId="28" applyAlignment="1" pivotButton="0" quotePrefix="0" xfId="0">
      <alignment horizontal="center" vertical="center" wrapText="1"/>
    </xf>
    <xf numFmtId="0" fontId="5" fillId="2" borderId="29" applyAlignment="1" pivotButton="0" quotePrefix="0" xfId="0">
      <alignment horizontal="general" vertical="center" wrapText="1"/>
    </xf>
    <xf numFmtId="0" fontId="4" fillId="2" borderId="27" applyAlignment="1" pivotButton="0" quotePrefix="0" xfId="0">
      <alignment horizontal="center" vertical="center" wrapText="1"/>
    </xf>
    <xf numFmtId="0" fontId="4" fillId="2" borderId="28" applyAlignment="1" pivotButton="0" quotePrefix="0" xfId="0">
      <alignment horizontal="center" vertical="center" wrapText="1"/>
    </xf>
    <xf numFmtId="0" fontId="4" fillId="2" borderId="29" applyAlignment="1" pivotButton="0" quotePrefix="0" xfId="0">
      <alignment horizontal="center" vertical="center" wrapText="1"/>
    </xf>
    <xf numFmtId="0" fontId="4" fillId="2" borderId="26" applyAlignment="1" pivotButton="0" quotePrefix="0" xfId="0">
      <alignment horizontal="center" vertical="center"/>
    </xf>
    <xf numFmtId="171" fontId="5" fillId="2" borderId="0" applyAlignment="1" pivotButton="0" quotePrefix="0" xfId="0">
      <alignment horizontal="right" vertical="center"/>
    </xf>
    <xf numFmtId="0" fontId="5" fillId="2" borderId="0" applyAlignment="1" pivotButton="0" quotePrefix="0" xfId="0">
      <alignment horizontal="right" vertical="center"/>
    </xf>
    <xf numFmtId="3" fontId="11" fillId="6" borderId="4" applyAlignment="1" pivotButton="0" quotePrefix="0" xfId="0">
      <alignment horizontal="right" vertical="center"/>
    </xf>
    <xf numFmtId="3" fontId="11" fillId="6" borderId="0" applyAlignment="1" pivotButton="0" quotePrefix="0" xfId="0">
      <alignment horizontal="right" vertical="center"/>
    </xf>
    <xf numFmtId="3" fontId="11" fillId="6" borderId="5" applyAlignment="1" pivotButton="0" quotePrefix="0" xfId="0">
      <alignment horizontal="right" vertical="center"/>
    </xf>
    <xf numFmtId="3" fontId="5" fillId="2" borderId="4" applyAlignment="1" pivotButton="0" quotePrefix="0" xfId="0">
      <alignment horizontal="right" vertical="center"/>
    </xf>
    <xf numFmtId="10" fontId="5" fillId="2" borderId="0" applyAlignment="1" pivotButton="0" quotePrefix="0" xfId="0">
      <alignment horizontal="right" vertical="center"/>
    </xf>
    <xf numFmtId="0" fontId="11" fillId="2" borderId="4" applyAlignment="1" pivotButton="0" quotePrefix="0" xfId="0">
      <alignment horizontal="general" vertical="center"/>
    </xf>
    <xf numFmtId="10" fontId="11" fillId="2" borderId="5" applyAlignment="1" pivotButton="0" quotePrefix="0" xfId="0">
      <alignment horizontal="general" vertical="bottom"/>
    </xf>
    <xf numFmtId="4" fontId="4" fillId="2" borderId="30" applyAlignment="1" pivotButton="0" quotePrefix="0" xfId="0">
      <alignment horizontal="general" vertical="center"/>
    </xf>
    <xf numFmtId="0" fontId="18" fillId="0" borderId="0" applyAlignment="1" pivotButton="0" quotePrefix="0" xfId="0">
      <alignment horizontal="general" vertical="center"/>
    </xf>
    <xf numFmtId="10" fontId="5" fillId="2" borderId="5" applyAlignment="1" pivotButton="0" quotePrefix="0" xfId="0">
      <alignment horizontal="general" vertical="center"/>
    </xf>
    <xf numFmtId="0" fontId="11" fillId="6" borderId="0" applyAlignment="1" pivotButton="0" quotePrefix="0" xfId="0">
      <alignment horizontal="right" vertical="center"/>
    </xf>
    <xf numFmtId="3" fontId="5" fillId="2" borderId="6" applyAlignment="1" pivotButton="0" quotePrefix="0" xfId="0">
      <alignment horizontal="right" vertical="center"/>
    </xf>
    <xf numFmtId="10" fontId="5" fillId="2" borderId="7" applyAlignment="1" pivotButton="0" quotePrefix="0" xfId="0">
      <alignment horizontal="right" vertical="center"/>
    </xf>
    <xf numFmtId="10" fontId="5" fillId="2" borderId="8" applyAlignment="1" pivotButton="0" quotePrefix="0" xfId="0">
      <alignment horizontal="general" vertical="center"/>
    </xf>
    <xf numFmtId="4" fontId="4" fillId="2" borderId="31" applyAlignment="1" pivotButton="0" quotePrefix="0" xfId="0">
      <alignment horizontal="general" vertical="center"/>
    </xf>
    <xf numFmtId="3" fontId="4" fillId="0" borderId="1" applyAlignment="1" pivotButton="0" quotePrefix="0" xfId="0">
      <alignment horizontal="right" vertical="center"/>
    </xf>
    <xf numFmtId="3" fontId="4" fillId="0" borderId="2" applyAlignment="1" pivotButton="0" quotePrefix="0" xfId="0">
      <alignment horizontal="right" vertical="center"/>
    </xf>
    <xf numFmtId="3" fontId="4" fillId="0" borderId="3" applyAlignment="1" pivotButton="0" quotePrefix="0" xfId="0">
      <alignment horizontal="right" vertical="center"/>
    </xf>
    <xf numFmtId="10" fontId="5" fillId="0" borderId="0" applyAlignment="1" pivotButton="0" quotePrefix="0" xfId="0">
      <alignment horizontal="right" vertical="center"/>
    </xf>
    <xf numFmtId="0" fontId="19" fillId="0" borderId="0" applyAlignment="1" pivotButton="0" quotePrefix="0" xfId="0">
      <alignment horizontal="general" vertical="center"/>
    </xf>
    <xf numFmtId="10" fontId="6" fillId="12" borderId="6" applyAlignment="1" pivotButton="0" quotePrefix="0" xfId="0">
      <alignment horizontal="right" vertical="center"/>
    </xf>
    <xf numFmtId="10" fontId="6" fillId="12" borderId="7" applyAlignment="1" pivotButton="0" quotePrefix="0" xfId="0">
      <alignment horizontal="right" vertical="center"/>
    </xf>
    <xf numFmtId="10" fontId="19" fillId="12" borderId="8" applyAlignment="1" pivotButton="0" quotePrefix="0" xfId="0">
      <alignment horizontal="right" vertical="center"/>
    </xf>
    <xf numFmtId="3" fontId="4" fillId="0" borderId="0" applyAlignment="1" pivotButton="0" quotePrefix="0" xfId="0">
      <alignment horizontal="general" vertical="center"/>
    </xf>
    <xf numFmtId="3" fontId="5" fillId="0" borderId="0" applyAlignment="1" pivotButton="0" quotePrefix="0" xfId="0">
      <alignment horizontal="general" vertical="center"/>
    </xf>
    <xf numFmtId="3" fontId="5" fillId="0" borderId="0" applyAlignment="1" pivotButton="0" quotePrefix="0" xfId="0">
      <alignment horizontal="general" vertical="center" wrapText="1"/>
    </xf>
    <xf numFmtId="3" fontId="5" fillId="5" borderId="0" applyAlignment="1" pivotButton="0" quotePrefix="0" xfId="0">
      <alignment horizontal="general" vertical="center"/>
    </xf>
    <xf numFmtId="3" fontId="5" fillId="0" borderId="26" applyAlignment="1" pivotButton="0" quotePrefix="0" xfId="0">
      <alignment horizontal="center" vertical="center" wrapText="1"/>
    </xf>
    <xf numFmtId="3" fontId="4" fillId="0" borderId="26" applyAlignment="1" pivotButton="0" quotePrefix="0" xfId="0">
      <alignment horizontal="center" vertical="center" wrapText="1"/>
    </xf>
    <xf numFmtId="10" fontId="5" fillId="0" borderId="26" applyAlignment="1" pivotButton="0" quotePrefix="0" xfId="0">
      <alignment horizontal="center" vertical="center" wrapText="1"/>
    </xf>
    <xf numFmtId="3" fontId="5" fillId="0" borderId="0" applyAlignment="1" pivotButton="0" quotePrefix="0" xfId="0">
      <alignment horizontal="right" vertical="center"/>
    </xf>
    <xf numFmtId="0" fontId="5" fillId="0" borderId="0" applyAlignment="1" pivotButton="0" quotePrefix="0" xfId="0">
      <alignment horizontal="general" vertical="center" wrapText="1"/>
    </xf>
    <xf numFmtId="0" fontId="21" fillId="0" borderId="0" applyAlignment="1" pivotButton="0" quotePrefix="0" xfId="0">
      <alignment horizontal="center" vertical="bottom" wrapText="1"/>
    </xf>
    <xf numFmtId="0" fontId="4" fillId="0" borderId="0" applyAlignment="1" pivotButton="0" quotePrefix="0" xfId="0">
      <alignment horizontal="center" vertical="bottom" wrapText="1"/>
    </xf>
    <xf numFmtId="0" fontId="0" fillId="0" borderId="0" applyAlignment="1" pivotButton="0" quotePrefix="0" xfId="0">
      <alignment horizontal="general" vertical="bottom"/>
    </xf>
    <xf numFmtId="0" fontId="22" fillId="0" borderId="0" applyAlignment="1" pivotButton="0" quotePrefix="0" xfId="0">
      <alignment horizontal="left" vertical="bottom"/>
    </xf>
    <xf numFmtId="0" fontId="22" fillId="0" borderId="0" applyAlignment="1" pivotButton="0" quotePrefix="0" xfId="0">
      <alignment horizontal="general" vertical="bottom"/>
    </xf>
    <xf numFmtId="0" fontId="8" fillId="0" borderId="0" applyAlignment="1" pivotButton="0" quotePrefix="0" xfId="0">
      <alignment horizontal="general" vertical="bottom"/>
    </xf>
    <xf numFmtId="0" fontId="14" fillId="0" borderId="0" applyAlignment="1" pivotButton="0" quotePrefix="0" xfId="0">
      <alignment horizontal="general" vertical="bottom"/>
    </xf>
    <xf numFmtId="0" fontId="4" fillId="0" borderId="26" applyAlignment="1" pivotButton="0" quotePrefix="0" xfId="0">
      <alignment horizontal="center" vertical="center" wrapText="1"/>
    </xf>
    <xf numFmtId="0" fontId="4" fillId="0" borderId="29" applyAlignment="1" pivotButton="0" quotePrefix="0" xfId="0">
      <alignment horizontal="center" vertical="center" wrapText="1"/>
    </xf>
    <xf numFmtId="0" fontId="5" fillId="0" borderId="0" applyAlignment="1" pivotButton="0" quotePrefix="0" xfId="0">
      <alignment horizontal="center" vertical="center" wrapText="1"/>
    </xf>
    <xf numFmtId="0" fontId="21" fillId="0" borderId="26" applyAlignment="1" pivotButton="0" quotePrefix="0" xfId="0">
      <alignment horizontal="center" vertical="center" wrapText="1"/>
    </xf>
    <xf numFmtId="0" fontId="5" fillId="0" borderId="0" applyAlignment="1" pivotButton="0" quotePrefix="0" xfId="0">
      <alignment horizontal="center" vertical="center"/>
    </xf>
    <xf numFmtId="0" fontId="5" fillId="3" borderId="31" applyAlignment="1" pivotButton="0" quotePrefix="0" xfId="0">
      <alignment horizontal="center" vertical="center"/>
    </xf>
    <xf numFmtId="0" fontId="5" fillId="3" borderId="8" applyAlignment="1" pivotButton="0" quotePrefix="0" xfId="0">
      <alignment horizontal="center" vertical="center"/>
    </xf>
    <xf numFmtId="169" fontId="5" fillId="3" borderId="8" applyAlignment="1" pivotButton="0" quotePrefix="0" xfId="0">
      <alignment horizontal="center" vertical="center"/>
    </xf>
    <xf numFmtId="0" fontId="5" fillId="3" borderId="0" applyAlignment="1" pivotButton="0" quotePrefix="0" xfId="0">
      <alignment horizontal="general" vertical="bottom"/>
    </xf>
    <xf numFmtId="172" fontId="5" fillId="3" borderId="8" applyAlignment="1" pivotButton="0" quotePrefix="0" xfId="0">
      <alignment horizontal="center" vertical="center"/>
    </xf>
    <xf numFmtId="173" fontId="0" fillId="3" borderId="26" applyAlignment="1" pivotButton="0" quotePrefix="0" xfId="0">
      <alignment horizontal="center" vertical="center"/>
    </xf>
    <xf numFmtId="0" fontId="0" fillId="0" borderId="0" applyAlignment="1" pivotButton="0" quotePrefix="0" xfId="0">
      <alignment horizontal="center" vertical="center"/>
    </xf>
    <xf numFmtId="0" fontId="5" fillId="0" borderId="26" applyAlignment="1" pivotButton="0" quotePrefix="0" xfId="0">
      <alignment horizontal="center" vertical="center" wrapText="1"/>
    </xf>
    <xf numFmtId="0" fontId="23" fillId="0" borderId="26" applyAlignment="1" pivotButton="0" quotePrefix="0" xfId="0">
      <alignment horizontal="center" vertical="center"/>
    </xf>
    <xf numFmtId="0" fontId="0" fillId="0" borderId="26" applyAlignment="1" pivotButton="0" quotePrefix="0" xfId="0">
      <alignment horizontal="center" vertical="center"/>
    </xf>
    <xf numFmtId="10" fontId="0" fillId="0" borderId="26" applyAlignment="1" pivotButton="0" quotePrefix="0" xfId="0">
      <alignment horizontal="center" vertical="center"/>
    </xf>
    <xf numFmtId="0" fontId="5" fillId="0" borderId="8" applyAlignment="1" pivotButton="0" quotePrefix="0" xfId="0">
      <alignment horizontal="center" vertical="center"/>
    </xf>
    <xf numFmtId="0" fontId="5" fillId="0" borderId="31" applyAlignment="1" pivotButton="0" quotePrefix="0" xfId="0">
      <alignment horizontal="center" vertical="center"/>
    </xf>
    <xf numFmtId="169" fontId="5" fillId="0" borderId="8" applyAlignment="1" pivotButton="0" quotePrefix="0" xfId="0">
      <alignment horizontal="center" vertical="center"/>
    </xf>
    <xf numFmtId="0" fontId="5" fillId="0" borderId="0" applyAlignment="1" pivotButton="0" quotePrefix="0" xfId="0">
      <alignment horizontal="general" vertical="bottom"/>
    </xf>
    <xf numFmtId="172" fontId="5" fillId="0" borderId="8" applyAlignment="1" pivotButton="0" quotePrefix="0" xfId="0">
      <alignment horizontal="center" vertical="center"/>
    </xf>
    <xf numFmtId="173" fontId="0" fillId="0" borderId="26" applyAlignment="1" pivotButton="0" quotePrefix="0" xfId="0">
      <alignment horizontal="center" vertical="center"/>
    </xf>
    <xf numFmtId="4" fontId="5" fillId="0" borderId="8" applyAlignment="1" pivotButton="0" quotePrefix="0" xfId="0">
      <alignment horizontal="center" vertical="center"/>
    </xf>
    <xf numFmtId="0" fontId="5" fillId="0" borderId="29" applyAlignment="1" pivotButton="0" quotePrefix="0" xfId="0">
      <alignment horizontal="center" vertical="bottom"/>
    </xf>
    <xf numFmtId="0" fontId="5" fillId="0" borderId="8" applyAlignment="1" pivotButton="0" quotePrefix="0" xfId="0">
      <alignment horizontal="center" vertical="bottom"/>
    </xf>
    <xf numFmtId="174" fontId="5" fillId="0" borderId="31" applyAlignment="1" pivotButton="0" quotePrefix="0" xfId="0">
      <alignment horizontal="center" vertical="center"/>
    </xf>
    <xf numFmtId="0" fontId="15" fillId="0" borderId="0" applyAlignment="1" pivotButton="0" quotePrefix="0" xfId="0">
      <alignment horizontal="general" vertical="bottom"/>
    </xf>
    <xf numFmtId="173" fontId="5" fillId="0" borderId="8" applyAlignment="1" pivotButton="0" quotePrefix="0" xfId="0">
      <alignment horizontal="center" vertical="center"/>
    </xf>
    <xf numFmtId="3" fontId="24" fillId="0" borderId="26" applyAlignment="1" pivotButton="0" quotePrefix="0" xfId="0">
      <alignment horizontal="center" vertical="center"/>
    </xf>
    <xf numFmtId="10" fontId="24" fillId="0" borderId="26" applyAlignment="1" pivotButton="0" quotePrefix="0" xfId="0">
      <alignment horizontal="center" vertical="center"/>
    </xf>
    <xf numFmtId="173" fontId="24" fillId="0" borderId="26" applyAlignment="1" pivotButton="0" quotePrefix="0" xfId="0">
      <alignment horizontal="center" vertical="center"/>
    </xf>
    <xf numFmtId="0" fontId="24" fillId="3" borderId="0" applyAlignment="1" pivotButton="0" quotePrefix="0" xfId="0">
      <alignment horizontal="general" vertical="bottom"/>
    </xf>
    <xf numFmtId="0" fontId="21" fillId="0" borderId="26" applyAlignment="1" pivotButton="0" quotePrefix="0" xfId="0">
      <alignment horizontal="center" vertical="center"/>
    </xf>
    <xf numFmtId="3" fontId="8" fillId="0" borderId="26" applyAlignment="1" pivotButton="0" quotePrefix="0" xfId="0">
      <alignment horizontal="center" vertical="center"/>
    </xf>
    <xf numFmtId="170" fontId="25" fillId="0" borderId="26" applyAlignment="1" pivotButton="0" quotePrefix="0" xfId="0">
      <alignment horizontal="center" vertical="center"/>
    </xf>
    <xf numFmtId="0" fontId="4" fillId="0" borderId="26" applyAlignment="1" pivotButton="0" quotePrefix="0" xfId="0">
      <alignment horizontal="center" vertical="bottom" wrapText="1"/>
    </xf>
    <xf numFmtId="0" fontId="4" fillId="0" borderId="29" applyAlignment="1" pivotButton="0" quotePrefix="0" xfId="0">
      <alignment horizontal="center" vertical="bottom" wrapText="1"/>
    </xf>
    <xf numFmtId="0" fontId="5" fillId="0" borderId="26" applyAlignment="1" pivotButton="0" quotePrefix="0" xfId="0">
      <alignment horizontal="center" vertical="bottom"/>
    </xf>
    <xf numFmtId="173" fontId="5" fillId="0" borderId="29" applyAlignment="1" pivotButton="0" quotePrefix="0" xfId="0">
      <alignment horizontal="center" vertical="bottom"/>
    </xf>
    <xf numFmtId="10" fontId="5" fillId="0" borderId="29" applyAlignment="1" pivotButton="0" quotePrefix="0" xfId="0">
      <alignment horizontal="center" vertical="bottom"/>
    </xf>
    <xf numFmtId="0" fontId="5" fillId="0" borderId="31" applyAlignment="1" pivotButton="0" quotePrefix="0" xfId="0">
      <alignment horizontal="center" vertical="bottom"/>
    </xf>
    <xf numFmtId="173" fontId="5" fillId="0" borderId="8" applyAlignment="1" pivotButton="0" quotePrefix="0" xfId="0">
      <alignment horizontal="center" vertical="bottom"/>
    </xf>
    <xf numFmtId="10" fontId="5" fillId="0" borderId="8" applyAlignment="1" pivotButton="0" quotePrefix="0" xfId="0">
      <alignment horizontal="center" vertical="bottom"/>
    </xf>
    <xf numFmtId="4" fontId="24" fillId="0" borderId="26" applyAlignment="1" pivotButton="0" quotePrefix="0" xfId="0">
      <alignment horizontal="center" vertical="center"/>
    </xf>
    <xf numFmtId="0" fontId="4" fillId="0" borderId="7" applyAlignment="1" pivotButton="0" quotePrefix="0" xfId="0">
      <alignment horizontal="general" vertical="bottom"/>
    </xf>
    <xf numFmtId="0" fontId="5" fillId="0" borderId="7" applyAlignment="1" pivotButton="0" quotePrefix="0" xfId="0">
      <alignment horizontal="general" vertical="bottom"/>
    </xf>
    <xf numFmtId="0" fontId="0" fillId="0" borderId="5" applyAlignment="1" pivotButton="0" quotePrefix="0" xfId="0">
      <alignment horizontal="general" vertical="bottom"/>
    </xf>
    <xf numFmtId="0" fontId="4" fillId="0" borderId="5" applyAlignment="1" pivotButton="0" quotePrefix="0" xfId="0">
      <alignment horizontal="center" vertical="bottom" wrapText="1"/>
    </xf>
    <xf numFmtId="0" fontId="4" fillId="0" borderId="26" applyAlignment="1" pivotButton="0" quotePrefix="0" xfId="0">
      <alignment horizontal="center" vertical="bottom"/>
    </xf>
    <xf numFmtId="0" fontId="5" fillId="0" borderId="5" applyAlignment="1" pivotButton="0" quotePrefix="0" xfId="0">
      <alignment horizontal="center" vertical="bottom"/>
    </xf>
    <xf numFmtId="0" fontId="23" fillId="0" borderId="26" applyAlignment="1" pivotButton="0" quotePrefix="0" xfId="0">
      <alignment horizontal="center" vertical="bottom"/>
    </xf>
    <xf numFmtId="10" fontId="5" fillId="0" borderId="26" applyAlignment="1" pivotButton="0" quotePrefix="0" xfId="0">
      <alignment horizontal="center" vertical="bottom"/>
    </xf>
    <xf numFmtId="0" fontId="5" fillId="0" borderId="5" applyAlignment="1" pivotButton="0" quotePrefix="0" xfId="0">
      <alignment horizontal="general" vertical="top"/>
    </xf>
    <xf numFmtId="0" fontId="5" fillId="0" borderId="26" applyAlignment="1" pivotButton="0" quotePrefix="0" xfId="0">
      <alignment horizontal="general" vertical="top"/>
    </xf>
    <xf numFmtId="0" fontId="5" fillId="0" borderId="26" applyAlignment="1" pivotButton="0" quotePrefix="0" xfId="0">
      <alignment horizontal="general" vertical="bottom"/>
    </xf>
    <xf numFmtId="168" fontId="5" fillId="0" borderId="0" applyAlignment="1" pivotButton="0" quotePrefix="0" xfId="0">
      <alignment horizontal="general" vertical="bottom"/>
    </xf>
    <xf numFmtId="0" fontId="26" fillId="0" borderId="0" applyAlignment="1" pivotButton="0" quotePrefix="0" xfId="0">
      <alignment horizontal="general" vertical="bottom" wrapText="1"/>
    </xf>
    <xf numFmtId="0" fontId="27" fillId="13" borderId="10" applyAlignment="1" pivotButton="0" quotePrefix="0" xfId="0">
      <alignment horizontal="center" vertical="bottom" wrapText="1"/>
    </xf>
    <xf numFmtId="0" fontId="27" fillId="13" borderId="9" applyAlignment="1" pivotButton="0" quotePrefix="0" xfId="0">
      <alignment horizontal="center" vertical="bottom" wrapText="1"/>
    </xf>
    <xf numFmtId="0" fontId="4" fillId="14" borderId="26" applyAlignment="1" pivotButton="0" quotePrefix="0" xfId="0">
      <alignment horizontal="center" vertical="bottom" wrapText="1"/>
    </xf>
    <xf numFmtId="0" fontId="28" fillId="14" borderId="26" applyAlignment="1" pivotButton="0" quotePrefix="0" xfId="0">
      <alignment horizontal="center" vertical="bottom" wrapText="1"/>
    </xf>
    <xf numFmtId="0" fontId="29" fillId="14" borderId="26" applyAlignment="1" pivotButton="0" quotePrefix="0" xfId="0">
      <alignment horizontal="general" vertical="bottom" wrapText="1"/>
    </xf>
    <xf numFmtId="0" fontId="5" fillId="14" borderId="26" applyAlignment="1" pivotButton="0" quotePrefix="0" xfId="0">
      <alignment horizontal="center" vertical="bottom" wrapText="1"/>
    </xf>
    <xf numFmtId="0" fontId="4" fillId="3" borderId="26" applyAlignment="1" pivotButton="0" quotePrefix="0" xfId="0">
      <alignment horizontal="center" vertical="bottom" wrapText="1"/>
    </xf>
    <xf numFmtId="0" fontId="28" fillId="3" borderId="26" applyAlignment="1" pivotButton="0" quotePrefix="0" xfId="0">
      <alignment horizontal="center" vertical="bottom" wrapText="1"/>
    </xf>
    <xf numFmtId="0" fontId="29" fillId="3" borderId="26" applyAlignment="1" pivotButton="0" quotePrefix="0" xfId="0">
      <alignment horizontal="general" vertical="bottom" wrapText="1"/>
    </xf>
    <xf numFmtId="0" fontId="5" fillId="3" borderId="26" applyAlignment="1" pivotButton="0" quotePrefix="0" xfId="0">
      <alignment horizontal="center" vertical="bottom" wrapText="1"/>
    </xf>
    <xf numFmtId="0" fontId="4" fillId="15" borderId="26" applyAlignment="1" pivotButton="0" quotePrefix="0" xfId="0">
      <alignment horizontal="center" vertical="bottom" wrapText="1"/>
    </xf>
    <xf numFmtId="0" fontId="28" fillId="15" borderId="26" applyAlignment="1" pivotButton="0" quotePrefix="0" xfId="0">
      <alignment horizontal="center" vertical="bottom" wrapText="1"/>
    </xf>
    <xf numFmtId="0" fontId="29" fillId="15" borderId="26" applyAlignment="1" pivotButton="0" quotePrefix="0" xfId="0">
      <alignment horizontal="general" vertical="bottom" wrapText="1"/>
    </xf>
    <xf numFmtId="0" fontId="5" fillId="15" borderId="26" applyAlignment="1" pivotButton="0" quotePrefix="0" xfId="0">
      <alignment horizontal="general" vertical="bottom" wrapText="1"/>
    </xf>
    <xf numFmtId="0" fontId="30" fillId="5" borderId="0" applyAlignment="1" pivotButton="0" quotePrefix="0" xfId="0">
      <alignment horizontal="general" vertical="bottom"/>
    </xf>
    <xf numFmtId="0" fontId="5" fillId="5" borderId="0" applyAlignment="1" pivotButton="0" quotePrefix="0" xfId="0">
      <alignment horizontal="general" vertical="bottom"/>
    </xf>
    <xf numFmtId="0" fontId="31" fillId="13" borderId="26" applyAlignment="1" pivotButton="0" quotePrefix="0" xfId="0">
      <alignment horizontal="center" vertical="bottom" wrapText="1"/>
    </xf>
    <xf numFmtId="0" fontId="5" fillId="14" borderId="26" applyAlignment="1" pivotButton="0" quotePrefix="0" xfId="0">
      <alignment horizontal="center" vertical="bottom"/>
    </xf>
    <xf numFmtId="0" fontId="32" fillId="14" borderId="26" applyAlignment="1" pivotButton="0" quotePrefix="0" xfId="0">
      <alignment horizontal="center" vertical="bottom"/>
    </xf>
    <xf numFmtId="0" fontId="33" fillId="14" borderId="26" applyAlignment="1" pivotButton="0" quotePrefix="0" xfId="0">
      <alignment horizontal="center" vertical="bottom"/>
    </xf>
    <xf numFmtId="0" fontId="34" fillId="14" borderId="26" applyAlignment="1" pivotButton="0" quotePrefix="0" xfId="0">
      <alignment horizontal="center" vertical="bottom"/>
    </xf>
    <xf numFmtId="0" fontId="5" fillId="3" borderId="26" applyAlignment="1" pivotButton="0" quotePrefix="0" xfId="0">
      <alignment horizontal="center" vertical="bottom"/>
    </xf>
    <xf numFmtId="0" fontId="32" fillId="3" borderId="26" applyAlignment="1" pivotButton="0" quotePrefix="0" xfId="0">
      <alignment horizontal="center" vertical="bottom"/>
    </xf>
    <xf numFmtId="0" fontId="33" fillId="3" borderId="26" applyAlignment="1" pivotButton="0" quotePrefix="0" xfId="0">
      <alignment horizontal="center" vertical="bottom"/>
    </xf>
    <xf numFmtId="0" fontId="5" fillId="3" borderId="26" applyAlignment="1" pivotButton="0" quotePrefix="0" xfId="0">
      <alignment horizontal="center" vertical="bottom"/>
    </xf>
    <xf numFmtId="0" fontId="34" fillId="3" borderId="26" applyAlignment="1" pivotButton="0" quotePrefix="0" xfId="0">
      <alignment horizontal="center" vertical="bottom"/>
    </xf>
    <xf numFmtId="0" fontId="5" fillId="15" borderId="26" applyAlignment="1" pivotButton="0" quotePrefix="0" xfId="0">
      <alignment horizontal="center" vertical="bottom"/>
    </xf>
    <xf numFmtId="0" fontId="32" fillId="15" borderId="26" applyAlignment="1" pivotButton="0" quotePrefix="0" xfId="0">
      <alignment horizontal="center" vertical="bottom"/>
    </xf>
    <xf numFmtId="0" fontId="33" fillId="15" borderId="26" applyAlignment="1" pivotButton="0" quotePrefix="0" xfId="0">
      <alignment horizontal="center" vertical="bottom"/>
    </xf>
    <xf numFmtId="0" fontId="35" fillId="15" borderId="26" applyAlignment="1" pivotButton="0" quotePrefix="0" xfId="0">
      <alignment horizontal="general" vertical="bottom"/>
    </xf>
    <xf numFmtId="0" fontId="7" fillId="0" borderId="0" applyAlignment="1" pivotButton="0" quotePrefix="0" xfId="0">
      <alignment horizontal="general" vertical="bottom"/>
    </xf>
    <xf numFmtId="0" fontId="5" fillId="8" borderId="0" applyAlignment="1" pivotButton="0" quotePrefix="0" xfId="0">
      <alignment horizontal="general" vertical="bottom"/>
    </xf>
    <xf numFmtId="0" fontId="7" fillId="5" borderId="0" applyAlignment="1" pivotButton="0" quotePrefix="0" xfId="0">
      <alignment horizontal="general" vertical="bottom"/>
    </xf>
    <xf numFmtId="0" fontId="5" fillId="5" borderId="0" applyAlignment="1" pivotButton="0" quotePrefix="0" xfId="0">
      <alignment horizontal="general" vertical="bottom"/>
    </xf>
    <xf numFmtId="0" fontId="36" fillId="0" borderId="0" applyAlignment="1" pivotButton="0" quotePrefix="0" xfId="0">
      <alignment horizontal="general" vertical="top" wrapText="1"/>
    </xf>
    <xf numFmtId="0" fontId="5" fillId="5" borderId="0" applyAlignment="1" pivotButton="0" quotePrefix="0" xfId="0">
      <alignment horizontal="left" vertical="bottom"/>
    </xf>
    <xf numFmtId="0" fontId="4" fillId="2" borderId="0" applyAlignment="1" pivotButton="0" quotePrefix="0" xfId="0">
      <alignment horizontal="right" vertical="bottom"/>
    </xf>
    <xf numFmtId="0" fontId="4" fillId="2" borderId="32" applyAlignment="1" pivotButton="0" quotePrefix="0" xfId="0">
      <alignment horizontal="right" vertical="bottom"/>
    </xf>
    <xf numFmtId="0" fontId="11" fillId="4" borderId="1" applyAlignment="1" pivotButton="0" quotePrefix="0" xfId="0">
      <alignment horizontal="center" vertical="bottom"/>
    </xf>
    <xf numFmtId="0" fontId="6" fillId="2" borderId="32" applyAlignment="1" pivotButton="0" quotePrefix="0" xfId="0">
      <alignment horizontal="general" vertical="bottom"/>
    </xf>
    <xf numFmtId="0" fontId="4" fillId="0" borderId="0" applyAlignment="1" pivotButton="0" quotePrefix="0" xfId="0">
      <alignment horizontal="left" vertical="bottom"/>
    </xf>
    <xf numFmtId="3" fontId="4" fillId="2" borderId="0" applyAlignment="1" pivotButton="0" quotePrefix="0" xfId="0">
      <alignment horizontal="right" vertical="bottom"/>
    </xf>
    <xf numFmtId="3" fontId="4" fillId="2" borderId="30" applyAlignment="1" pivotButton="0" quotePrefix="0" xfId="0">
      <alignment horizontal="right" vertical="bottom"/>
    </xf>
    <xf numFmtId="175" fontId="11" fillId="4" borderId="4" applyAlignment="1" pivotButton="0" quotePrefix="0" xfId="0">
      <alignment horizontal="center" vertical="bottom"/>
    </xf>
    <xf numFmtId="0" fontId="6" fillId="2" borderId="30" applyAlignment="1" pivotButton="0" quotePrefix="0" xfId="0">
      <alignment horizontal="general" vertical="bottom"/>
    </xf>
    <xf numFmtId="0" fontId="4" fillId="2" borderId="30" applyAlignment="1" pivotButton="0" quotePrefix="0" xfId="0">
      <alignment horizontal="right" vertical="bottom"/>
    </xf>
    <xf numFmtId="176" fontId="5" fillId="7" borderId="4" applyAlignment="1" pivotButton="0" quotePrefix="0" xfId="0">
      <alignment horizontal="center" vertical="bottom"/>
    </xf>
    <xf numFmtId="0" fontId="4" fillId="0" borderId="0" applyAlignment="1" pivotButton="0" quotePrefix="0" xfId="0">
      <alignment horizontal="right" vertical="bottom"/>
    </xf>
    <xf numFmtId="0" fontId="5" fillId="0" borderId="30" applyAlignment="1" pivotButton="0" quotePrefix="0" xfId="0">
      <alignment horizontal="general" vertical="bottom"/>
    </xf>
    <xf numFmtId="10" fontId="4" fillId="0" borderId="0" applyAlignment="1" pivotButton="0" quotePrefix="0" xfId="0">
      <alignment horizontal="right" vertical="bottom"/>
    </xf>
    <xf numFmtId="0" fontId="5" fillId="0" borderId="0" applyAlignment="1" pivotButton="0" quotePrefix="0" xfId="0">
      <alignment horizontal="right" vertical="bottom"/>
    </xf>
    <xf numFmtId="0" fontId="4" fillId="0" borderId="6" applyAlignment="1" pivotButton="0" quotePrefix="0" xfId="0">
      <alignment horizontal="right" vertical="bottom"/>
    </xf>
    <xf numFmtId="170" fontId="4" fillId="7" borderId="6" applyAlignment="1" pivotButton="0" quotePrefix="0" xfId="0">
      <alignment horizontal="center" vertical="bottom"/>
    </xf>
    <xf numFmtId="10" fontId="4" fillId="0" borderId="31" applyAlignment="1" pivotButton="0" quotePrefix="0" xfId="0">
      <alignment horizontal="right" vertical="bottom"/>
    </xf>
    <xf numFmtId="0" fontId="5" fillId="5" borderId="0" applyAlignment="1" pivotButton="0" quotePrefix="0" xfId="0">
      <alignment horizontal="right" vertical="bottom"/>
    </xf>
    <xf numFmtId="0" fontId="4" fillId="5" borderId="7" applyAlignment="1" pivotButton="0" quotePrefix="0" xfId="0">
      <alignment horizontal="right" vertical="bottom"/>
    </xf>
    <xf numFmtId="0" fontId="4" fillId="7" borderId="7" applyAlignment="1" pivotButton="0" quotePrefix="0" xfId="0">
      <alignment horizontal="center" vertical="bottom"/>
    </xf>
    <xf numFmtId="0" fontId="9" fillId="4" borderId="7" applyAlignment="1" pivotButton="0" quotePrefix="0" xfId="0">
      <alignment horizontal="center" vertical="bottom"/>
    </xf>
    <xf numFmtId="0" fontId="4" fillId="0" borderId="0" applyAlignment="1" pivotButton="0" quotePrefix="0" xfId="0">
      <alignment horizontal="center" vertical="bottom"/>
    </xf>
    <xf numFmtId="0" fontId="4" fillId="4" borderId="7" applyAlignment="1" pivotButton="0" quotePrefix="0" xfId="0">
      <alignment horizontal="center" vertical="bottom"/>
    </xf>
    <xf numFmtId="176" fontId="5" fillId="7" borderId="2" applyAlignment="1" pivotButton="0" quotePrefix="0" xfId="0">
      <alignment horizontal="center" vertical="bottom"/>
    </xf>
    <xf numFmtId="176" fontId="11" fillId="4" borderId="2" applyAlignment="1" pivotButton="0" quotePrefix="0" xfId="0">
      <alignment horizontal="center" vertical="bottom"/>
    </xf>
    <xf numFmtId="3" fontId="11" fillId="4" borderId="2" applyAlignment="1" pivotButton="0" quotePrefix="0" xfId="0">
      <alignment horizontal="center" vertical="bottom"/>
    </xf>
    <xf numFmtId="3" fontId="4" fillId="0" borderId="3" applyAlignment="1" pivotButton="0" quotePrefix="0" xfId="0">
      <alignment horizontal="center" vertical="bottom"/>
    </xf>
    <xf numFmtId="3" fontId="5" fillId="7" borderId="0" applyAlignment="1" pivotButton="0" quotePrefix="0" xfId="0">
      <alignment horizontal="center" vertical="bottom"/>
    </xf>
    <xf numFmtId="3" fontId="11" fillId="4" borderId="0" applyAlignment="1" pivotButton="0" quotePrefix="0" xfId="0">
      <alignment horizontal="center" vertical="bottom"/>
    </xf>
    <xf numFmtId="3" fontId="4" fillId="7" borderId="5" applyAlignment="1" pivotButton="0" quotePrefix="0" xfId="0">
      <alignment horizontal="center" vertical="bottom"/>
    </xf>
    <xf numFmtId="0" fontId="37" fillId="0" borderId="0" applyAlignment="1" pivotButton="0" quotePrefix="0" xfId="0">
      <alignment horizontal="general" vertical="bottom"/>
    </xf>
    <xf numFmtId="10" fontId="6" fillId="7" borderId="0" applyAlignment="1" pivotButton="0" quotePrefix="0" xfId="0">
      <alignment horizontal="center" vertical="bottom"/>
    </xf>
    <xf numFmtId="10" fontId="4" fillId="7" borderId="5" applyAlignment="1" pivotButton="0" quotePrefix="0" xfId="0">
      <alignment horizontal="center" vertical="bottom"/>
    </xf>
    <xf numFmtId="173" fontId="11" fillId="4" borderId="0" applyAlignment="1" pivotButton="0" quotePrefix="0" xfId="0">
      <alignment horizontal="center" vertical="bottom"/>
    </xf>
    <xf numFmtId="0" fontId="11" fillId="4" borderId="0" applyAlignment="1" pivotButton="0" quotePrefix="0" xfId="0">
      <alignment horizontal="center" vertical="bottom"/>
    </xf>
    <xf numFmtId="4" fontId="11" fillId="4" borderId="0" applyAlignment="1" pivotButton="0" quotePrefix="0" xfId="0">
      <alignment horizontal="center" vertical="bottom"/>
    </xf>
    <xf numFmtId="0" fontId="4" fillId="4" borderId="5" applyAlignment="1" pivotButton="0" quotePrefix="0" xfId="0">
      <alignment horizontal="center" vertical="bottom"/>
    </xf>
    <xf numFmtId="170" fontId="5" fillId="7" borderId="0" applyAlignment="1" pivotButton="0" quotePrefix="0" xfId="0">
      <alignment horizontal="center" vertical="bottom"/>
    </xf>
    <xf numFmtId="170" fontId="4" fillId="7" borderId="5" applyAlignment="1" pivotButton="0" quotePrefix="0" xfId="0">
      <alignment horizontal="center" vertical="bottom"/>
    </xf>
    <xf numFmtId="0" fontId="4" fillId="2" borderId="0" applyAlignment="1" pivotButton="0" quotePrefix="0" xfId="0">
      <alignment horizontal="right" vertical="bottom" wrapText="1"/>
    </xf>
    <xf numFmtId="0" fontId="4" fillId="2" borderId="31" applyAlignment="1" pivotButton="0" quotePrefix="0" xfId="0">
      <alignment horizontal="right" vertical="bottom"/>
    </xf>
    <xf numFmtId="170" fontId="5" fillId="7" borderId="7" applyAlignment="1" pivotButton="0" quotePrefix="0" xfId="0">
      <alignment horizontal="center" vertical="center"/>
    </xf>
    <xf numFmtId="170" fontId="4" fillId="7" borderId="8" applyAlignment="1" pivotButton="0" quotePrefix="0" xfId="0">
      <alignment horizontal="center" vertical="center"/>
    </xf>
    <xf numFmtId="0" fontId="4" fillId="5" borderId="0" applyAlignment="1" pivotButton="0" quotePrefix="0" xfId="0">
      <alignment horizontal="right" vertical="bottom"/>
    </xf>
    <xf numFmtId="0" fontId="5" fillId="5" borderId="0" applyAlignment="1" pivotButton="0" quotePrefix="0" xfId="0">
      <alignment horizontal="center" vertical="bottom"/>
    </xf>
    <xf numFmtId="0" fontId="11" fillId="5" borderId="0" applyAlignment="1" pivotButton="0" quotePrefix="0" xfId="0">
      <alignment horizontal="center" vertical="bottom"/>
    </xf>
    <xf numFmtId="0" fontId="4" fillId="5" borderId="0" applyAlignment="1" pivotButton="0" quotePrefix="0" xfId="0">
      <alignment horizontal="general" vertical="bottom"/>
    </xf>
    <xf numFmtId="0" fontId="4" fillId="2" borderId="1" applyAlignment="1" pivotButton="0" quotePrefix="0" xfId="0">
      <alignment horizontal="right" vertical="bottom"/>
    </xf>
    <xf numFmtId="0" fontId="5" fillId="7" borderId="1" applyAlignment="1" pivotButton="0" quotePrefix="0" xfId="0">
      <alignment horizontal="center" vertical="bottom"/>
    </xf>
    <xf numFmtId="3" fontId="5" fillId="7" borderId="2" applyAlignment="1" pivotButton="0" quotePrefix="0" xfId="0">
      <alignment horizontal="center" vertical="bottom"/>
    </xf>
    <xf numFmtId="0" fontId="5" fillId="7" borderId="2" applyAlignment="1" pivotButton="0" quotePrefix="0" xfId="0">
      <alignment horizontal="center" vertical="bottom"/>
    </xf>
    <xf numFmtId="3" fontId="5" fillId="7" borderId="3" applyAlignment="1" pivotButton="0" quotePrefix="0" xfId="0">
      <alignment horizontal="center" vertical="bottom"/>
    </xf>
    <xf numFmtId="0" fontId="4" fillId="2" borderId="4" applyAlignment="1" pivotButton="0" quotePrefix="0" xfId="0">
      <alignment horizontal="right" vertical="bottom"/>
    </xf>
    <xf numFmtId="0" fontId="6" fillId="7" borderId="4" applyAlignment="1" pivotButton="0" quotePrefix="0" xfId="0">
      <alignment horizontal="center" vertical="bottom"/>
    </xf>
    <xf numFmtId="10" fontId="11" fillId="4" borderId="0" applyAlignment="1" pivotButton="0" quotePrefix="0" xfId="0">
      <alignment horizontal="center" vertical="bottom"/>
    </xf>
    <xf numFmtId="10" fontId="11" fillId="4" borderId="5" applyAlignment="1" pivotButton="0" quotePrefix="0" xfId="0">
      <alignment horizontal="center" vertical="bottom"/>
    </xf>
    <xf numFmtId="10" fontId="12" fillId="4" borderId="0" applyAlignment="1" pivotButton="0" quotePrefix="0" xfId="0">
      <alignment horizontal="center" vertical="bottom"/>
    </xf>
    <xf numFmtId="0" fontId="12" fillId="4" borderId="0" applyAlignment="1" pivotButton="0" quotePrefix="0" xfId="0">
      <alignment horizontal="center" vertical="bottom"/>
    </xf>
    <xf numFmtId="10" fontId="12" fillId="4" borderId="5" applyAlignment="1" pivotButton="0" quotePrefix="0" xfId="0">
      <alignment horizontal="center" vertical="bottom"/>
    </xf>
    <xf numFmtId="3" fontId="5" fillId="7" borderId="5" applyAlignment="1" pivotButton="0" quotePrefix="0" xfId="0">
      <alignment horizontal="center" vertical="bottom"/>
    </xf>
    <xf numFmtId="0" fontId="11" fillId="4" borderId="5" applyAlignment="1" pivotButton="0" quotePrefix="0" xfId="0">
      <alignment horizontal="center" vertical="bottom"/>
    </xf>
    <xf numFmtId="0" fontId="5" fillId="7" borderId="0" applyAlignment="1" pivotButton="0" quotePrefix="0" xfId="0">
      <alignment horizontal="center" vertical="bottom"/>
    </xf>
    <xf numFmtId="0" fontId="5" fillId="7" borderId="5" applyAlignment="1" pivotButton="0" quotePrefix="0" xfId="0">
      <alignment horizontal="center" vertical="bottom"/>
    </xf>
    <xf numFmtId="0" fontId="4" fillId="2" borderId="6" applyAlignment="1" pivotButton="0" quotePrefix="0" xfId="0">
      <alignment horizontal="right" vertical="bottom"/>
    </xf>
    <xf numFmtId="0" fontId="6" fillId="7" borderId="6" applyAlignment="1" pivotButton="0" quotePrefix="0" xfId="0">
      <alignment horizontal="center" vertical="bottom"/>
    </xf>
    <xf numFmtId="3" fontId="5" fillId="7" borderId="7" applyAlignment="1" pivotButton="0" quotePrefix="0" xfId="0">
      <alignment horizontal="center" vertical="bottom"/>
    </xf>
    <xf numFmtId="3" fontId="5" fillId="7" borderId="8" applyAlignment="1" pivotButton="0" quotePrefix="0" xfId="0">
      <alignment horizontal="center" vertical="bottom"/>
    </xf>
    <xf numFmtId="0" fontId="4" fillId="7" borderId="0" applyAlignment="1" pivotButton="0" quotePrefix="0" xfId="0">
      <alignment horizontal="center" vertical="bottom"/>
    </xf>
    <xf numFmtId="0" fontId="4" fillId="7" borderId="0" applyAlignment="1" pivotButton="0" quotePrefix="0" xfId="0">
      <alignment horizontal="general" vertical="bottom"/>
    </xf>
    <xf numFmtId="3" fontId="5" fillId="4" borderId="2" applyAlignment="1" pivotButton="0" quotePrefix="0" xfId="0">
      <alignment horizontal="right" vertical="bottom"/>
    </xf>
    <xf numFmtId="10" fontId="6" fillId="0" borderId="0" applyAlignment="1" pivotButton="0" quotePrefix="0" xfId="0">
      <alignment horizontal="right" vertical="bottom"/>
    </xf>
    <xf numFmtId="0" fontId="6" fillId="0" borderId="0" applyAlignment="1" pivotButton="0" quotePrefix="0" xfId="0">
      <alignment horizontal="general" vertical="bottom"/>
    </xf>
    <xf numFmtId="4" fontId="5" fillId="0" borderId="0" applyAlignment="1" pivotButton="0" quotePrefix="0" xfId="0">
      <alignment horizontal="right" vertical="bottom"/>
    </xf>
    <xf numFmtId="3" fontId="5" fillId="4" borderId="0" applyAlignment="1" pivotButton="0" quotePrefix="0" xfId="0">
      <alignment horizontal="right" vertical="bottom"/>
    </xf>
    <xf numFmtId="0" fontId="4" fillId="0" borderId="27" applyAlignment="1" pivotButton="0" quotePrefix="0" xfId="0">
      <alignment horizontal="right" vertical="bottom"/>
    </xf>
    <xf numFmtId="3" fontId="4" fillId="0" borderId="28" applyAlignment="1" pivotButton="0" quotePrefix="0" xfId="0">
      <alignment horizontal="right" vertical="bottom"/>
    </xf>
    <xf numFmtId="3" fontId="4" fillId="0" borderId="29" applyAlignment="1" pivotButton="0" quotePrefix="0" xfId="0">
      <alignment horizontal="right" vertical="bottom"/>
    </xf>
    <xf numFmtId="10" fontId="37" fillId="0" borderId="0" applyAlignment="1" pivotButton="0" quotePrefix="0" xfId="0">
      <alignment horizontal="right" vertical="bottom"/>
    </xf>
    <xf numFmtId="10" fontId="6" fillId="12" borderId="0" applyAlignment="1" pivotButton="0" quotePrefix="0" xfId="0">
      <alignment horizontal="right" vertical="bottom"/>
    </xf>
    <xf numFmtId="10" fontId="6" fillId="0" borderId="0" applyAlignment="1" pivotButton="0" quotePrefix="0" xfId="0">
      <alignment horizontal="general" vertical="bottom"/>
    </xf>
    <xf numFmtId="3" fontId="37" fillId="0" borderId="0" applyAlignment="1" pivotButton="0" quotePrefix="0" xfId="0">
      <alignment horizontal="general" vertical="bottom"/>
    </xf>
    <xf numFmtId="176" fontId="5" fillId="4" borderId="2" applyAlignment="1" pivotButton="0" quotePrefix="0" xfId="0">
      <alignment horizontal="center" vertical="bottom"/>
    </xf>
    <xf numFmtId="3" fontId="5" fillId="4" borderId="2" applyAlignment="1" pivotButton="0" quotePrefix="0" xfId="0">
      <alignment horizontal="center" vertical="bottom"/>
    </xf>
    <xf numFmtId="0" fontId="5" fillId="4" borderId="0" applyAlignment="1" pivotButton="0" quotePrefix="0" xfId="0">
      <alignment horizontal="center" vertical="bottom"/>
    </xf>
    <xf numFmtId="0" fontId="11" fillId="4" borderId="2" applyAlignment="1" pivotButton="0" quotePrefix="0" xfId="0">
      <alignment horizontal="center" vertical="bottom"/>
    </xf>
    <xf numFmtId="0" fontId="4" fillId="7" borderId="3" applyAlignment="1" pivotButton="0" quotePrefix="0" xfId="0">
      <alignment horizontal="general" vertical="bottom"/>
    </xf>
    <xf numFmtId="0" fontId="4" fillId="7" borderId="5" applyAlignment="1" pivotButton="0" quotePrefix="0" xfId="0">
      <alignment horizontal="general" vertical="bottom"/>
    </xf>
    <xf numFmtId="0" fontId="5" fillId="7" borderId="7" applyAlignment="1" pivotButton="0" quotePrefix="0" xfId="0">
      <alignment horizontal="center" vertical="bottom"/>
    </xf>
    <xf numFmtId="0" fontId="4" fillId="7" borderId="8" applyAlignment="1" pivotButton="0" quotePrefix="0" xfId="0">
      <alignment horizontal="general" vertical="bottom"/>
    </xf>
    <xf numFmtId="0" fontId="4" fillId="4" borderId="0" applyAlignment="1" pivotButton="0" quotePrefix="0" xfId="0">
      <alignment horizontal="center" vertical="bottom"/>
    </xf>
    <xf numFmtId="0" fontId="4" fillId="4" borderId="0" applyAlignment="1" pivotButton="0" quotePrefix="0" xfId="0">
      <alignment horizontal="general" vertical="bottom"/>
    </xf>
    <xf numFmtId="0" fontId="7" fillId="5" borderId="0" applyAlignment="1" pivotButton="0" quotePrefix="0" xfId="0">
      <alignment horizontal="left" vertical="bottom"/>
    </xf>
    <xf numFmtId="0" fontId="4" fillId="0" borderId="26" applyAlignment="1" pivotButton="0" quotePrefix="0" xfId="0">
      <alignment horizontal="general" vertical="bottom" wrapText="1"/>
    </xf>
    <xf numFmtId="177" fontId="5" fillId="0" borderId="26" applyAlignment="1" pivotButton="0" quotePrefix="0" xfId="0">
      <alignment horizontal="general" vertical="bottom"/>
    </xf>
    <xf numFmtId="0" fontId="3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5" borderId="0" applyAlignment="1" pivotButton="0" quotePrefix="0" xfId="0">
      <alignment horizontal="right" vertical="center"/>
    </xf>
    <xf numFmtId="0" fontId="4" fillId="5" borderId="0" applyAlignment="1" pivotButton="0" quotePrefix="0" xfId="0">
      <alignment horizontal="center" vertical="center"/>
    </xf>
    <xf numFmtId="10" fontId="4" fillId="0" borderId="0" applyAlignment="1" pivotButton="0" quotePrefix="0" xfId="0">
      <alignment horizontal="right" vertical="center"/>
    </xf>
    <xf numFmtId="0" fontId="4" fillId="0" borderId="0" applyAlignment="1" pivotButton="0" quotePrefix="0" xfId="0">
      <alignment horizontal="general" vertical="center"/>
    </xf>
    <xf numFmtId="0" fontId="8" fillId="0" borderId="0" applyAlignment="1" pivotButton="0" quotePrefix="0" xfId="0">
      <alignment horizontal="general" vertical="center"/>
    </xf>
    <xf numFmtId="0" fontId="5" fillId="0" borderId="0" applyAlignment="1" pivotButton="0" quotePrefix="0" xfId="0">
      <alignment horizontal="general" vertical="center"/>
    </xf>
    <xf numFmtId="0" fontId="4" fillId="0" borderId="0" applyAlignment="1" pivotButton="0" quotePrefix="0" xfId="0">
      <alignment horizontal="general" vertical="center" wrapText="1"/>
    </xf>
    <xf numFmtId="0" fontId="4" fillId="2" borderId="0" applyAlignment="1" pivotButton="0" quotePrefix="0" xfId="0">
      <alignment horizontal="center" vertical="center"/>
    </xf>
    <xf numFmtId="0" fontId="4" fillId="2" borderId="9" applyAlignment="1" pivotButton="0" quotePrefix="0" xfId="0">
      <alignment horizontal="center" vertical="center"/>
    </xf>
    <xf numFmtId="0" fontId="9" fillId="6" borderId="10" applyAlignment="1" pivotButton="0" quotePrefix="0" xfId="0">
      <alignment horizontal="center" vertical="center"/>
    </xf>
    <xf numFmtId="0" fontId="0" fillId="0" borderId="34" pivotButton="0" quotePrefix="0" xfId="0"/>
    <xf numFmtId="0" fontId="10" fillId="3" borderId="11" applyAlignment="1" pivotButton="0" quotePrefix="0" xfId="0">
      <alignment horizontal="general" vertical="center"/>
    </xf>
    <xf numFmtId="0" fontId="0" fillId="0" borderId="35" pivotButton="0" quotePrefix="0" xfId="0"/>
    <xf numFmtId="0" fontId="0" fillId="0" borderId="37" pivotButton="0" quotePrefix="0" xfId="0"/>
    <xf numFmtId="0" fontId="4" fillId="7" borderId="0" applyAlignment="1" pivotButton="0" quotePrefix="0" xfId="0">
      <alignment horizontal="center" vertical="center"/>
    </xf>
    <xf numFmtId="0" fontId="4" fillId="7" borderId="12" applyAlignment="1" pivotButton="0" quotePrefix="0" xfId="0">
      <alignment horizontal="center" vertical="center"/>
    </xf>
    <xf numFmtId="0" fontId="11" fillId="6" borderId="13" applyAlignment="1" pivotButton="0" quotePrefix="0" xfId="0">
      <alignment horizontal="center" vertical="center"/>
    </xf>
    <xf numFmtId="0" fontId="0" fillId="0" borderId="39" pivotButton="0" quotePrefix="0" xfId="0"/>
    <xf numFmtId="0" fontId="0" fillId="0" borderId="36" pivotButton="0" quotePrefix="0" xfId="0"/>
    <xf numFmtId="0" fontId="0" fillId="0" borderId="38" pivotButton="0" quotePrefix="0" xfId="0"/>
    <xf numFmtId="166" fontId="11" fillId="6" borderId="13" applyAlignment="1" pivotButton="0" quotePrefix="0" xfId="0">
      <alignment horizontal="center" vertical="center"/>
    </xf>
    <xf numFmtId="0" fontId="4" fillId="3" borderId="14" applyAlignment="1" pivotButton="0" quotePrefix="0" xfId="0">
      <alignment horizontal="general" vertical="center"/>
    </xf>
    <xf numFmtId="0" fontId="4" fillId="7" borderId="15" applyAlignment="1" pivotButton="0" quotePrefix="0" xfId="0">
      <alignment horizontal="center" vertical="center"/>
    </xf>
    <xf numFmtId="0" fontId="12" fillId="6" borderId="16" applyAlignment="1" pivotButton="0" quotePrefix="0" xfId="0">
      <alignment horizontal="center" vertical="center"/>
    </xf>
    <xf numFmtId="0" fontId="0" fillId="0" borderId="40" pivotButton="0" quotePrefix="0" xfId="0"/>
    <xf numFmtId="0" fontId="13" fillId="3" borderId="14" applyAlignment="1" pivotButton="0" quotePrefix="0" xfId="0">
      <alignment horizontal="general" vertical="center"/>
    </xf>
    <xf numFmtId="0" fontId="4" fillId="2" borderId="12" applyAlignment="1" pivotButton="0" quotePrefix="0" xfId="0">
      <alignment horizontal="center" vertical="center"/>
    </xf>
    <xf numFmtId="0" fontId="12" fillId="6" borderId="13" applyAlignment="1" pivotButton="0" quotePrefix="0" xfId="0">
      <alignment horizontal="center" vertical="center"/>
    </xf>
    <xf numFmtId="0" fontId="5" fillId="3" borderId="14" applyAlignment="1" pivotButton="0" quotePrefix="0" xfId="0">
      <alignment horizontal="general" vertical="center"/>
    </xf>
    <xf numFmtId="3" fontId="4" fillId="2" borderId="0" applyAlignment="1" pivotButton="0" quotePrefix="0" xfId="0">
      <alignment horizontal="center" vertical="center"/>
    </xf>
    <xf numFmtId="3" fontId="4" fillId="2" borderId="17" applyAlignment="1" pivotButton="0" quotePrefix="0" xfId="0">
      <alignment horizontal="center" vertical="center"/>
    </xf>
    <xf numFmtId="0" fontId="6" fillId="2" borderId="18" applyAlignment="1" pivotButton="0" quotePrefix="0" xfId="0">
      <alignment horizontal="general" vertical="center"/>
    </xf>
    <xf numFmtId="0" fontId="0" fillId="0" borderId="25" pivotButton="0" quotePrefix="0" xfId="0"/>
    <xf numFmtId="0" fontId="4" fillId="2" borderId="17" applyAlignment="1" pivotButton="0" quotePrefix="0" xfId="0">
      <alignment horizontal="center" vertical="center"/>
    </xf>
    <xf numFmtId="3" fontId="5" fillId="0" borderId="18" applyAlignment="1" pivotButton="0" quotePrefix="0" xfId="0">
      <alignment horizontal="center" vertical="center"/>
    </xf>
    <xf numFmtId="3" fontId="5" fillId="2" borderId="18" applyAlignment="1" pivotButton="0" quotePrefix="0" xfId="0">
      <alignment horizontal="center" vertical="center"/>
    </xf>
    <xf numFmtId="0" fontId="4" fillId="2" borderId="19" applyAlignment="1" pivotButton="0" quotePrefix="0" xfId="0">
      <alignment horizontal="center" vertical="center"/>
    </xf>
    <xf numFmtId="3" fontId="11" fillId="6" borderId="20" applyAlignment="1" pivotButton="0" quotePrefix="0" xfId="0">
      <alignment horizontal="center" vertical="center"/>
    </xf>
    <xf numFmtId="0" fontId="0" fillId="0" borderId="41" pivotButton="0" quotePrefix="0" xfId="0"/>
    <xf numFmtId="0" fontId="5" fillId="3" borderId="21" applyAlignment="1" pivotButton="0" quotePrefix="0" xfId="0">
      <alignment horizontal="general" vertical="center"/>
    </xf>
    <xf numFmtId="0" fontId="0" fillId="0" borderId="42" pivotButton="0" quotePrefix="0" xfId="0"/>
    <xf numFmtId="0" fontId="0" fillId="0" borderId="43" pivotButton="0" quotePrefix="0" xfId="0"/>
    <xf numFmtId="0" fontId="5" fillId="0" borderId="0" applyAlignment="1" pivotButton="0" quotePrefix="0" xfId="0">
      <alignment horizontal="right" vertical="center"/>
    </xf>
    <xf numFmtId="0" fontId="4" fillId="0" borderId="0" applyAlignment="1" pivotButton="0" quotePrefix="0" xfId="0">
      <alignment horizontal="left" vertical="center"/>
    </xf>
    <xf numFmtId="10" fontId="14" fillId="0" borderId="0" applyAlignment="1" pivotButton="0" quotePrefix="0" xfId="0">
      <alignment horizontal="right" vertical="center"/>
    </xf>
    <xf numFmtId="0" fontId="4" fillId="0" borderId="0" applyAlignment="1" pivotButton="0" quotePrefix="0" xfId="0">
      <alignment horizontal="right" vertical="center"/>
    </xf>
    <xf numFmtId="10" fontId="4" fillId="0" borderId="0" applyAlignment="1" pivotButton="0" quotePrefix="0" xfId="0">
      <alignment horizontal="right" vertical="center" wrapText="1"/>
    </xf>
    <xf numFmtId="0" fontId="7" fillId="0" borderId="0" applyAlignment="1" pivotButton="0" quotePrefix="0" xfId="0">
      <alignment horizontal="general" vertical="center"/>
    </xf>
    <xf numFmtId="0" fontId="4" fillId="2" borderId="22" applyAlignment="1" pivotButton="0" quotePrefix="0" xfId="0">
      <alignment horizontal="center" vertical="center"/>
    </xf>
    <xf numFmtId="0" fontId="9" fillId="6" borderId="23" applyAlignment="1" pivotButton="0" quotePrefix="0" xfId="0">
      <alignment horizontal="center" vertical="center"/>
    </xf>
    <xf numFmtId="0" fontId="9" fillId="6" borderId="24" applyAlignment="1" pivotButton="0" quotePrefix="0" xfId="0">
      <alignment horizontal="center" vertical="center"/>
    </xf>
    <xf numFmtId="0" fontId="9" fillId="6" borderId="24" applyAlignment="1" pivotButton="0" quotePrefix="0" xfId="0">
      <alignment horizontal="center" vertical="center" wrapText="1"/>
    </xf>
    <xf numFmtId="0" fontId="4" fillId="8" borderId="22" applyAlignment="1" pivotButton="0" quotePrefix="0" xfId="0">
      <alignment horizontal="center" vertical="center" wrapText="1"/>
    </xf>
    <xf numFmtId="0" fontId="4" fillId="9" borderId="22" applyAlignment="1" pivotButton="0" quotePrefix="0" xfId="0">
      <alignment horizontal="center" vertical="center" wrapText="1"/>
    </xf>
    <xf numFmtId="0" fontId="4" fillId="2" borderId="18" applyAlignment="1" pivotButton="0" quotePrefix="0" xfId="0">
      <alignment horizontal="center" vertical="center"/>
    </xf>
    <xf numFmtId="0" fontId="15" fillId="6" borderId="0" applyAlignment="1" pivotButton="0" quotePrefix="0" xfId="0">
      <alignment horizontal="center" vertical="center" wrapText="1"/>
    </xf>
    <xf numFmtId="0" fontId="15" fillId="3" borderId="0" applyAlignment="1" pivotButton="0" quotePrefix="0" xfId="0">
      <alignment horizontal="center" vertical="center" wrapText="1"/>
    </xf>
    <xf numFmtId="0" fontId="11" fillId="6" borderId="0" applyAlignment="1" pivotButton="0" quotePrefix="0" xfId="0">
      <alignment horizontal="center" vertical="center" wrapText="1"/>
    </xf>
    <xf numFmtId="10" fontId="4" fillId="10" borderId="18" applyAlignment="1" pivotButton="0" quotePrefix="0" xfId="0">
      <alignment horizontal="center" vertical="center" wrapText="1"/>
    </xf>
    <xf numFmtId="10" fontId="4" fillId="10" borderId="18" applyAlignment="1" pivotButton="0" quotePrefix="0" xfId="0">
      <alignment horizontal="center" vertical="center"/>
    </xf>
    <xf numFmtId="0" fontId="16" fillId="8" borderId="17" applyAlignment="1" pivotButton="0" quotePrefix="0" xfId="0">
      <alignment horizontal="center" vertical="bottom"/>
    </xf>
    <xf numFmtId="0" fontId="11" fillId="8" borderId="0" applyAlignment="1" pivotButton="0" quotePrefix="0" xfId="0">
      <alignment horizontal="left" vertical="bottom"/>
    </xf>
    <xf numFmtId="3" fontId="11" fillId="8" borderId="0" applyAlignment="1" pivotButton="0" quotePrefix="0" xfId="0">
      <alignment horizontal="center" vertical="center"/>
    </xf>
    <xf numFmtId="0" fontId="17" fillId="11" borderId="0" applyAlignment="1" pivotButton="0" quotePrefix="0" xfId="0">
      <alignment horizontal="left" vertical="bottom"/>
    </xf>
    <xf numFmtId="0" fontId="5" fillId="8" borderId="0" applyAlignment="1" pivotButton="0" quotePrefix="0" xfId="0">
      <alignment horizontal="left" vertical="bottom"/>
    </xf>
    <xf numFmtId="3" fontId="11" fillId="8" borderId="0" applyAlignment="1" pivotButton="0" quotePrefix="0" xfId="0">
      <alignment horizontal="left" vertical="bottom"/>
    </xf>
    <xf numFmtId="3" fontId="11" fillId="6" borderId="25" applyAlignment="1" pivotButton="0" quotePrefix="0" xfId="0">
      <alignment horizontal="center" vertical="center"/>
    </xf>
    <xf numFmtId="3" fontId="5" fillId="10" borderId="18" applyAlignment="1" pivotButton="0" quotePrefix="0" xfId="0">
      <alignment horizontal="center" vertical="center" wrapText="1"/>
    </xf>
    <xf numFmtId="3" fontId="4" fillId="10" borderId="18" applyAlignment="1" pivotButton="0" quotePrefix="0" xfId="0">
      <alignment horizontal="center" vertical="center"/>
    </xf>
    <xf numFmtId="0" fontId="7" fillId="5" borderId="0" applyAlignment="1" pivotButton="0" quotePrefix="0" xfId="0">
      <alignment horizontal="left" vertical="center"/>
    </xf>
    <xf numFmtId="0" fontId="5" fillId="5" borderId="0" applyAlignment="1" pivotButton="0" quotePrefix="0" xfId="0">
      <alignment horizontal="left" vertical="center"/>
    </xf>
    <xf numFmtId="0" fontId="11" fillId="6" borderId="0" applyAlignment="1" pivotButton="0" quotePrefix="0" xfId="0">
      <alignment horizontal="center" vertical="center"/>
    </xf>
    <xf numFmtId="0" fontId="11" fillId="6" borderId="25" applyAlignment="1" pivotButton="0" quotePrefix="0" xfId="0">
      <alignment horizontal="center" vertical="center"/>
    </xf>
    <xf numFmtId="4" fontId="11" fillId="6" borderId="17" applyAlignment="1" pivotButton="0" quotePrefix="0" xfId="0">
      <alignment horizontal="center" vertical="center"/>
    </xf>
    <xf numFmtId="4" fontId="11" fillId="6" borderId="0" applyAlignment="1" pivotButton="0" quotePrefix="0" xfId="0">
      <alignment horizontal="center" vertical="center"/>
    </xf>
    <xf numFmtId="3" fontId="11" fillId="6" borderId="0" applyAlignment="1" pivotButton="0" quotePrefix="0" xfId="0">
      <alignment horizontal="center" vertical="center"/>
    </xf>
    <xf numFmtId="3" fontId="4" fillId="8" borderId="18" applyAlignment="1" pivotButton="0" quotePrefix="0" xfId="0">
      <alignment horizontal="center" vertical="center" wrapText="1"/>
    </xf>
    <xf numFmtId="3" fontId="4" fillId="9" borderId="18" applyAlignment="1" pivotButton="0" quotePrefix="0" xfId="0">
      <alignment horizontal="center" vertical="center"/>
    </xf>
    <xf numFmtId="167" fontId="4" fillId="0" borderId="0" applyAlignment="1" pivotButton="0" quotePrefix="0" xfId="0">
      <alignment horizontal="general" vertical="center"/>
    </xf>
    <xf numFmtId="3" fontId="5" fillId="2" borderId="17" applyAlignment="1" pivotButton="0" quotePrefix="0" xfId="0">
      <alignment horizontal="center" vertical="center"/>
    </xf>
    <xf numFmtId="3" fontId="5" fillId="2" borderId="0" applyAlignment="1" pivotButton="0" quotePrefix="0" xfId="0">
      <alignment horizontal="center" vertical="center"/>
    </xf>
    <xf numFmtId="3" fontId="4" fillId="10" borderId="18" applyAlignment="1" pivotButton="0" quotePrefix="0" xfId="0">
      <alignment horizontal="center" vertical="center" wrapText="1"/>
    </xf>
    <xf numFmtId="0" fontId="4" fillId="8" borderId="18" applyAlignment="1" pivotButton="0" quotePrefix="0" xfId="0">
      <alignment horizontal="center" vertical="center"/>
    </xf>
    <xf numFmtId="168" fontId="5" fillId="8" borderId="17" applyAlignment="1" pivotButton="0" quotePrefix="0" xfId="0">
      <alignment horizontal="center" vertical="center"/>
    </xf>
    <xf numFmtId="168" fontId="5" fillId="8" borderId="0" applyAlignment="1" pivotButton="0" quotePrefix="0" xfId="0">
      <alignment horizontal="center" vertical="center"/>
    </xf>
    <xf numFmtId="10" fontId="5" fillId="8" borderId="0" applyAlignment="1" pivotButton="0" quotePrefix="0" xfId="0">
      <alignment horizontal="center" vertical="center"/>
    </xf>
    <xf numFmtId="10" fontId="5" fillId="10" borderId="25" applyAlignment="1" pivotButton="0" quotePrefix="0" xfId="0">
      <alignment horizontal="center" vertical="center"/>
    </xf>
    <xf numFmtId="10" fontId="4" fillId="8" borderId="18" applyAlignment="1" pivotButton="0" quotePrefix="0" xfId="0">
      <alignment horizontal="center" vertical="center" wrapText="1"/>
    </xf>
    <xf numFmtId="0" fontId="4" fillId="9" borderId="18" applyAlignment="1" pivotButton="0" quotePrefix="0" xfId="0">
      <alignment horizontal="center" vertical="center"/>
    </xf>
    <xf numFmtId="168" fontId="5" fillId="9" borderId="17" applyAlignment="1" pivotButton="0" quotePrefix="0" xfId="0">
      <alignment horizontal="center" vertical="center"/>
    </xf>
    <xf numFmtId="168" fontId="5" fillId="9" borderId="0" applyAlignment="1" pivotButton="0" quotePrefix="0" xfId="0">
      <alignment horizontal="center" vertical="center"/>
    </xf>
    <xf numFmtId="10" fontId="5" fillId="9" borderId="0" applyAlignment="1" pivotButton="0" quotePrefix="0" xfId="0">
      <alignment horizontal="center" vertical="center"/>
    </xf>
    <xf numFmtId="10" fontId="5" fillId="9" borderId="25" applyAlignment="1" pivotButton="0" quotePrefix="0" xfId="0">
      <alignment horizontal="center" vertical="center"/>
    </xf>
    <xf numFmtId="0" fontId="5" fillId="10" borderId="18" applyAlignment="1" pivotButton="0" quotePrefix="0" xfId="0">
      <alignment horizontal="general" vertical="bottom"/>
    </xf>
    <xf numFmtId="10" fontId="4" fillId="9" borderId="18" applyAlignment="1" pivotButton="0" quotePrefix="0" xfId="0">
      <alignment horizontal="center" vertical="center" wrapText="1"/>
    </xf>
    <xf numFmtId="169" fontId="11" fillId="6" borderId="17" applyAlignment="1" pivotButton="0" quotePrefix="0" xfId="0">
      <alignment horizontal="center" vertical="center"/>
    </xf>
    <xf numFmtId="169" fontId="11" fillId="6" borderId="0" applyAlignment="1" pivotButton="0" quotePrefix="0" xfId="0">
      <alignment horizontal="center" vertical="center"/>
    </xf>
    <xf numFmtId="0" fontId="5" fillId="2" borderId="0" applyAlignment="1" pivotButton="0" quotePrefix="0" xfId="0">
      <alignment horizontal="center" vertical="center"/>
    </xf>
    <xf numFmtId="4" fontId="5" fillId="2" borderId="0" applyAlignment="1" pivotButton="0" quotePrefix="0" xfId="0">
      <alignment horizontal="center" vertical="center"/>
    </xf>
    <xf numFmtId="169" fontId="5" fillId="2" borderId="0" applyAlignment="1" pivotButton="0" quotePrefix="0" xfId="0">
      <alignment horizontal="center" vertical="center"/>
    </xf>
    <xf numFmtId="4" fontId="5" fillId="2" borderId="25" applyAlignment="1" pivotButton="0" quotePrefix="0" xfId="0">
      <alignment horizontal="center" vertical="center"/>
    </xf>
    <xf numFmtId="4" fontId="5" fillId="10" borderId="18" applyAlignment="1" pivotButton="0" quotePrefix="0" xfId="0">
      <alignment horizontal="center" vertical="center" wrapText="1"/>
    </xf>
    <xf numFmtId="170" fontId="5" fillId="2" borderId="17" applyAlignment="1" pivotButton="0" quotePrefix="0" xfId="0">
      <alignment horizontal="center" vertical="center"/>
    </xf>
    <xf numFmtId="170" fontId="5" fillId="2" borderId="0" applyAlignment="1" pivotButton="0" quotePrefix="0" xfId="0">
      <alignment horizontal="center" vertical="center"/>
    </xf>
    <xf numFmtId="170" fontId="5" fillId="2" borderId="25" applyAlignment="1" pivotButton="0" quotePrefix="0" xfId="0">
      <alignment horizontal="center" vertical="center"/>
    </xf>
    <xf numFmtId="170" fontId="4" fillId="2" borderId="18" applyAlignment="1" pivotButton="0" quotePrefix="0" xfId="0">
      <alignment horizontal="center" vertical="center" wrapText="1"/>
    </xf>
    <xf numFmtId="170" fontId="4" fillId="10" borderId="18" applyAlignment="1" pivotButton="0" quotePrefix="0" xfId="0">
      <alignment horizontal="center" vertical="center"/>
    </xf>
    <xf numFmtId="0" fontId="7" fillId="5" borderId="0" applyAlignment="1" pivotButton="0" quotePrefix="0" xfId="0">
      <alignment horizontal="general" vertical="center"/>
    </xf>
    <xf numFmtId="0" fontId="4" fillId="2" borderId="0" applyAlignment="1" pivotButton="0" quotePrefix="0" xfId="0">
      <alignment horizontal="center" vertical="center" wrapText="1"/>
    </xf>
    <xf numFmtId="0" fontId="4" fillId="2" borderId="20" applyAlignment="1" pivotButton="0" quotePrefix="0" xfId="0">
      <alignment horizontal="center" vertical="center" wrapText="1"/>
    </xf>
    <xf numFmtId="170" fontId="4" fillId="10" borderId="20" applyAlignment="1" pivotButton="0" quotePrefix="0" xfId="0">
      <alignment horizontal="center" vertical="center" wrapText="1"/>
    </xf>
    <xf numFmtId="170" fontId="4" fillId="10" borderId="20" applyAlignment="1" pivotButton="0" quotePrefix="0" xfId="0">
      <alignment horizontal="center" vertical="center"/>
    </xf>
    <xf numFmtId="3" fontId="11" fillId="5" borderId="0" applyAlignment="1" pivotButton="0" quotePrefix="0" xfId="0">
      <alignment horizontal="center" vertical="center"/>
    </xf>
    <xf numFmtId="0" fontId="4" fillId="2" borderId="19" applyAlignment="1" pivotButton="0" quotePrefix="0" xfId="0">
      <alignment horizontal="center" vertical="center" wrapText="1"/>
    </xf>
    <xf numFmtId="0" fontId="6" fillId="0" borderId="26" applyAlignment="1" pivotButton="0" quotePrefix="0" xfId="0">
      <alignment horizontal="center" vertical="center" wrapText="1"/>
    </xf>
    <xf numFmtId="0" fontId="4" fillId="5" borderId="0" applyAlignment="1" pivotButton="0" quotePrefix="0" xfId="0">
      <alignment horizontal="general" vertical="center"/>
    </xf>
    <xf numFmtId="10" fontId="6" fillId="3" borderId="0" applyAlignment="1" pivotButton="0" quotePrefix="0" xfId="0">
      <alignment horizontal="right" vertical="center" wrapText="1"/>
    </xf>
    <xf numFmtId="10" fontId="6" fillId="0" borderId="26" applyAlignment="1" pivotButton="0" quotePrefix="0" xfId="0">
      <alignment horizontal="center" vertical="center" wrapText="1"/>
    </xf>
    <xf numFmtId="10" fontId="6" fillId="3" borderId="26" applyAlignment="1" pivotButton="0" quotePrefix="0" xfId="0">
      <alignment horizontal="center" vertical="center" wrapText="1"/>
    </xf>
    <xf numFmtId="0" fontId="6" fillId="5" borderId="26" applyAlignment="1" pivotButton="0" quotePrefix="0" xfId="0">
      <alignment horizontal="center" vertical="center" wrapText="1"/>
    </xf>
    <xf numFmtId="10" fontId="6" fillId="5" borderId="26" applyAlignment="1" pivotButton="0" quotePrefix="0" xfId="0">
      <alignment horizontal="center" vertical="center" wrapText="1"/>
    </xf>
    <xf numFmtId="9" fontId="6" fillId="0" borderId="26" applyAlignment="1" pivotButton="0" quotePrefix="0" xfId="0">
      <alignment horizontal="center" vertical="center" wrapText="1"/>
    </xf>
    <xf numFmtId="10" fontId="4" fillId="0" borderId="0" applyAlignment="1" pivotButton="0" quotePrefix="0" xfId="0">
      <alignment horizontal="center" vertical="center" wrapText="1"/>
    </xf>
    <xf numFmtId="0" fontId="6" fillId="0" borderId="0" applyAlignment="1" pivotButton="0" quotePrefix="0" xfId="0">
      <alignment horizontal="right" vertical="center" wrapText="1"/>
    </xf>
    <xf numFmtId="0" fontId="12" fillId="6" borderId="18" applyAlignment="1" pivotButton="0" quotePrefix="0" xfId="0">
      <alignment horizontal="center" vertical="center"/>
    </xf>
    <xf numFmtId="0" fontId="6" fillId="0" borderId="0" applyAlignment="1" pivotButton="0" quotePrefix="0" xfId="0">
      <alignment horizontal="center" vertical="center"/>
    </xf>
    <xf numFmtId="0" fontId="6" fillId="0" borderId="0" applyAlignment="1" pivotButton="0" quotePrefix="0" xfId="0">
      <alignment horizontal="general" vertical="center"/>
    </xf>
    <xf numFmtId="0" fontId="6" fillId="2" borderId="27" applyAlignment="1" pivotButton="0" quotePrefix="0" xfId="0">
      <alignment horizontal="center" vertical="center"/>
    </xf>
    <xf numFmtId="0" fontId="6" fillId="2" borderId="28" applyAlignment="1" pivotButton="0" quotePrefix="0" xfId="0">
      <alignment horizontal="center" vertical="center"/>
    </xf>
    <xf numFmtId="0" fontId="6" fillId="2" borderId="28" applyAlignment="1" pivotButton="0" quotePrefix="0" xfId="0">
      <alignment horizontal="center" vertical="center" wrapText="1"/>
    </xf>
    <xf numFmtId="0" fontId="5" fillId="2" borderId="29" applyAlignment="1" pivotButton="0" quotePrefix="0" xfId="0">
      <alignment horizontal="general" vertical="center" wrapText="1"/>
    </xf>
    <xf numFmtId="0" fontId="4" fillId="2" borderId="27" applyAlignment="1" pivotButton="0" quotePrefix="0" xfId="0">
      <alignment horizontal="center" vertical="center" wrapText="1"/>
    </xf>
    <xf numFmtId="0" fontId="4" fillId="2" borderId="28" applyAlignment="1" pivotButton="0" quotePrefix="0" xfId="0">
      <alignment horizontal="center" vertical="center" wrapText="1"/>
    </xf>
    <xf numFmtId="0" fontId="4" fillId="2" borderId="29" applyAlignment="1" pivotButton="0" quotePrefix="0" xfId="0">
      <alignment horizontal="center" vertical="center" wrapText="1"/>
    </xf>
    <xf numFmtId="0" fontId="4" fillId="2" borderId="26" applyAlignment="1" pivotButton="0" quotePrefix="0" xfId="0">
      <alignment horizontal="center" vertical="center"/>
    </xf>
    <xf numFmtId="171" fontId="5" fillId="2" borderId="0" applyAlignment="1" pivotButton="0" quotePrefix="0" xfId="0">
      <alignment horizontal="right" vertical="center"/>
    </xf>
    <xf numFmtId="0" fontId="5" fillId="2" borderId="0" applyAlignment="1" pivotButton="0" quotePrefix="0" xfId="0">
      <alignment horizontal="right" vertical="center"/>
    </xf>
    <xf numFmtId="3" fontId="11" fillId="6" borderId="4" applyAlignment="1" pivotButton="0" quotePrefix="0" xfId="0">
      <alignment horizontal="right" vertical="center"/>
    </xf>
    <xf numFmtId="3" fontId="11" fillId="6" borderId="0" applyAlignment="1" pivotButton="0" quotePrefix="0" xfId="0">
      <alignment horizontal="right" vertical="center"/>
    </xf>
    <xf numFmtId="3" fontId="11" fillId="6" borderId="5" applyAlignment="1" pivotButton="0" quotePrefix="0" xfId="0">
      <alignment horizontal="right" vertical="center"/>
    </xf>
    <xf numFmtId="3" fontId="5" fillId="2" borderId="4" applyAlignment="1" pivotButton="0" quotePrefix="0" xfId="0">
      <alignment horizontal="right" vertical="center"/>
    </xf>
    <xf numFmtId="10" fontId="5" fillId="2" borderId="0" applyAlignment="1" pivotButton="0" quotePrefix="0" xfId="0">
      <alignment horizontal="right" vertical="center"/>
    </xf>
    <xf numFmtId="0" fontId="11" fillId="2" borderId="4" applyAlignment="1" pivotButton="0" quotePrefix="0" xfId="0">
      <alignment horizontal="general" vertical="center"/>
    </xf>
    <xf numFmtId="10" fontId="11" fillId="2" borderId="5" applyAlignment="1" pivotButton="0" quotePrefix="0" xfId="0">
      <alignment horizontal="general" vertical="bottom"/>
    </xf>
    <xf numFmtId="4" fontId="4" fillId="2" borderId="30" applyAlignment="1" pivotButton="0" quotePrefix="0" xfId="0">
      <alignment horizontal="general" vertical="center"/>
    </xf>
    <xf numFmtId="0" fontId="18" fillId="0" borderId="0" applyAlignment="1" pivotButton="0" quotePrefix="0" xfId="0">
      <alignment horizontal="general" vertical="center"/>
    </xf>
    <xf numFmtId="10" fontId="5" fillId="2" borderId="5" applyAlignment="1" pivotButton="0" quotePrefix="0" xfId="0">
      <alignment horizontal="general" vertical="center"/>
    </xf>
    <xf numFmtId="0" fontId="11" fillId="6" borderId="0" applyAlignment="1" pivotButton="0" quotePrefix="0" xfId="0">
      <alignment horizontal="right" vertical="center"/>
    </xf>
    <xf numFmtId="3" fontId="5" fillId="2" borderId="6" applyAlignment="1" pivotButton="0" quotePrefix="0" xfId="0">
      <alignment horizontal="right" vertical="center"/>
    </xf>
    <xf numFmtId="10" fontId="5" fillId="2" borderId="7" applyAlignment="1" pivotButton="0" quotePrefix="0" xfId="0">
      <alignment horizontal="right" vertical="center"/>
    </xf>
    <xf numFmtId="10" fontId="5" fillId="2" borderId="8" applyAlignment="1" pivotButton="0" quotePrefix="0" xfId="0">
      <alignment horizontal="general" vertical="center"/>
    </xf>
    <xf numFmtId="4" fontId="4" fillId="2" borderId="31" applyAlignment="1" pivotButton="0" quotePrefix="0" xfId="0">
      <alignment horizontal="general" vertical="center"/>
    </xf>
    <xf numFmtId="3" fontId="4" fillId="0" borderId="1" applyAlignment="1" pivotButton="0" quotePrefix="0" xfId="0">
      <alignment horizontal="right" vertical="center"/>
    </xf>
    <xf numFmtId="3" fontId="4" fillId="0" borderId="2" applyAlignment="1" pivotButton="0" quotePrefix="0" xfId="0">
      <alignment horizontal="right" vertical="center"/>
    </xf>
    <xf numFmtId="3" fontId="4" fillId="0" borderId="3" applyAlignment="1" pivotButton="0" quotePrefix="0" xfId="0">
      <alignment horizontal="right" vertical="center"/>
    </xf>
    <xf numFmtId="10" fontId="5" fillId="0" borderId="0" applyAlignment="1" pivotButton="0" quotePrefix="0" xfId="0">
      <alignment horizontal="right" vertical="center"/>
    </xf>
    <xf numFmtId="0" fontId="19" fillId="0" borderId="0" applyAlignment="1" pivotButton="0" quotePrefix="0" xfId="0">
      <alignment horizontal="general" vertical="center"/>
    </xf>
    <xf numFmtId="10" fontId="6" fillId="12" borderId="6" applyAlignment="1" pivotButton="0" quotePrefix="0" xfId="0">
      <alignment horizontal="right" vertical="center"/>
    </xf>
    <xf numFmtId="10" fontId="6" fillId="12" borderId="7" applyAlignment="1" pivotButton="0" quotePrefix="0" xfId="0">
      <alignment horizontal="right" vertical="center"/>
    </xf>
    <xf numFmtId="10" fontId="19" fillId="12" borderId="8" applyAlignment="1" pivotButton="0" quotePrefix="0" xfId="0">
      <alignment horizontal="right" vertical="center"/>
    </xf>
    <xf numFmtId="3" fontId="4" fillId="0" borderId="0" applyAlignment="1" pivotButton="0" quotePrefix="0" xfId="0">
      <alignment horizontal="general" vertical="center"/>
    </xf>
    <xf numFmtId="3" fontId="5" fillId="0" borderId="0" applyAlignment="1" pivotButton="0" quotePrefix="0" xfId="0">
      <alignment horizontal="general" vertical="center"/>
    </xf>
    <xf numFmtId="3" fontId="5" fillId="0" borderId="0" applyAlignment="1" pivotButton="0" quotePrefix="0" xfId="0">
      <alignment horizontal="general" vertical="center" wrapText="1"/>
    </xf>
    <xf numFmtId="3" fontId="5" fillId="5" borderId="0" applyAlignment="1" pivotButton="0" quotePrefix="0" xfId="0">
      <alignment horizontal="general" vertical="center"/>
    </xf>
    <xf numFmtId="3" fontId="5" fillId="0" borderId="26" applyAlignment="1" pivotButton="0" quotePrefix="0" xfId="0">
      <alignment horizontal="center" vertical="center" wrapText="1"/>
    </xf>
    <xf numFmtId="3" fontId="4" fillId="0" borderId="26" applyAlignment="1" pivotButton="0" quotePrefix="0" xfId="0">
      <alignment horizontal="center" vertical="center" wrapText="1"/>
    </xf>
    <xf numFmtId="10" fontId="5" fillId="0" borderId="26" applyAlignment="1" pivotButton="0" quotePrefix="0" xfId="0">
      <alignment horizontal="center" vertical="center" wrapText="1"/>
    </xf>
    <xf numFmtId="3" fontId="5" fillId="0" borderId="0" applyAlignment="1" pivotButton="0" quotePrefix="0" xfId="0">
      <alignment horizontal="right" vertical="center"/>
    </xf>
    <xf numFmtId="0" fontId="5" fillId="0" borderId="0" applyAlignment="1" pivotButton="0" quotePrefix="0" xfId="0">
      <alignment horizontal="general" vertical="center" wrapText="1"/>
    </xf>
    <xf numFmtId="0" fontId="4" fillId="0" borderId="0" applyAlignment="1" pivotButton="0" quotePrefix="0" xfId="0">
      <alignment horizontal="general" vertical="bottom"/>
    </xf>
    <xf numFmtId="0" fontId="21" fillId="0" borderId="0" applyAlignment="1" pivotButton="0" quotePrefix="0" xfId="0">
      <alignment horizontal="center" vertical="bottom" wrapText="1"/>
    </xf>
    <xf numFmtId="0" fontId="4" fillId="0" borderId="0" applyAlignment="1" pivotButton="0" quotePrefix="0" xfId="0">
      <alignment horizontal="center" vertical="bottom" wrapText="1"/>
    </xf>
    <xf numFmtId="0" fontId="22" fillId="0" borderId="0" applyAlignment="1" pivotButton="0" quotePrefix="0" xfId="0">
      <alignment horizontal="left" vertical="bottom"/>
    </xf>
    <xf numFmtId="0" fontId="22"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0" fontId="14" fillId="0" borderId="0" applyAlignment="1" pivotButton="0" quotePrefix="0" xfId="0">
      <alignment horizontal="general" vertical="bottom"/>
    </xf>
    <xf numFmtId="0" fontId="4" fillId="0" borderId="26" applyAlignment="1" pivotButton="0" quotePrefix="0" xfId="0">
      <alignment horizontal="center" vertical="center" wrapText="1"/>
    </xf>
    <xf numFmtId="0" fontId="4" fillId="0" borderId="29" applyAlignment="1" pivotButton="0" quotePrefix="0" xfId="0">
      <alignment horizontal="center" vertical="center" wrapText="1"/>
    </xf>
    <xf numFmtId="0" fontId="5" fillId="0" borderId="0" applyAlignment="1" pivotButton="0" quotePrefix="0" xfId="0">
      <alignment horizontal="center" vertical="center" wrapText="1"/>
    </xf>
    <xf numFmtId="0" fontId="21" fillId="0" borderId="26" applyAlignment="1" pivotButton="0" quotePrefix="0" xfId="0">
      <alignment horizontal="center" vertical="center" wrapText="1"/>
    </xf>
    <xf numFmtId="0" fontId="5" fillId="0" borderId="0" applyAlignment="1" pivotButton="0" quotePrefix="0" xfId="0">
      <alignment horizontal="center" vertical="center"/>
    </xf>
    <xf numFmtId="0" fontId="5" fillId="3" borderId="31" applyAlignment="1" pivotButton="0" quotePrefix="0" xfId="0">
      <alignment horizontal="center" vertical="center"/>
    </xf>
    <xf numFmtId="0" fontId="5" fillId="3" borderId="8" applyAlignment="1" pivotButton="0" quotePrefix="0" xfId="0">
      <alignment horizontal="center" vertical="center"/>
    </xf>
    <xf numFmtId="169" fontId="5" fillId="3" borderId="8" applyAlignment="1" pivotButton="0" quotePrefix="0" xfId="0">
      <alignment horizontal="center" vertical="center"/>
    </xf>
    <xf numFmtId="0" fontId="5" fillId="3" borderId="0" applyAlignment="1" pivotButton="0" quotePrefix="0" xfId="0">
      <alignment horizontal="general" vertical="bottom"/>
    </xf>
    <xf numFmtId="172" fontId="5" fillId="3" borderId="8" applyAlignment="1" pivotButton="0" quotePrefix="0" xfId="0">
      <alignment horizontal="center" vertical="center"/>
    </xf>
    <xf numFmtId="173" fontId="0" fillId="3" borderId="26" applyAlignment="1" pivotButton="0" quotePrefix="0" xfId="0">
      <alignment horizontal="center" vertical="center"/>
    </xf>
    <xf numFmtId="0" fontId="0" fillId="0" borderId="0" applyAlignment="1" pivotButton="0" quotePrefix="0" xfId="0">
      <alignment horizontal="center" vertical="center"/>
    </xf>
    <xf numFmtId="0" fontId="5" fillId="0" borderId="26" applyAlignment="1" pivotButton="0" quotePrefix="0" xfId="0">
      <alignment horizontal="center" vertical="center" wrapText="1"/>
    </xf>
    <xf numFmtId="0" fontId="23" fillId="0" borderId="26" applyAlignment="1" pivotButton="0" quotePrefix="0" xfId="0">
      <alignment horizontal="center" vertical="center"/>
    </xf>
    <xf numFmtId="0" fontId="0" fillId="0" borderId="26" applyAlignment="1" pivotButton="0" quotePrefix="0" xfId="0">
      <alignment horizontal="center" vertical="center"/>
    </xf>
    <xf numFmtId="10" fontId="0" fillId="0" borderId="26" applyAlignment="1" pivotButton="0" quotePrefix="0" xfId="0">
      <alignment horizontal="center" vertical="center"/>
    </xf>
    <xf numFmtId="0" fontId="5" fillId="0" borderId="8" applyAlignment="1" pivotButton="0" quotePrefix="0" xfId="0">
      <alignment horizontal="center" vertical="center"/>
    </xf>
    <xf numFmtId="0" fontId="5" fillId="0" borderId="31" applyAlignment="1" pivotButton="0" quotePrefix="0" xfId="0">
      <alignment horizontal="center" vertical="center"/>
    </xf>
    <xf numFmtId="169" fontId="5" fillId="0" borderId="8" applyAlignment="1" pivotButton="0" quotePrefix="0" xfId="0">
      <alignment horizontal="center" vertical="center"/>
    </xf>
    <xf numFmtId="172" fontId="5" fillId="0" borderId="8" applyAlignment="1" pivotButton="0" quotePrefix="0" xfId="0">
      <alignment horizontal="center" vertical="center"/>
    </xf>
    <xf numFmtId="173" fontId="0" fillId="0" borderId="26" applyAlignment="1" pivotButton="0" quotePrefix="0" xfId="0">
      <alignment horizontal="center" vertical="center"/>
    </xf>
    <xf numFmtId="4" fontId="5" fillId="0" borderId="8" applyAlignment="1" pivotButton="0" quotePrefix="0" xfId="0">
      <alignment horizontal="center" vertical="center"/>
    </xf>
    <xf numFmtId="0" fontId="5" fillId="0" borderId="29" applyAlignment="1" pivotButton="0" quotePrefix="0" xfId="0">
      <alignment horizontal="center" vertical="bottom"/>
    </xf>
    <xf numFmtId="0" fontId="5" fillId="0" borderId="8" applyAlignment="1" pivotButton="0" quotePrefix="0" xfId="0">
      <alignment horizontal="center" vertical="bottom"/>
    </xf>
    <xf numFmtId="174" fontId="5" fillId="0" borderId="31" applyAlignment="1" pivotButton="0" quotePrefix="0" xfId="0">
      <alignment horizontal="center" vertical="center"/>
    </xf>
    <xf numFmtId="0" fontId="15" fillId="0" borderId="0" applyAlignment="1" pivotButton="0" quotePrefix="0" xfId="0">
      <alignment horizontal="general" vertical="bottom"/>
    </xf>
    <xf numFmtId="173" fontId="5" fillId="0" borderId="8" applyAlignment="1" pivotButton="0" quotePrefix="0" xfId="0">
      <alignment horizontal="center" vertical="center"/>
    </xf>
    <xf numFmtId="3" fontId="24" fillId="0" borderId="26" applyAlignment="1" pivotButton="0" quotePrefix="0" xfId="0">
      <alignment horizontal="center" vertical="center"/>
    </xf>
    <xf numFmtId="10" fontId="24" fillId="0" borderId="26" applyAlignment="1" pivotButton="0" quotePrefix="0" xfId="0">
      <alignment horizontal="center" vertical="center"/>
    </xf>
    <xf numFmtId="173" fontId="24" fillId="0" borderId="26" applyAlignment="1" pivotButton="0" quotePrefix="0" xfId="0">
      <alignment horizontal="center" vertical="center"/>
    </xf>
    <xf numFmtId="0" fontId="24" fillId="3" borderId="0" applyAlignment="1" pivotButton="0" quotePrefix="0" xfId="0">
      <alignment horizontal="general" vertical="bottom"/>
    </xf>
    <xf numFmtId="0" fontId="21" fillId="0" borderId="26" applyAlignment="1" pivotButton="0" quotePrefix="0" xfId="0">
      <alignment horizontal="center" vertical="center"/>
    </xf>
    <xf numFmtId="3" fontId="8" fillId="0" borderId="26" applyAlignment="1" pivotButton="0" quotePrefix="0" xfId="0">
      <alignment horizontal="center" vertical="center"/>
    </xf>
    <xf numFmtId="170" fontId="25" fillId="0" borderId="26" applyAlignment="1" pivotButton="0" quotePrefix="0" xfId="0">
      <alignment horizontal="center" vertical="center"/>
    </xf>
    <xf numFmtId="0" fontId="4" fillId="0" borderId="26" applyAlignment="1" pivotButton="0" quotePrefix="0" xfId="0">
      <alignment horizontal="center" vertical="bottom" wrapText="1"/>
    </xf>
    <xf numFmtId="0" fontId="4" fillId="0" borderId="29" applyAlignment="1" pivotButton="0" quotePrefix="0" xfId="0">
      <alignment horizontal="center" vertical="bottom" wrapText="1"/>
    </xf>
    <xf numFmtId="0" fontId="5" fillId="0" borderId="26" applyAlignment="1" pivotButton="0" quotePrefix="0" xfId="0">
      <alignment horizontal="center" vertical="bottom"/>
    </xf>
    <xf numFmtId="173" fontId="5" fillId="0" borderId="29" applyAlignment="1" pivotButton="0" quotePrefix="0" xfId="0">
      <alignment horizontal="center" vertical="bottom"/>
    </xf>
    <xf numFmtId="10" fontId="5" fillId="0" borderId="29" applyAlignment="1" pivotButton="0" quotePrefix="0" xfId="0">
      <alignment horizontal="center" vertical="bottom"/>
    </xf>
    <xf numFmtId="0" fontId="5" fillId="0" borderId="31" applyAlignment="1" pivotButton="0" quotePrefix="0" xfId="0">
      <alignment horizontal="center" vertical="bottom"/>
    </xf>
    <xf numFmtId="173" fontId="5" fillId="0" borderId="8" applyAlignment="1" pivotButton="0" quotePrefix="0" xfId="0">
      <alignment horizontal="center" vertical="bottom"/>
    </xf>
    <xf numFmtId="10" fontId="5" fillId="0" borderId="8" applyAlignment="1" pivotButton="0" quotePrefix="0" xfId="0">
      <alignment horizontal="center" vertical="bottom"/>
    </xf>
    <xf numFmtId="4" fontId="24" fillId="0" borderId="26" applyAlignment="1" pivotButton="0" quotePrefix="0" xfId="0">
      <alignment horizontal="center" vertical="center"/>
    </xf>
    <xf numFmtId="0" fontId="4" fillId="0" borderId="7" applyAlignment="1" pivotButton="0" quotePrefix="0" xfId="0">
      <alignment horizontal="general" vertical="bottom"/>
    </xf>
    <xf numFmtId="0" fontId="5" fillId="0" borderId="7" applyAlignment="1" pivotButton="0" quotePrefix="0" xfId="0">
      <alignment horizontal="general" vertical="bottom"/>
    </xf>
    <xf numFmtId="0" fontId="0" fillId="0" borderId="5" applyAlignment="1" pivotButton="0" quotePrefix="0" xfId="0">
      <alignment horizontal="general" vertical="bottom"/>
    </xf>
    <xf numFmtId="0" fontId="4" fillId="0" borderId="5" applyAlignment="1" pivotButton="0" quotePrefix="0" xfId="0">
      <alignment horizontal="center" vertical="bottom" wrapText="1"/>
    </xf>
    <xf numFmtId="0" fontId="4" fillId="0" borderId="26" applyAlignment="1" pivotButton="0" quotePrefix="0" xfId="0">
      <alignment horizontal="center" vertical="bottom"/>
    </xf>
    <xf numFmtId="0" fontId="5" fillId="0" borderId="5" applyAlignment="1" pivotButton="0" quotePrefix="0" xfId="0">
      <alignment horizontal="center" vertical="bottom"/>
    </xf>
    <xf numFmtId="0" fontId="23" fillId="0" borderId="26" applyAlignment="1" pivotButton="0" quotePrefix="0" xfId="0">
      <alignment horizontal="center" vertical="bottom"/>
    </xf>
    <xf numFmtId="10" fontId="5" fillId="0" borderId="26" applyAlignment="1" pivotButton="0" quotePrefix="0" xfId="0">
      <alignment horizontal="center" vertical="bottom"/>
    </xf>
    <xf numFmtId="0" fontId="5" fillId="0" borderId="5" applyAlignment="1" pivotButton="0" quotePrefix="0" xfId="0">
      <alignment horizontal="general" vertical="top"/>
    </xf>
    <xf numFmtId="0" fontId="5" fillId="0" borderId="26" applyAlignment="1" pivotButton="0" quotePrefix="0" xfId="0">
      <alignment horizontal="general" vertical="top"/>
    </xf>
    <xf numFmtId="0" fontId="5" fillId="0" borderId="26" applyAlignment="1" pivotButton="0" quotePrefix="0" xfId="0">
      <alignment horizontal="general" vertical="bottom"/>
    </xf>
    <xf numFmtId="168" fontId="5" fillId="0" borderId="0" applyAlignment="1" pivotButton="0" quotePrefix="0" xfId="0">
      <alignment horizontal="general" vertical="bottom"/>
    </xf>
    <xf numFmtId="0" fontId="7" fillId="0" borderId="0" applyAlignment="1" pivotButton="0" quotePrefix="0" xfId="0">
      <alignment horizontal="general" vertical="bottom"/>
    </xf>
    <xf numFmtId="0" fontId="5" fillId="8" borderId="0" applyAlignment="1" pivotButton="0" quotePrefix="0" xfId="0">
      <alignment horizontal="general" vertical="bottom"/>
    </xf>
    <xf numFmtId="0" fontId="7" fillId="5" borderId="0" applyAlignment="1" pivotButton="0" quotePrefix="0" xfId="0">
      <alignment horizontal="general" vertical="bottom"/>
    </xf>
    <xf numFmtId="0" fontId="5" fillId="5" borderId="0" applyAlignment="1" pivotButton="0" quotePrefix="0" xfId="0">
      <alignment horizontal="general" vertical="bottom"/>
    </xf>
    <xf numFmtId="0" fontId="36"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CCCCC"/>
      <rgbColor rgb="FF808080"/>
      <rgbColor rgb="FF9999FF"/>
      <rgbColor rgb="FF993366"/>
      <rgbColor rgb="FFFFF2CC"/>
      <rgbColor rgb="FFDDEBF7"/>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EFEFEF"/>
      <rgbColor rgb="FFF3F3F3"/>
      <rgbColor rgb="FFFFFF99"/>
      <rgbColor rgb="FF9FC5E8"/>
      <rgbColor rgb="FFFF99CC"/>
      <rgbColor rgb="FFCC99FF"/>
      <rgbColor rgb="FFF9CB9C"/>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tabColor rgb="FFFF0000"/>
    <outlinePr summaryBelow="1" summaryRight="1"/>
    <pageSetUpPr fitToPage="1"/>
  </sheetPr>
  <dimension ref="A1:AR315"/>
  <sheetViews>
    <sheetView showFormulas="0" showGridLines="1" showRowColHeaders="1" showZeros="1" rightToLeft="0" tabSelected="0" showOutlineSymbols="1" defaultGridColor="1" view="normal" topLeftCell="A1" colorId="64" zoomScale="100" zoomScaleNormal="100" zoomScalePageLayoutView="100" workbookViewId="0">
      <pane xSplit="2" ySplit="0" topLeftCell="C1" activePane="topRight" state="frozen"/>
      <selection pane="topLeft" activeCell="A1" activeCellId="0" sqref="A1"/>
      <selection pane="topRight" activeCell="D2" activeCellId="0" sqref="D2"/>
    </sheetView>
  </sheetViews>
  <sheetFormatPr baseColWidth="8" defaultColWidth="12.6328125" defaultRowHeight="15" zeroHeight="0" outlineLevelRow="0"/>
  <cols>
    <col width="10.88" customWidth="1" style="374" min="1" max="1"/>
    <col width="23.63" customWidth="1" style="374" min="2" max="2"/>
    <col width="11.75" customWidth="1" style="374" min="4" max="4"/>
    <col width="10.25" customWidth="1" style="374" min="5" max="10"/>
    <col width="11.25" customWidth="1" style="374" min="11" max="11"/>
    <col width="78.51000000000001" customWidth="1" style="374" min="12" max="12"/>
    <col width="10.25" customWidth="1" style="374" min="13" max="14"/>
    <col width="16.75" customWidth="1" style="374" min="15" max="19"/>
    <col width="16.38" customWidth="1" style="374" min="20" max="20"/>
    <col width="23.38" customWidth="1" style="374" min="21" max="21"/>
    <col width="16.38" customWidth="1" style="374" min="22" max="24"/>
    <col width="14" customWidth="1" style="374" min="25" max="25"/>
    <col width="13.75" customWidth="1" style="374" min="27" max="27"/>
    <col width="45.12" customWidth="1" style="374" min="28" max="28"/>
    <col width="112.25" customWidth="1" style="374" min="29" max="29"/>
  </cols>
  <sheetData>
    <row r="1" ht="9.75" customHeight="1" s="375">
      <c r="A1" s="376" t="n"/>
      <c r="B1" s="376" t="n"/>
      <c r="C1" s="377" t="n"/>
      <c r="D1" s="378" t="n"/>
      <c r="E1" s="378" t="n"/>
      <c r="F1" s="378" t="n"/>
      <c r="G1" s="378" t="n"/>
      <c r="H1" s="378" t="n"/>
      <c r="I1" s="378" t="n"/>
      <c r="J1" s="379" t="n"/>
      <c r="K1" s="380" t="n"/>
      <c r="L1" s="381" t="n"/>
      <c r="M1" s="381" t="n"/>
      <c r="N1" s="379" t="n"/>
      <c r="O1" s="379" t="n"/>
      <c r="P1" s="379" t="n"/>
      <c r="Q1" s="379" t="n"/>
      <c r="R1" s="379" t="n"/>
      <c r="S1" s="379" t="n"/>
      <c r="T1" s="382" t="n"/>
      <c r="U1" s="379" t="n"/>
      <c r="V1" s="379" t="n"/>
      <c r="W1" s="381" t="n"/>
      <c r="X1" s="381" t="n"/>
      <c r="Y1" s="381" t="n"/>
      <c r="Z1" s="381" t="n"/>
      <c r="AA1" s="381" t="n"/>
      <c r="AB1" s="381" t="n"/>
      <c r="AC1" s="381" t="n"/>
      <c r="AD1" s="381" t="n"/>
      <c r="AE1" s="381" t="n"/>
      <c r="AF1" s="381" t="n"/>
      <c r="AG1" s="381" t="n"/>
      <c r="AH1" s="381" t="n"/>
      <c r="AI1" s="381" t="n"/>
      <c r="AJ1" s="381" t="n"/>
      <c r="AK1" s="381" t="n"/>
      <c r="AL1" s="381" t="n"/>
      <c r="AM1" s="381" t="n"/>
      <c r="AN1" s="381" t="n"/>
      <c r="AO1" s="381" t="n"/>
      <c r="AP1" s="381" t="n"/>
      <c r="AQ1" s="381" t="n"/>
      <c r="AR1" s="381" t="n"/>
    </row>
    <row r="2" ht="15" customHeight="1" s="375">
      <c r="A2" s="383" t="n"/>
      <c r="B2" s="384" t="inlineStr">
        <is>
          <t>Project Name</t>
        </is>
      </c>
      <c r="C2" s="385" t="inlineStr">
        <is>
          <t>Konnex</t>
        </is>
      </c>
      <c r="D2" s="386" t="n"/>
      <c r="J2" s="387" t="inlineStr">
        <is>
          <t xml:space="preserve">PLEASE READ - MODEL INSTRUCTIONS, PLEASE DO NOT CHANGE THE FORMULAS: </t>
        </is>
      </c>
      <c r="K2" s="388" t="n"/>
      <c r="L2" s="388" t="n"/>
      <c r="M2" s="388" t="n"/>
      <c r="N2" s="388" t="n"/>
      <c r="O2" s="388" t="n"/>
      <c r="P2" s="388" t="n"/>
      <c r="Q2" s="388" t="n"/>
      <c r="R2" s="388" t="n"/>
      <c r="S2" s="388" t="n"/>
      <c r="T2" s="388" t="n"/>
      <c r="U2" s="389" t="n"/>
      <c r="AG2" s="381" t="n"/>
      <c r="AH2" s="381" t="n"/>
      <c r="AI2" s="381" t="n"/>
      <c r="AJ2" s="381" t="n"/>
      <c r="AK2" s="381" t="n"/>
      <c r="AL2" s="381" t="n"/>
      <c r="AM2" s="381" t="n"/>
      <c r="AN2" s="381" t="n"/>
      <c r="AO2" s="381" t="n"/>
      <c r="AP2" s="381" t="n"/>
      <c r="AQ2" s="381" t="n"/>
      <c r="AR2" s="381" t="n"/>
    </row>
    <row r="3" ht="15" customHeight="1" s="375">
      <c r="A3" s="390" t="n"/>
      <c r="B3" s="391" t="inlineStr">
        <is>
          <t>Ticker</t>
        </is>
      </c>
      <c r="C3" s="392" t="inlineStr">
        <is>
          <t>KNX</t>
        </is>
      </c>
      <c r="D3" s="393" t="n"/>
      <c r="J3" s="394" t="n"/>
      <c r="U3" s="395" t="n"/>
      <c r="AG3" s="381" t="n"/>
      <c r="AH3" s="381" t="n"/>
      <c r="AI3" s="381" t="n"/>
      <c r="AJ3" s="381" t="n"/>
      <c r="AK3" s="381" t="n"/>
      <c r="AL3" s="381" t="n"/>
      <c r="AM3" s="381" t="n"/>
      <c r="AN3" s="381" t="n"/>
      <c r="AO3" s="381" t="n"/>
      <c r="AP3" s="381" t="n"/>
      <c r="AQ3" s="381" t="n"/>
      <c r="AR3" s="381" t="n"/>
    </row>
    <row r="4" ht="15" customHeight="1" s="375">
      <c r="A4" s="390" t="n"/>
      <c r="B4" s="391" t="inlineStr">
        <is>
          <t>TGE Date (T)</t>
        </is>
      </c>
      <c r="C4" s="396" t="inlineStr">
        <is>
          <t>15/9/2027 (target)</t>
        </is>
      </c>
      <c r="D4" s="393" t="n"/>
      <c r="J4" s="397" t="inlineStr">
        <is>
          <t>0) Orange Cells = Hardcode values; Black fonts = Formulas / Links</t>
        </is>
      </c>
      <c r="U4" s="395" t="n"/>
      <c r="AG4" s="381" t="n"/>
      <c r="AH4" s="381" t="n"/>
      <c r="AI4" s="381" t="n"/>
      <c r="AJ4" s="381" t="n"/>
      <c r="AK4" s="381" t="n"/>
      <c r="AL4" s="381" t="n"/>
      <c r="AM4" s="381" t="n"/>
      <c r="AN4" s="381" t="n"/>
      <c r="AO4" s="381" t="n"/>
      <c r="AP4" s="381" t="n"/>
      <c r="AQ4" s="381" t="n"/>
      <c r="AR4" s="381" t="n"/>
    </row>
    <row r="5" ht="15" customHeight="1" s="375">
      <c r="A5" s="390" t="n"/>
      <c r="B5" s="398" t="inlineStr">
        <is>
          <t>Block Explorer Link</t>
        </is>
      </c>
      <c r="C5" s="399" t="inlineStr">
        <is>
          <t>n/a</t>
        </is>
      </c>
      <c r="D5" s="400" t="n"/>
      <c r="J5" s="401" t="inlineStr">
        <is>
          <t>1) Populate the orange cells from B2-B10 for the basic information about the token.</t>
        </is>
      </c>
      <c r="U5" s="395" t="n"/>
      <c r="AG5" s="381" t="n"/>
      <c r="AH5" s="381" t="n"/>
      <c r="AI5" s="381" t="n"/>
      <c r="AJ5" s="381" t="n"/>
      <c r="AK5" s="381" t="n"/>
      <c r="AL5" s="381" t="n"/>
      <c r="AM5" s="381" t="n"/>
      <c r="AN5" s="381" t="n"/>
      <c r="AO5" s="381" t="n"/>
      <c r="AP5" s="381" t="n"/>
      <c r="AQ5" s="381" t="n"/>
      <c r="AR5" s="381" t="n"/>
    </row>
    <row r="6" ht="15" customHeight="1" s="375">
      <c r="A6" s="383" t="n"/>
      <c r="B6" s="402" t="inlineStr">
        <is>
          <t>Monetary Policy</t>
        </is>
      </c>
      <c r="C6" s="403" t="inlineStr">
        <is>
          <t>See the Monetary Policy tab</t>
        </is>
      </c>
      <c r="D6" s="393" t="n"/>
      <c r="J6" s="404" t="inlineStr">
        <is>
          <t>2) Populate the orange cells on rows 12, 13, 14, 15, 16 &amp; 20 for different token distribution pockets, please relabel, add or delete columns accordingly.</t>
        </is>
      </c>
      <c r="U6" s="395" t="n"/>
      <c r="AG6" s="381" t="n"/>
      <c r="AH6" s="381" t="n"/>
      <c r="AI6" s="381" t="n"/>
      <c r="AJ6" s="381" t="n"/>
      <c r="AK6" s="381" t="n"/>
      <c r="AL6" s="381" t="n"/>
      <c r="AM6" s="381" t="n"/>
      <c r="AN6" s="381" t="n"/>
      <c r="AO6" s="381" t="n"/>
      <c r="AP6" s="381" t="n"/>
      <c r="AQ6" s="381" t="n"/>
      <c r="AR6" s="381" t="n"/>
    </row>
    <row r="7" ht="15" customHeight="1" s="375">
      <c r="A7" s="405" t="n"/>
      <c r="B7" s="406" t="n"/>
      <c r="C7" s="407" t="n"/>
      <c r="D7" s="408" t="n"/>
      <c r="J7" s="404" t="inlineStr">
        <is>
          <t>3) Populate the orange cells in each column from row 27 with the number of tokens unlocked each month and row 112 for all tokens unlocking beyond month 84.</t>
        </is>
      </c>
      <c r="U7" s="395" t="n"/>
      <c r="AG7" s="381" t="n"/>
      <c r="AH7" s="381" t="n"/>
      <c r="AI7" s="381" t="n"/>
      <c r="AJ7" s="381" t="n"/>
      <c r="AK7" s="381" t="n"/>
      <c r="AL7" s="381" t="n"/>
      <c r="AM7" s="381" t="n"/>
      <c r="AN7" s="381" t="n"/>
      <c r="AO7" s="381" t="n"/>
      <c r="AP7" s="381" t="n"/>
      <c r="AQ7" s="381" t="n"/>
      <c r="AR7" s="381" t="n"/>
    </row>
    <row r="8" ht="15" customHeight="1" s="375">
      <c r="A8" s="383" t="n"/>
      <c r="B8" s="409" t="inlineStr">
        <is>
          <t>Total Supply at Genesis</t>
        </is>
      </c>
      <c r="C8" s="410" t="n">
        <v>1000000000</v>
      </c>
      <c r="D8" s="408" t="n"/>
      <c r="J8" s="404" t="inlineStr">
        <is>
          <t>4) Populate unlock details in orange cell B25.</t>
        </is>
      </c>
      <c r="U8" s="395" t="n"/>
      <c r="AG8" s="381" t="n"/>
      <c r="AH8" s="381" t="n"/>
      <c r="AI8" s="381" t="n"/>
      <c r="AJ8" s="381" t="n"/>
      <c r="AK8" s="381" t="n"/>
      <c r="AL8" s="381" t="n"/>
      <c r="AM8" s="381" t="n"/>
      <c r="AN8" s="381" t="n"/>
      <c r="AO8" s="381" t="n"/>
      <c r="AP8" s="381" t="n"/>
      <c r="AQ8" s="381" t="n"/>
      <c r="AR8" s="381" t="n"/>
    </row>
    <row r="9" ht="15" customHeight="1" s="375">
      <c r="A9" s="383" t="n"/>
      <c r="B9" s="409" t="inlineStr">
        <is>
          <t>Max Supply</t>
        </is>
      </c>
      <c r="C9" s="411" t="n">
        <v>1000000000</v>
      </c>
      <c r="D9" s="408" t="n"/>
      <c r="J9" s="404" t="inlineStr">
        <is>
          <t>5) Confirm if the numbers on row 18 match with numbers on row 17, confirm if the total supply numbers in M17 and N17 are correct.</t>
        </is>
      </c>
      <c r="U9" s="395" t="n"/>
      <c r="AG9" s="381" t="n"/>
      <c r="AH9" s="381" t="n"/>
      <c r="AI9" s="381" t="n"/>
      <c r="AJ9" s="381" t="n"/>
      <c r="AK9" s="381" t="n"/>
      <c r="AL9" s="381" t="n"/>
      <c r="AM9" s="381" t="n"/>
      <c r="AN9" s="381" t="n"/>
      <c r="AO9" s="381" t="n"/>
      <c r="AP9" s="381" t="n"/>
      <c r="AQ9" s="381" t="n"/>
      <c r="AR9" s="381" t="n"/>
    </row>
    <row r="10" ht="15" customHeight="1" s="375">
      <c r="A10" s="383" t="n"/>
      <c r="B10" s="412" t="inlineStr">
        <is>
          <t>Current Circ Supply</t>
        </is>
      </c>
      <c r="C10" s="413" t="n">
        <v>0</v>
      </c>
      <c r="D10" s="414" t="n"/>
      <c r="J10" s="415" t="inlineStr">
        <is>
          <t>6) Add other details such as investor breakdown and other operational statistics in "Investor/Insiders Breakdown" and "Platform stats - Users adoption".</t>
        </is>
      </c>
      <c r="K10" s="416" t="n"/>
      <c r="L10" s="416" t="n"/>
      <c r="M10" s="416" t="n"/>
      <c r="N10" s="416" t="n"/>
      <c r="O10" s="416" t="n"/>
      <c r="P10" s="416" t="n"/>
      <c r="Q10" s="416" t="n"/>
      <c r="R10" s="416" t="n"/>
      <c r="S10" s="416" t="n"/>
      <c r="T10" s="416" t="n"/>
      <c r="U10" s="417" t="n"/>
      <c r="AG10" s="381" t="n"/>
      <c r="AH10" s="381" t="n"/>
      <c r="AI10" s="381" t="n"/>
      <c r="AJ10" s="381" t="n"/>
      <c r="AK10" s="381" t="n"/>
      <c r="AL10" s="381" t="n"/>
      <c r="AM10" s="381" t="n"/>
      <c r="AN10" s="381" t="n"/>
      <c r="AO10" s="381" t="n"/>
      <c r="AP10" s="381" t="n"/>
      <c r="AQ10" s="381" t="n"/>
      <c r="AR10" s="381" t="n"/>
    </row>
    <row r="11" ht="15" customHeight="1" s="375">
      <c r="A11" s="418" t="n"/>
      <c r="B11" s="418" t="n"/>
      <c r="C11" s="419" t="n"/>
      <c r="D11" s="378" t="n"/>
      <c r="E11" s="378" t="n"/>
      <c r="F11" s="378" t="n"/>
      <c r="G11" s="378" t="n"/>
      <c r="H11" s="378" t="n"/>
      <c r="I11" s="378" t="n"/>
      <c r="J11" s="420" t="n"/>
      <c r="K11" s="421" t="n"/>
      <c r="L11" s="378" t="n"/>
      <c r="M11" s="378" t="n"/>
      <c r="N11" s="378" t="n"/>
      <c r="O11" s="378" t="n"/>
      <c r="P11" s="378" t="n"/>
      <c r="Q11" s="378" t="n"/>
      <c r="R11" s="378" t="n"/>
      <c r="S11" s="378" t="n"/>
      <c r="T11" s="422" t="n"/>
      <c r="U11" s="379" t="n"/>
      <c r="V11" s="379" t="n"/>
      <c r="W11" s="379" t="n"/>
      <c r="X11" s="381" t="n"/>
      <c r="Y11" s="381" t="n"/>
      <c r="Z11" s="381" t="n"/>
      <c r="AA11" s="381" t="n"/>
      <c r="AB11" s="423" t="n"/>
      <c r="AC11" s="381" t="n"/>
      <c r="AD11" s="381" t="n"/>
      <c r="AE11" s="381" t="n"/>
      <c r="AF11" s="381" t="n"/>
      <c r="AG11" s="381" t="n"/>
      <c r="AH11" s="381" t="n"/>
      <c r="AI11" s="381" t="n"/>
      <c r="AJ11" s="381" t="n"/>
      <c r="AK11" s="381" t="n"/>
      <c r="AL11" s="381" t="n"/>
      <c r="AM11" s="381" t="n"/>
      <c r="AN11" s="381" t="n"/>
      <c r="AO11" s="381" t="n"/>
      <c r="AP11" s="381" t="n"/>
      <c r="AQ11" s="381" t="n"/>
      <c r="AR11" s="381" t="n"/>
    </row>
    <row r="12" ht="89.25" customHeight="1" s="375">
      <c r="A12" s="383" t="n"/>
      <c r="B12" s="424" t="inlineStr">
        <is>
          <t>Pocket Labels</t>
        </is>
      </c>
      <c r="C12" s="425" t="inlineStr">
        <is>
          <t>Pre-seed (Brandon Torres Declet)</t>
        </is>
      </c>
      <c r="D12" s="426" t="inlineStr">
        <is>
          <t>Seed (LD Capital)</t>
        </is>
      </c>
      <c r="E12" s="426" t="inlineStr">
        <is>
          <t>Seed (Cogitent)</t>
        </is>
      </c>
      <c r="F12" s="426" t="inlineStr">
        <is>
          <t>Seed (Leland)</t>
        </is>
      </c>
      <c r="G12" s="426" t="inlineStr">
        <is>
          <t>Seed (M77)</t>
        </is>
      </c>
      <c r="H12" s="426" t="inlineStr">
        <is>
          <t>Seed (Block Maven)</t>
        </is>
      </c>
      <c r="I12" s="426" t="inlineStr">
        <is>
          <t>Seed (Covey)</t>
        </is>
      </c>
      <c r="J12" s="427" t="inlineStr">
        <is>
          <t>KOL round (T-Rex, K1, Nebula)</t>
        </is>
      </c>
      <c r="K12" s="427" t="inlineStr">
        <is>
          <t>Mining + Validator Emissions
Development</t>
        </is>
      </c>
      <c r="L12" s="427" t="inlineStr">
        <is>
          <t>Marketing</t>
        </is>
      </c>
      <c r="M12" s="427" t="inlineStr">
        <is>
          <t>Treasury and Reserves</t>
        </is>
      </c>
      <c r="N12" s="427" t="inlineStr">
        <is>
          <t>Foundation</t>
        </is>
      </c>
      <c r="O12" s="427" t="inlineStr">
        <is>
          <t>Team</t>
        </is>
      </c>
      <c r="P12" s="427" t="inlineStr">
        <is>
          <t>Liquidity / MM</t>
        </is>
      </c>
      <c r="Q12" s="427" t="inlineStr">
        <is>
          <t>New Round</t>
        </is>
      </c>
      <c r="R12" s="426" t="inlineStr">
        <is>
          <t>Community Airdrop</t>
        </is>
      </c>
      <c r="S12" s="427" t="inlineStr">
        <is>
          <t>Estimated Validator 
/ Emission Rewards</t>
        </is>
      </c>
      <c r="T12" s="428" t="inlineStr">
        <is>
          <t>Total Supply 
at Genesis</t>
        </is>
      </c>
      <c r="U12" s="429" t="inlineStr">
        <is>
          <t>Max Supply / Total Supply in 8 years</t>
        </is>
      </c>
      <c r="V12" s="379" t="n"/>
      <c r="W12" s="379" t="n"/>
      <c r="X12" s="381" t="n"/>
      <c r="Y12" s="381" t="n"/>
      <c r="Z12" s="381" t="n"/>
      <c r="AA12" s="381" t="n"/>
      <c r="AB12" s="423" t="n"/>
      <c r="AC12" s="381" t="n"/>
      <c r="AD12" s="381" t="n"/>
      <c r="AE12" s="381" t="n"/>
      <c r="AF12" s="381" t="n"/>
      <c r="AG12" s="381" t="n"/>
      <c r="AH12" s="381" t="n"/>
      <c r="AI12" s="381" t="n"/>
      <c r="AJ12" s="381" t="n"/>
      <c r="AK12" s="381" t="n"/>
      <c r="AL12" s="381" t="n"/>
      <c r="AM12" s="381" t="n"/>
      <c r="AN12" s="381" t="n"/>
      <c r="AO12" s="381" t="n"/>
      <c r="AP12" s="381" t="n"/>
      <c r="AQ12" s="381" t="n"/>
      <c r="AR12" s="381" t="n"/>
    </row>
    <row r="13" ht="77.59999999999999" customHeight="1" s="375">
      <c r="A13" s="383" t="n"/>
      <c r="B13" s="430" t="inlineStr">
        <is>
          <t>Purpose of Allocation</t>
        </is>
      </c>
      <c r="C13" s="431" t="inlineStr">
        <is>
          <t>Brandon Torres Declet - Pre Seed Investor</t>
        </is>
      </c>
      <c r="D13" s="431" t="inlineStr">
        <is>
          <t>LD Capital - Seed Investor</t>
        </is>
      </c>
      <c r="E13" s="431" t="inlineStr">
        <is>
          <t>Cogitent - Seed Investor</t>
        </is>
      </c>
      <c r="F13" s="431" t="inlineStr">
        <is>
          <t>Leland - Seed Investor</t>
        </is>
      </c>
      <c r="G13" s="431" t="inlineStr">
        <is>
          <t>M77 - Seed Investor</t>
        </is>
      </c>
      <c r="H13" s="431" t="inlineStr">
        <is>
          <t>Block Maven - Seed Investor</t>
        </is>
      </c>
      <c r="I13" s="431" t="inlineStr">
        <is>
          <t>Covey - Seed Investor</t>
        </is>
      </c>
      <c r="J13" s="432" t="inlineStr">
        <is>
          <t>KOL Round (T-Rex, K1, Nebula)</t>
        </is>
      </c>
      <c r="K13" s="433" t="inlineStr">
        <is>
          <t>Algorithmic release of tokens to miners and validators</t>
        </is>
      </c>
      <c r="L13" s="433" t="inlineStr">
        <is>
          <t>Marketing and Exchanges</t>
        </is>
      </c>
      <c r="M13" s="433" t="inlineStr">
        <is>
          <t>Operational runway and project reserves</t>
        </is>
      </c>
      <c r="N13" s="433" t="inlineStr">
        <is>
          <t>Ecosystem, protocol, and network growth.</t>
        </is>
      </c>
      <c r="O13" s="433" t="inlineStr">
        <is>
          <t>Team &amp; Advisor allocated tokens</t>
        </is>
      </c>
      <c r="P13" s="433" t="inlineStr">
        <is>
          <t>Liquidity and Market Making</t>
        </is>
      </c>
      <c r="Q13" s="433" t="inlineStr">
        <is>
          <t>New round investors - anchor + 2 syndicate + strategic ring (names at close)</t>
        </is>
      </c>
      <c r="R13" s="431" t="inlineStr">
        <is>
          <t>Airdrop &amp; Community</t>
        </is>
      </c>
      <c r="S13" s="431" t="n"/>
      <c r="T13" s="434" t="n"/>
      <c r="U13" s="435" t="n"/>
      <c r="V13" s="379" t="n"/>
      <c r="W13" s="379" t="n"/>
      <c r="X13" s="381" t="n"/>
      <c r="Y13" s="381" t="n"/>
      <c r="Z13" s="381" t="n"/>
      <c r="AA13" s="381" t="n"/>
      <c r="AB13" s="379" t="n"/>
      <c r="AC13" s="381" t="n"/>
      <c r="AD13" s="381" t="n"/>
      <c r="AE13" s="381" t="n"/>
      <c r="AF13" s="381" t="n"/>
      <c r="AG13" s="381" t="n"/>
      <c r="AH13" s="381" t="n"/>
      <c r="AI13" s="381" t="n"/>
      <c r="AJ13" s="381" t="n"/>
      <c r="AK13" s="381" t="n"/>
      <c r="AL13" s="381" t="n"/>
      <c r="AM13" s="381" t="n"/>
      <c r="AN13" s="381" t="n"/>
      <c r="AO13" s="381" t="n"/>
      <c r="AP13" s="381" t="n"/>
      <c r="AQ13" s="381" t="n"/>
      <c r="AR13" s="381" t="n"/>
    </row>
    <row r="14" ht="16.15" customHeight="1" s="375">
      <c r="A14" s="383" t="n"/>
      <c r="B14" s="430" t="inlineStr">
        <is>
          <t>Vesting Wallet Addresses</t>
        </is>
      </c>
      <c r="C14" s="436" t="inlineStr">
        <is>
          <t>0x7472420ccAdE13f6E52A40C509F887Ad64ddaf5E</t>
        </is>
      </c>
      <c r="J14" s="437" t="inlineStr">
        <is>
          <t>0xd16F088C8D21C7A1072f195f1C7578979498E31c</t>
        </is>
      </c>
      <c r="K14" s="438" t="inlineStr">
        <is>
          <t>0xfaCBAdA2A526884770AA82c50A165AE7BE606190</t>
        </is>
      </c>
      <c r="L14" s="439" t="inlineStr">
        <is>
          <t>0x6e2275EBb346b24bfdE292511687C84C1690B977 AND 0x4184450111458f33a17fD2Fa385AAc199b2B0252</t>
        </is>
      </c>
      <c r="M14" s="437" t="inlineStr">
        <is>
          <t>0xa9154ad8F0F07b4A35236a121364286e11b47511</t>
        </is>
      </c>
      <c r="N14" s="437" t="inlineStr">
        <is>
          <t>0xd3A6B6DC87664eeE275B74e970e44e7a94b73657</t>
        </is>
      </c>
      <c r="O14" s="440" t="inlineStr">
        <is>
          <t>0x9506F36A5c9cf12CE07E1aF0798c963409fBa01E</t>
        </is>
      </c>
      <c r="P14" s="437" t="inlineStr">
        <is>
          <t>0xc30A6E81d78ec8d5CCA05Ca0E99d6a02a7f3596B</t>
        </is>
      </c>
      <c r="Q14" s="441" t="inlineStr">
        <is>
          <t>[wallet TBD at close]</t>
        </is>
      </c>
      <c r="R14" s="437" t="inlineStr">
        <is>
          <t>0x78224046bE0566E28573391A64D2c3910D06b858</t>
        </is>
      </c>
      <c r="S14" s="442" t="n"/>
      <c r="T14" s="443" t="n"/>
      <c r="U14" s="444" t="n"/>
      <c r="V14" s="379" t="n"/>
      <c r="W14" s="379" t="n"/>
      <c r="X14" s="381" t="n"/>
      <c r="Y14" s="381" t="n"/>
      <c r="Z14" s="381" t="n"/>
      <c r="AA14" s="381" t="n"/>
      <c r="AB14" s="445" t="n"/>
      <c r="AC14" s="446" t="n"/>
      <c r="AD14" s="381" t="n"/>
      <c r="AE14" s="381" t="n"/>
      <c r="AF14" s="381" t="n"/>
      <c r="AG14" s="381" t="n"/>
      <c r="AH14" s="381" t="n"/>
      <c r="AI14" s="381" t="n"/>
      <c r="AJ14" s="381" t="n"/>
      <c r="AK14" s="381" t="n"/>
      <c r="AL14" s="381" t="n"/>
      <c r="AM14" s="381" t="n"/>
      <c r="AN14" s="381" t="n"/>
      <c r="AO14" s="381" t="n"/>
      <c r="AP14" s="381" t="n"/>
      <c r="AQ14" s="381" t="n"/>
      <c r="AR14" s="381" t="n"/>
    </row>
    <row r="15" ht="15" customHeight="1" s="375">
      <c r="A15" s="383" t="n"/>
      <c r="B15" s="430" t="inlineStr">
        <is>
          <t>Wallet Control</t>
        </is>
      </c>
      <c r="C15" s="447" t="inlineStr">
        <is>
          <t>Gnosis Safe on Base; signers V. Smelov and P. Pérez Pazos; thresholds to be fixed before TGE</t>
        </is>
      </c>
      <c r="D15" s="447" t="inlineStr">
        <is>
          <t>Gnosis Safe on Base; signers V. Smelov and P. Pérez Pazos; thresholds to be fixed before TGE</t>
        </is>
      </c>
      <c r="E15" s="447" t="inlineStr">
        <is>
          <t>Gnosis Safe on Base; signers V. Smelov and P. Pérez Pazos; thresholds to be fixed before TGE</t>
        </is>
      </c>
      <c r="F15" s="447" t="inlineStr">
        <is>
          <t>Gnosis Safe on Base; signers V. Smelov and P. Pérez Pazos; thresholds to be fixed before TGE</t>
        </is>
      </c>
      <c r="G15" s="447" t="inlineStr">
        <is>
          <t>Gnosis Safe on Base; signers V. Smelov and P. Pérez Pazos; thresholds to be fixed before TGE</t>
        </is>
      </c>
      <c r="H15" s="447" t="inlineStr">
        <is>
          <t>Gnosis Safe on Base; signers V. Smelov and P. Pérez Pazos; thresholds to be fixed before TGE</t>
        </is>
      </c>
      <c r="I15" s="447" t="inlineStr">
        <is>
          <t>Gnosis Safe on Base; signers V. Smelov and P. Pérez Pazos; thresholds to be fixed before TGE</t>
        </is>
      </c>
      <c r="J15" s="447" t="inlineStr">
        <is>
          <t>Gnosis Safe on Base; signers V. Smelov and P. Pérez Pazos; thresholds to be fixed before TGE</t>
        </is>
      </c>
      <c r="K15" s="447" t="inlineStr">
        <is>
          <t>Gnosis Safe on Base; signers V. Smelov and P. Pérez Pazos; thresholds to be fixed before TGE</t>
        </is>
      </c>
      <c r="L15" s="447" t="inlineStr">
        <is>
          <t>Gnosis Safe on Base; signers V. Smelov and P. Pérez Pazos; thresholds to be fixed before TGE</t>
        </is>
      </c>
      <c r="M15" s="447" t="inlineStr">
        <is>
          <t>Gnosis Safe on Base; signers V. Smelov and P. Pérez Pazos; thresholds to be fixed before TGE</t>
        </is>
      </c>
      <c r="N15" s="447" t="inlineStr">
        <is>
          <t>Gnosis Safe on Base; signers V. Smelov and P. Pérez Pazos; thresholds to be fixed before TGE</t>
        </is>
      </c>
      <c r="O15" s="447" t="inlineStr">
        <is>
          <t>Gnosis Safe on Base; signers V. Smelov and P. Pérez Pazos; thresholds to be fixed before TGE</t>
        </is>
      </c>
      <c r="P15" s="447" t="inlineStr">
        <is>
          <t>Gnosis Safe on Base; signers V. Smelov and P. Pérez Pazos; thresholds to be fixed before TGE</t>
        </is>
      </c>
      <c r="Q15" s="447" t="inlineStr">
        <is>
          <t>Safe to be created at close</t>
        </is>
      </c>
      <c r="R15" s="447" t="inlineStr">
        <is>
          <t>Gnosis Safe on Base; signers V. Smelov and P. Pérez Pazos; thresholds to be fixed before TGE</t>
        </is>
      </c>
      <c r="S15" s="448" t="inlineStr">
        <is>
          <t>n/a (paid from the emissions pocket)</t>
        </is>
      </c>
      <c r="T15" s="443" t="n"/>
      <c r="U15" s="444" t="n"/>
      <c r="V15" s="379" t="n"/>
      <c r="W15" s="379" t="n"/>
      <c r="X15" s="381" t="n"/>
      <c r="Y15" s="381" t="n"/>
      <c r="Z15" s="381" t="n"/>
      <c r="AA15" s="381" t="n"/>
      <c r="AB15" s="423" t="n"/>
      <c r="AC15" s="381" t="n"/>
      <c r="AD15" s="381" t="n"/>
      <c r="AE15" s="381" t="n"/>
      <c r="AF15" s="381" t="n"/>
      <c r="AG15" s="381" t="n"/>
      <c r="AH15" s="381" t="n"/>
      <c r="AI15" s="381" t="n"/>
      <c r="AJ15" s="381" t="n"/>
      <c r="AK15" s="381" t="n"/>
      <c r="AL15" s="381" t="n"/>
      <c r="AM15" s="381" t="n"/>
      <c r="AN15" s="381" t="n"/>
      <c r="AO15" s="381" t="n"/>
      <c r="AP15" s="381" t="n"/>
      <c r="AQ15" s="381" t="n"/>
      <c r="AR15" s="381" t="n"/>
    </row>
    <row r="16" ht="15" customHeight="1" s="375">
      <c r="A16" s="383" t="n"/>
      <c r="B16" s="430" t="inlineStr">
        <is>
          <t>Hardcoded in Smart contract</t>
        </is>
      </c>
      <c r="C16" s="447" t="inlineStr">
        <is>
          <t>No</t>
        </is>
      </c>
      <c r="D16" s="447" t="inlineStr">
        <is>
          <t>No</t>
        </is>
      </c>
      <c r="E16" s="447" t="inlineStr">
        <is>
          <t>No</t>
        </is>
      </c>
      <c r="F16" s="447" t="inlineStr">
        <is>
          <t>No</t>
        </is>
      </c>
      <c r="G16" s="447" t="inlineStr">
        <is>
          <t>No</t>
        </is>
      </c>
      <c r="H16" s="447" t="inlineStr">
        <is>
          <t>No</t>
        </is>
      </c>
      <c r="I16" s="447" t="inlineStr">
        <is>
          <t>No</t>
        </is>
      </c>
      <c r="J16" s="447" t="inlineStr">
        <is>
          <t>No</t>
        </is>
      </c>
      <c r="K16" s="447" t="inlineStr">
        <is>
          <t>No</t>
        </is>
      </c>
      <c r="L16" s="447" t="inlineStr">
        <is>
          <t>No</t>
        </is>
      </c>
      <c r="M16" s="447" t="inlineStr">
        <is>
          <t>No</t>
        </is>
      </c>
      <c r="N16" s="447" t="inlineStr">
        <is>
          <t>No</t>
        </is>
      </c>
      <c r="O16" s="447" t="inlineStr">
        <is>
          <t>No</t>
        </is>
      </c>
      <c r="P16" s="447" t="inlineStr">
        <is>
          <t>No</t>
        </is>
      </c>
      <c r="Q16" s="447" t="inlineStr">
        <is>
          <t>No</t>
        </is>
      </c>
      <c r="R16" s="447" t="inlineStr">
        <is>
          <t>No</t>
        </is>
      </c>
      <c r="S16" s="447" t="inlineStr">
        <is>
          <t>n/a</t>
        </is>
      </c>
      <c r="T16" s="443" t="n"/>
      <c r="U16" s="444" t="n"/>
      <c r="V16" s="379" t="n"/>
      <c r="W16" s="379" t="n"/>
      <c r="X16" s="381" t="n"/>
      <c r="Y16" s="381" t="n"/>
      <c r="Z16" s="381" t="n"/>
      <c r="AA16" s="381" t="n"/>
      <c r="AB16" s="423" t="n"/>
      <c r="AC16" s="381" t="n"/>
      <c r="AD16" s="381" t="n"/>
      <c r="AE16" s="381" t="n"/>
      <c r="AF16" s="381" t="n"/>
      <c r="AG16" s="381" t="n"/>
      <c r="AH16" s="381" t="n"/>
      <c r="AI16" s="381" t="n"/>
      <c r="AJ16" s="381" t="n"/>
      <c r="AK16" s="381" t="n"/>
      <c r="AL16" s="381" t="n"/>
      <c r="AM16" s="381" t="n"/>
      <c r="AN16" s="381" t="n"/>
      <c r="AO16" s="381" t="n"/>
      <c r="AP16" s="381" t="n"/>
      <c r="AQ16" s="381" t="n"/>
      <c r="AR16" s="381" t="n"/>
    </row>
    <row r="17" ht="15" customHeight="1" s="375">
      <c r="A17" s="383" t="n"/>
      <c r="B17" s="430" t="inlineStr">
        <is>
          <t>Token Allocation</t>
        </is>
      </c>
      <c r="C17" s="449" t="n">
        <v>10331395.2660156</v>
      </c>
      <c r="D17" s="450" t="n">
        <v>27309256.4103347</v>
      </c>
      <c r="E17" s="450" t="n">
        <v>16385553.8462008</v>
      </c>
      <c r="F17" s="450" t="n">
        <v>10923702.5641339</v>
      </c>
      <c r="G17" s="450" t="n">
        <v>10923702.5641339</v>
      </c>
      <c r="H17" s="450" t="n">
        <v>10923702.5641339</v>
      </c>
      <c r="I17" s="450" t="n">
        <v>10923702.5641339</v>
      </c>
      <c r="J17" s="450" t="n">
        <v>2278984.22091329</v>
      </c>
      <c r="K17" s="451" t="n">
        <v>430000000</v>
      </c>
      <c r="L17" s="451" t="n">
        <v>95000000</v>
      </c>
      <c r="M17" s="451" t="n">
        <v>50000000</v>
      </c>
      <c r="N17" s="451" t="n">
        <v>40000000</v>
      </c>
      <c r="O17" s="451" t="n">
        <v>50000000</v>
      </c>
      <c r="P17" s="451" t="n">
        <v>30000000</v>
      </c>
      <c r="Q17" s="451" t="n">
        <v>200000000</v>
      </c>
      <c r="R17" s="451" t="n">
        <v>5000000</v>
      </c>
      <c r="S17" s="442" t="n">
        <v>0</v>
      </c>
      <c r="T17" s="452">
        <f>SUM(C17:R17)</f>
        <v>1000000000.0</v>
      </c>
      <c r="U17" s="453">
        <f>T17+S17</f>
        <v>1000000000.0</v>
      </c>
      <c r="V17" s="379" t="n"/>
      <c r="W17" s="454">
        <f>T17-C8</f>
        <v>0.0</v>
      </c>
      <c r="X17" s="381" t="n"/>
      <c r="Y17" s="381" t="n"/>
      <c r="Z17" s="381" t="n"/>
      <c r="AA17" s="381" t="n"/>
      <c r="AB17" s="423" t="n"/>
      <c r="AC17" s="381" t="n"/>
      <c r="AD17" s="381" t="n"/>
      <c r="AE17" s="381" t="n"/>
      <c r="AF17" s="381" t="n"/>
      <c r="AG17" s="381" t="n"/>
      <c r="AH17" s="381" t="n"/>
      <c r="AI17" s="381" t="n"/>
      <c r="AJ17" s="381" t="n"/>
      <c r="AK17" s="381" t="n"/>
      <c r="AL17" s="381" t="n"/>
      <c r="AM17" s="381" t="n"/>
      <c r="AN17" s="381" t="n"/>
      <c r="AO17" s="381" t="n"/>
      <c r="AP17" s="381" t="n"/>
      <c r="AQ17" s="381" t="n"/>
      <c r="AR17" s="381" t="n"/>
    </row>
    <row r="18" ht="15" customHeight="1" s="375">
      <c r="A18" s="383" t="n"/>
      <c r="B18" s="430" t="inlineStr">
        <is>
          <t>Checker</t>
        </is>
      </c>
      <c r="C18" s="455">
        <f>SUM(C28:C113)</f>
        <v>10331395.266015602</v>
      </c>
      <c r="D18" s="456">
        <f>SUM(D28:D113)</f>
        <v>27309256.410334695</v>
      </c>
      <c r="E18" s="456">
        <f>SUM(E28:E113)</f>
        <v>16385553.846200831</v>
      </c>
      <c r="F18" s="456">
        <f>SUM(F28:F113)</f>
        <v>10923702.564133877</v>
      </c>
      <c r="G18" s="456">
        <f>SUM(G28:G113)</f>
        <v>10923702.564133877</v>
      </c>
      <c r="H18" s="456">
        <f>SUM(H28:H113)</f>
        <v>10923702.564133877</v>
      </c>
      <c r="I18" s="456">
        <f>SUM(I28:I113)</f>
        <v>10923702.564133877</v>
      </c>
      <c r="J18" s="456">
        <f>SUM(J28:J113)</f>
        <v>2278984.2209132835</v>
      </c>
      <c r="K18" s="456">
        <f>SUM(K28:K113)</f>
        <v>430000000.0</v>
      </c>
      <c r="L18" s="456">
        <f>SUM(L28:L113)</f>
        <v>94999999.99999988</v>
      </c>
      <c r="M18" s="456">
        <f>SUM(M28:M113)</f>
        <v>49999999.999999896</v>
      </c>
      <c r="N18" s="456">
        <f>SUM(N28:N113)</f>
        <v>40000000.0</v>
      </c>
      <c r="O18" s="456">
        <f>SUM(O28:O113)</f>
        <v>50000000.0</v>
      </c>
      <c r="P18" s="456">
        <f>SUM(P28:P113)</f>
        <v>30000000.0</v>
      </c>
      <c r="Q18" s="456">
        <f>SUM(Q28:Q113)</f>
        <v>199999999.99999994</v>
      </c>
      <c r="R18" s="456">
        <f>SUM(R28:R113)</f>
        <v>5000000.0</v>
      </c>
      <c r="S18" s="456">
        <f>SUM(S28:S113)</f>
        <v>0.0</v>
      </c>
      <c r="T18" s="457" t="n"/>
      <c r="U18" s="444" t="n"/>
      <c r="V18" s="379" t="n"/>
      <c r="W18" s="379" t="n"/>
      <c r="X18" s="381" t="n"/>
      <c r="Y18" s="381" t="n"/>
      <c r="Z18" s="381" t="n"/>
      <c r="AA18" s="381" t="n"/>
      <c r="AB18" s="423" t="n"/>
      <c r="AC18" s="381" t="n"/>
      <c r="AD18" s="381" t="n"/>
      <c r="AE18" s="381" t="n"/>
      <c r="AF18" s="381" t="n"/>
      <c r="AG18" s="381" t="n"/>
      <c r="AH18" s="381" t="n"/>
      <c r="AI18" s="381" t="n"/>
      <c r="AJ18" s="381" t="n"/>
      <c r="AK18" s="381" t="n"/>
      <c r="AL18" s="381" t="n"/>
      <c r="AM18" s="381" t="n"/>
      <c r="AN18" s="381" t="n"/>
      <c r="AO18" s="381" t="n"/>
      <c r="AP18" s="381" t="n"/>
      <c r="AQ18" s="381" t="n"/>
      <c r="AR18" s="381" t="n"/>
    </row>
    <row r="19" ht="15" customHeight="1" s="375">
      <c r="A19" s="383" t="n"/>
      <c r="B19" s="458" t="inlineStr">
        <is>
          <t>% of Total Supply (Genesis)</t>
        </is>
      </c>
      <c r="C19" s="459">
        <f>IFERROR(C17/$T$17,"")</f>
        <v>0.0103313953</v>
      </c>
      <c r="D19" s="460">
        <f>IFERROR(D17/$T$17,"")</f>
        <v>0.0273092564</v>
      </c>
      <c r="E19" s="460">
        <f>IFERROR(E17/$T$17,"")</f>
        <v>0.0163855538</v>
      </c>
      <c r="F19" s="460">
        <f>IFERROR(F17/$T$17,"")</f>
        <v>0.0109237026</v>
      </c>
      <c r="G19" s="460">
        <f>IFERROR(G17/$T$17,"")</f>
        <v>0.0109237026</v>
      </c>
      <c r="H19" s="460">
        <f>IFERROR(H17/$T$17,"")</f>
        <v>0.0109237026</v>
      </c>
      <c r="I19" s="460">
        <f>IFERROR(I17/$T$17,"")</f>
        <v>0.0109237026</v>
      </c>
      <c r="J19" s="460">
        <f>IFERROR(J17/$T$17,"")</f>
        <v>0.0022789842</v>
      </c>
      <c r="K19" s="461">
        <f>IFERROR(K17/$T$17,"")</f>
        <v>0.43</v>
      </c>
      <c r="L19" s="461">
        <f>IFERROR(L17/$T$17,"")</f>
        <v>0.095</v>
      </c>
      <c r="M19" s="461">
        <f>IFERROR(M17/$T$17,"")</f>
        <v>0.05</v>
      </c>
      <c r="N19" s="461">
        <f>IFERROR(N17/$T$17,"")</f>
        <v>0.04</v>
      </c>
      <c r="O19" s="461">
        <f>IFERROR(O17/$T$17,"")</f>
        <v>0.05</v>
      </c>
      <c r="P19" s="461">
        <f>IFERROR(P17/$T$17,"")</f>
        <v>0.03</v>
      </c>
      <c r="Q19" s="461">
        <f>IFERROR(Q17/$T$17,"")</f>
        <v>0.2</v>
      </c>
      <c r="R19" s="461">
        <f>IFERROR(R17/$T$17,"")</f>
        <v>0.005</v>
      </c>
      <c r="S19" s="462" t="n"/>
      <c r="T19" s="463">
        <f>SUM(C19:R19)</f>
        <v>1.0</v>
      </c>
      <c r="U19" s="435" t="n"/>
      <c r="V19" s="379" t="n"/>
      <c r="W19" s="379" t="n"/>
      <c r="X19" s="381" t="n"/>
      <c r="Y19" s="381" t="n"/>
      <c r="Z19" s="381" t="n"/>
      <c r="AA19" s="381" t="n"/>
      <c r="AB19" s="379" t="n"/>
      <c r="AC19" s="381" t="n"/>
      <c r="AD19" s="381" t="n"/>
      <c r="AE19" s="381" t="n"/>
      <c r="AF19" s="381" t="n"/>
      <c r="AG19" s="381" t="n"/>
      <c r="AH19" s="381" t="n"/>
      <c r="AI19" s="381" t="n"/>
      <c r="AJ19" s="381" t="n"/>
      <c r="AK19" s="381" t="n"/>
      <c r="AL19" s="381" t="n"/>
      <c r="AM19" s="381" t="n"/>
      <c r="AN19" s="381" t="n"/>
      <c r="AO19" s="381" t="n"/>
      <c r="AP19" s="381" t="n"/>
      <c r="AQ19" s="381" t="n"/>
      <c r="AR19" s="381" t="n"/>
    </row>
    <row r="20" ht="15" customHeight="1" s="375">
      <c r="A20" s="383" t="n"/>
      <c r="B20" s="464" t="inlineStr">
        <is>
          <t>% of Total Supply (Max)</t>
        </is>
      </c>
      <c r="C20" s="465">
        <f>IFERROR(C17/$U$17,"")</f>
        <v>0.0103313953</v>
      </c>
      <c r="D20" s="466">
        <f>IFERROR(D17/$U$17,"")</f>
        <v>0.0273092564</v>
      </c>
      <c r="E20" s="466">
        <f>IFERROR(E17/$T$17,"")</f>
        <v>0.0163855538</v>
      </c>
      <c r="F20" s="466">
        <f>IFERROR(F17/$T$17,"")</f>
        <v>0.0109237026</v>
      </c>
      <c r="G20" s="466">
        <f>IFERROR(G17/$T$17,"")</f>
        <v>0.0109237026</v>
      </c>
      <c r="H20" s="466">
        <f>IFERROR(H17/$T$17,"")</f>
        <v>0.0109237026</v>
      </c>
      <c r="I20" s="466">
        <f>IFERROR(I17/$U$17,"")</f>
        <v>0.0109237026</v>
      </c>
      <c r="J20" s="466">
        <f>IFERROR(J17/$U$17,"")</f>
        <v>0.0022789842</v>
      </c>
      <c r="K20" s="467">
        <f>IFERROR(K17/$U$17,"")</f>
        <v>0.43</v>
      </c>
      <c r="L20" s="467">
        <f>IFERROR(L17/$U$17,"")</f>
        <v>0.095</v>
      </c>
      <c r="M20" s="467">
        <f>IFERROR(M17/$U$17,"")</f>
        <v>0.05</v>
      </c>
      <c r="N20" s="467">
        <f>IFERROR(N17/$U$17,"")</f>
        <v>0.04</v>
      </c>
      <c r="O20" s="467">
        <f>IFERROR(O17/$U$17,"")</f>
        <v>0.05</v>
      </c>
      <c r="P20" s="467">
        <f>IFERROR(P17/$U$17,"")</f>
        <v>0.03</v>
      </c>
      <c r="Q20" s="467">
        <f>IFERROR(Q17/$U$17,"")</f>
        <v>0.2</v>
      </c>
      <c r="R20" s="467">
        <f>IFERROR(R17/$U$17,"")</f>
        <v>0.005</v>
      </c>
      <c r="S20" s="468">
        <f>IFERROR(S17/$U$17,"")</f>
        <v>0.0</v>
      </c>
      <c r="T20" s="469" t="n"/>
      <c r="U20" s="470">
        <f>SUM(C20:S20)</f>
        <v>1.0</v>
      </c>
      <c r="V20" s="379" t="n"/>
      <c r="W20" s="379" t="n"/>
      <c r="X20" s="381" t="n"/>
      <c r="Y20" s="381" t="n"/>
      <c r="Z20" s="381" t="n"/>
      <c r="AA20" s="381" t="n"/>
      <c r="AB20" s="379" t="n"/>
      <c r="AC20" s="381" t="n"/>
      <c r="AD20" s="381" t="n"/>
      <c r="AE20" s="381" t="n"/>
      <c r="AF20" s="381" t="n"/>
      <c r="AG20" s="381" t="n"/>
      <c r="AH20" s="381" t="n"/>
      <c r="AI20" s="381" t="n"/>
      <c r="AJ20" s="381" t="n"/>
      <c r="AK20" s="381" t="n"/>
      <c r="AL20" s="381" t="n"/>
      <c r="AM20" s="381" t="n"/>
      <c r="AN20" s="381" t="n"/>
      <c r="AO20" s="381" t="n"/>
      <c r="AP20" s="381" t="n"/>
      <c r="AQ20" s="381" t="n"/>
      <c r="AR20" s="381" t="n"/>
    </row>
    <row r="21" ht="15.75" customHeight="1" s="375">
      <c r="A21" s="383" t="n"/>
      <c r="B21" s="430" t="inlineStr">
        <is>
          <t>Token Price ($)</t>
        </is>
      </c>
      <c r="C21" s="471" t="n">
        <v>0.0967923486375</v>
      </c>
      <c r="D21" s="472" t="n">
        <v>0.1716450982505</v>
      </c>
      <c r="E21" s="472" t="n">
        <v>0.1716450982505</v>
      </c>
      <c r="F21" s="472" t="n">
        <v>0.1716450982505</v>
      </c>
      <c r="G21" s="472" t="n">
        <v>0.1716450982505</v>
      </c>
      <c r="H21" s="472" t="n">
        <v>0.1716450982505</v>
      </c>
      <c r="I21" s="472" t="n">
        <v>0.1716450982505</v>
      </c>
      <c r="J21" s="472" t="n">
        <v>0.219395990245</v>
      </c>
      <c r="K21" s="473" t="n"/>
      <c r="L21" s="474" t="n"/>
      <c r="M21" s="474" t="n"/>
      <c r="N21" s="474" t="n"/>
      <c r="O21" s="474" t="n"/>
      <c r="P21" s="474" t="n"/>
      <c r="Q21" s="475" t="n">
        <v>0.16</v>
      </c>
      <c r="R21" s="474" t="n"/>
      <c r="S21" s="476" t="n"/>
      <c r="T21" s="477" t="n"/>
      <c r="U21" s="435" t="n"/>
      <c r="V21" s="379" t="n"/>
      <c r="W21" s="379" t="n"/>
      <c r="X21" s="381" t="n"/>
      <c r="Y21" s="381" t="n"/>
      <c r="Z21" s="381" t="n"/>
      <c r="AA21" s="381" t="n"/>
      <c r="AB21" s="379" t="n"/>
      <c r="AC21" s="381" t="n"/>
      <c r="AD21" s="381" t="n"/>
      <c r="AE21" s="381" t="n"/>
      <c r="AF21" s="381" t="n"/>
      <c r="AG21" s="381" t="n"/>
      <c r="AH21" s="381" t="n"/>
      <c r="AI21" s="381" t="n"/>
      <c r="AJ21" s="381" t="n"/>
      <c r="AK21" s="381" t="n"/>
      <c r="AL21" s="381" t="n"/>
      <c r="AM21" s="381" t="n"/>
      <c r="AN21" s="381" t="n"/>
      <c r="AO21" s="381" t="n"/>
      <c r="AP21" s="381" t="n"/>
      <c r="AQ21" s="381" t="n"/>
      <c r="AR21" s="381" t="n"/>
    </row>
    <row r="22" ht="15.75" customHeight="1" s="375">
      <c r="A22" s="383" t="n"/>
      <c r="B22" s="430" t="inlineStr">
        <is>
          <t>Amount Raised ($)</t>
        </is>
      </c>
      <c r="C22" s="478">
        <f>IFERROR(C21*C17,"-")</f>
        <v>1000000.012499999</v>
      </c>
      <c r="D22" s="479">
        <f>IFERROR(D21*D17,"-")</f>
        <v>4687499.999699997</v>
      </c>
      <c r="E22" s="479">
        <f>IFERROR(E21*E17,"-")</f>
        <v>2812499.9998199944</v>
      </c>
      <c r="F22" s="479">
        <f>IFERROR(F21*F17,"-")</f>
        <v>1874999.9998800019</v>
      </c>
      <c r="G22" s="479">
        <f>IFERROR(G21*G17,"-")</f>
        <v>1874999.9998800019</v>
      </c>
      <c r="H22" s="479">
        <f>IFERROR(H21*H17,"-")</f>
        <v>1874999.9998800019</v>
      </c>
      <c r="I22" s="479">
        <f>IFERROR(I21*I17,"-")</f>
        <v>1874999.9998800019</v>
      </c>
      <c r="J22" s="479">
        <f>IFERROR(J21*J17,"-")</f>
        <v>499999.9999000011</v>
      </c>
      <c r="K22" s="479" t="n"/>
      <c r="L22" s="479" t="n"/>
      <c r="M22" s="479" t="n"/>
      <c r="N22" s="479" t="n"/>
      <c r="O22" s="479" t="n"/>
      <c r="P22" s="479" t="n"/>
      <c r="Q22" s="479">
        <f>IFERROR(Q21*Q17,"-")</f>
        <v>32000000.0</v>
      </c>
      <c r="R22" s="479" t="n"/>
      <c r="S22" s="480" t="n"/>
      <c r="T22" s="481">
        <f>SUM(C22:R22)</f>
        <v>48500000.01144</v>
      </c>
      <c r="U22" s="482" t="n"/>
      <c r="V22" s="379" t="n"/>
      <c r="W22" s="379" t="n"/>
      <c r="X22" s="381" t="n"/>
      <c r="Y22" s="381" t="n"/>
      <c r="Z22" s="381" t="n"/>
      <c r="AA22" s="381" t="n"/>
      <c r="AB22" s="483" t="n"/>
      <c r="AC22" s="381" t="n"/>
      <c r="AD22" s="381" t="n"/>
      <c r="AE22" s="381" t="n"/>
      <c r="AF22" s="381" t="n"/>
      <c r="AG22" s="381" t="n"/>
      <c r="AH22" s="381" t="n"/>
      <c r="AI22" s="381" t="n"/>
      <c r="AJ22" s="381" t="n"/>
      <c r="AK22" s="381" t="n"/>
      <c r="AL22" s="381" t="n"/>
      <c r="AM22" s="381" t="n"/>
      <c r="AN22" s="381" t="n"/>
      <c r="AO22" s="381" t="n"/>
      <c r="AP22" s="381" t="n"/>
      <c r="AQ22" s="381" t="n"/>
      <c r="AR22" s="381" t="n"/>
    </row>
    <row r="23" ht="15.75" customHeight="1" s="375">
      <c r="A23" s="484" t="n"/>
      <c r="B23" s="485" t="inlineStr">
        <is>
          <t>Valuation  ($)</t>
        </is>
      </c>
      <c r="C23" s="478">
        <f>IFERROR(C22/C19,"")</f>
        <v>96792348.6375</v>
      </c>
      <c r="D23" s="479">
        <f>IFERROR(D22/D19,"")</f>
        <v>171645098.25050002</v>
      </c>
      <c r="E23" s="479">
        <f>IFERROR(E22/E19,"")</f>
        <v>171645098.2505</v>
      </c>
      <c r="F23" s="479">
        <f>IFERROR(F22/F19,"")</f>
        <v>171645098.2505</v>
      </c>
      <c r="G23" s="479">
        <f>IFERROR(G22/G19,"")</f>
        <v>171645098.2505</v>
      </c>
      <c r="H23" s="479">
        <f>IFERROR(H22/H19,"")</f>
        <v>171645098.2505</v>
      </c>
      <c r="I23" s="479">
        <f>IFERROR(I22/I19,"")</f>
        <v>171645098.2505</v>
      </c>
      <c r="J23" s="479">
        <f>IFERROR(J22/J19,"")</f>
        <v>219395990.24499997</v>
      </c>
      <c r="K23" s="479" t="n"/>
      <c r="L23" s="479" t="n"/>
      <c r="M23" s="479" t="n"/>
      <c r="N23" s="479" t="n"/>
      <c r="O23" s="479" t="n"/>
      <c r="P23" s="479" t="n"/>
      <c r="Q23" s="479">
        <f>IFERROR(Q22/Q19,"")</f>
        <v>160000000.0</v>
      </c>
      <c r="R23" s="479" t="n"/>
      <c r="S23" s="480">
        <f>IFERROR(S22/S19,"")</f>
        <v/>
      </c>
      <c r="T23" s="486" t="n"/>
      <c r="U23" s="487" t="n"/>
      <c r="V23" s="379" t="n"/>
      <c r="W23" s="379" t="n"/>
      <c r="X23" s="381" t="n"/>
      <c r="Y23" s="381" t="n"/>
      <c r="Z23" s="381" t="n"/>
      <c r="AA23" s="381" t="n"/>
      <c r="AB23" s="483" t="n"/>
      <c r="AC23" s="381" t="n"/>
      <c r="AD23" s="381" t="n"/>
      <c r="AE23" s="381" t="n"/>
      <c r="AF23" s="381" t="n"/>
      <c r="AG23" s="381" t="n"/>
      <c r="AH23" s="381" t="n"/>
      <c r="AI23" s="381" t="n"/>
      <c r="AJ23" s="381" t="n"/>
      <c r="AK23" s="381" t="n"/>
      <c r="AL23" s="381" t="n"/>
      <c r="AM23" s="381" t="n"/>
      <c r="AN23" s="381" t="n"/>
      <c r="AO23" s="381" t="n"/>
      <c r="AP23" s="381" t="n"/>
      <c r="AQ23" s="381" t="n"/>
      <c r="AR23" s="381" t="n"/>
    </row>
    <row r="24" ht="76.5" customHeight="1" s="375">
      <c r="A24" s="488" t="n"/>
      <c r="B24" s="489" t="inlineStr">
        <is>
          <t>Vesting Schedule</t>
        </is>
      </c>
      <c r="C24" s="490" t="inlineStr">
        <is>
          <t>(1.03%): 0% TGE, 1Y cliff, 48M linear (T+13-T+60).</t>
        </is>
      </c>
      <c r="D24" s="490" t="inlineStr">
        <is>
          <t>(2.73%): 0% TGE, 1Y cliff, 48M linear (T+13-T+60).</t>
        </is>
      </c>
      <c r="E24" s="490" t="inlineStr">
        <is>
          <t>(1.64%): 0% TGE, 1Y cliff, 48M linear (T+13-T+60).</t>
        </is>
      </c>
      <c r="F24" s="490" t="inlineStr">
        <is>
          <t>(1.09%): 0% TGE, 1Y cliff, 48M linear (T+13-T+60).</t>
        </is>
      </c>
      <c r="G24" s="490" t="inlineStr">
        <is>
          <t>(1.09%): 0% TGE, 1Y cliff, 48M linear (T+13-T+60).</t>
        </is>
      </c>
      <c r="H24" s="490" t="inlineStr">
        <is>
          <t>(1.09%): 0% TGE, 1Y cliff, 48M linear (T+13-T+60).</t>
        </is>
      </c>
      <c r="I24" s="490" t="inlineStr">
        <is>
          <t>(1.09%): 0% TGE, 1Y cliff, 48M linear (T+13-T+60).</t>
        </is>
      </c>
      <c r="J24" s="490" t="inlineStr">
        <is>
          <t>(0.23%): 0% TGE, 1Y cliff, 48M linear (T+13-T+60).</t>
        </is>
      </c>
      <c r="K24" s="490" t="inlineStr">
        <is>
          <t>Declining annual cap: 48M in Yr1, stepping down 15%/yr; actual issuance = lesser of the cap and a usage-linked formula (KNX per verified attested task, halving annually). Starts T+4.</t>
        </is>
      </c>
      <c r="L24" s="490" t="inlineStr">
        <is>
          <t>(9.50%): 40M unlocked at TGE (itemised against listing &amp; liquidity obligations); 55M linear T+1-T+30.</t>
        </is>
      </c>
      <c r="M24" s="490" t="inlineStr">
        <is>
          <t>(5.00%): 2% TGE, 6M cliff on remainder, 2.5Y linear monthly vesting (M7–M36)</t>
        </is>
      </c>
      <c r="N24" s="490" t="inlineStr">
        <is>
          <t>(4.00%): 2.5% TGE, 1Y cliff on remainder, 2Y linear monthly vesting (M12–M36)</t>
        </is>
      </c>
      <c r="O24" s="490" t="inlineStr">
        <is>
          <t>(5.00%): 0% TGE, 1Y cliff on remainder, 2Y linear monthly vesting (M13–M38)</t>
        </is>
      </c>
      <c r="P24" s="490" t="inlineStr">
        <is>
          <t>(3.00%): Fully unlock at TGE - market-maker retainer inventory.</t>
        </is>
      </c>
      <c r="Q24" s="490" t="inlineStr">
        <is>
          <t>(20.00%): 0% TGE, 1Y cliff, 24M linear (T+13-T+36).</t>
        </is>
      </c>
      <c r="R24" s="490" t="inlineStr">
        <is>
          <t>(0.50%): Fully unlock at TGE - retroactive, unconditional community airdrop.</t>
        </is>
      </c>
      <c r="S24" s="490" t="inlineStr">
        <is>
          <t>xxx</t>
        </is>
      </c>
      <c r="T24" s="382" t="n"/>
      <c r="U24" s="491" t="n"/>
      <c r="V24" s="379" t="n"/>
      <c r="W24" s="379" t="n"/>
      <c r="X24" s="381" t="n"/>
      <c r="Y24" s="381" t="n"/>
      <c r="Z24" s="381" t="n"/>
      <c r="AA24" s="381" t="n"/>
      <c r="AB24" s="483" t="n"/>
      <c r="AC24" s="381" t="n"/>
      <c r="AD24" s="381" t="n"/>
      <c r="AE24" s="381" t="n"/>
      <c r="AF24" s="381" t="n"/>
      <c r="AG24" s="381" t="n"/>
      <c r="AH24" s="381" t="n"/>
      <c r="AI24" s="381" t="n"/>
      <c r="AJ24" s="381" t="n"/>
      <c r="AK24" s="381" t="n"/>
      <c r="AL24" s="381" t="n"/>
      <c r="AM24" s="381" t="n"/>
      <c r="AN24" s="381" t="n"/>
      <c r="AO24" s="381" t="n"/>
      <c r="AP24" s="381" t="n"/>
      <c r="AQ24" s="381" t="n"/>
      <c r="AR24" s="381" t="n"/>
    </row>
    <row r="25" ht="148.5" customHeight="1" s="375">
      <c r="A25" s="492">
        <f>T25</f>
        <v>0.077</v>
      </c>
      <c r="B25" s="489" t="inlineStr">
        <is>
          <t>% of Max Supply will be available for trading at TGE (unlocked tokens do not necessarily go into real float. Please do not count in the tokens that are not TRADEABLE by your retail holders in this row. This row can be different from circulation %)</t>
        </is>
      </c>
      <c r="C25" s="493" t="n">
        <v>0</v>
      </c>
      <c r="D25" s="493" t="n">
        <v>0</v>
      </c>
      <c r="E25" s="493" t="n">
        <v>0</v>
      </c>
      <c r="F25" s="493" t="n">
        <v>0</v>
      </c>
      <c r="G25" s="493" t="n">
        <v>0</v>
      </c>
      <c r="H25" s="493" t="n">
        <v>0</v>
      </c>
      <c r="I25" s="493" t="n">
        <v>0</v>
      </c>
      <c r="J25" s="493" t="n">
        <v>0</v>
      </c>
      <c r="K25" s="493" t="n">
        <v>0</v>
      </c>
      <c r="L25" s="494">
        <f>L28/$C$8</f>
        <v>0.04</v>
      </c>
      <c r="M25" s="493">
        <f>M28/$C$8</f>
        <v>0.001</v>
      </c>
      <c r="N25" s="495">
        <f>N28/$C$8</f>
        <v>0.001</v>
      </c>
      <c r="O25" s="496" t="n">
        <v>0</v>
      </c>
      <c r="P25" s="496">
        <f>P28/$C$8</f>
        <v>0.03</v>
      </c>
      <c r="Q25" s="493">
        <f>Q28/$C$9</f>
        <v>0.0</v>
      </c>
      <c r="R25" s="494">
        <f>R28/$C$8</f>
        <v>0.005</v>
      </c>
      <c r="S25" s="497" t="n">
        <v>0</v>
      </c>
      <c r="T25" s="498">
        <f>SUM(C25:S25)</f>
        <v>0.077</v>
      </c>
      <c r="U25" s="379" t="n"/>
      <c r="V25" s="379" t="n"/>
      <c r="W25" s="379" t="n"/>
      <c r="X25" s="381" t="n"/>
      <c r="Y25" s="381" t="n"/>
      <c r="Z25" s="381" t="n"/>
      <c r="AA25" s="381" t="n"/>
      <c r="AB25" s="483" t="n"/>
      <c r="AC25" s="381" t="n"/>
      <c r="AD25" s="381" t="n"/>
      <c r="AE25" s="381" t="n"/>
      <c r="AF25" s="381" t="n"/>
      <c r="AG25" s="381" t="n"/>
      <c r="AH25" s="381" t="n"/>
      <c r="AI25" s="381" t="n"/>
      <c r="AJ25" s="381" t="n"/>
      <c r="AK25" s="381" t="n"/>
      <c r="AL25" s="381" t="n"/>
      <c r="AM25" s="381" t="n"/>
      <c r="AN25" s="381" t="n"/>
      <c r="AO25" s="381" t="n"/>
      <c r="AP25" s="381" t="n"/>
      <c r="AQ25" s="381" t="n"/>
      <c r="AR25" s="381" t="n"/>
    </row>
    <row r="26" ht="15.75" customHeight="1" s="375">
      <c r="A26" s="499" t="n"/>
      <c r="B26" s="499" t="inlineStr">
        <is>
          <t>Day of token vested in each month (1st, 15th, 30th...)</t>
        </is>
      </c>
      <c r="C26" s="500" t="inlineStr">
        <is>
          <t>15th</t>
        </is>
      </c>
      <c r="D26" s="381" t="n"/>
      <c r="E26" s="501" t="n"/>
      <c r="F26" s="501" t="n"/>
      <c r="G26" s="501" t="n"/>
      <c r="H26" s="501" t="n"/>
      <c r="I26" s="501" t="n"/>
      <c r="J26" s="501" t="n"/>
      <c r="K26" s="501" t="n"/>
      <c r="L26" s="501" t="n"/>
      <c r="M26" s="501" t="n"/>
      <c r="N26" s="501" t="n"/>
      <c r="O26" s="501" t="n"/>
      <c r="P26" s="501" t="n"/>
      <c r="Q26" s="501" t="n"/>
      <c r="R26" s="501" t="n"/>
      <c r="S26" s="502" t="n"/>
      <c r="T26" s="382" t="n"/>
      <c r="U26" s="379" t="n"/>
      <c r="V26" s="379" t="n"/>
      <c r="W26" s="379" t="n"/>
      <c r="X26" s="381" t="n"/>
      <c r="Y26" s="381" t="n"/>
      <c r="Z26" s="381" t="n"/>
      <c r="AA26" s="381" t="n"/>
      <c r="AB26" s="483" t="n"/>
      <c r="AC26" s="381" t="n"/>
      <c r="AD26" s="381" t="n"/>
      <c r="AE26" s="381" t="n"/>
      <c r="AF26" s="381" t="n"/>
      <c r="AG26" s="381" t="n"/>
      <c r="AH26" s="381" t="n"/>
      <c r="AI26" s="381" t="n"/>
      <c r="AJ26" s="381" t="n"/>
      <c r="AK26" s="381" t="n"/>
      <c r="AL26" s="381" t="n"/>
      <c r="AM26" s="381" t="n"/>
      <c r="AN26" s="381" t="n"/>
      <c r="AO26" s="381" t="n"/>
      <c r="AP26" s="381" t="n"/>
      <c r="AQ26" s="381" t="n"/>
      <c r="AR26" s="381" t="n"/>
    </row>
    <row r="27" ht="15.75" customHeight="1" s="375">
      <c r="A27" s="418" t="n"/>
      <c r="B27" s="418" t="n"/>
      <c r="C27" s="503" t="str">
        <f>C12</f>
        <v>Pre-seed (Brandon Torres Declet)</v>
      </c>
      <c r="D27" s="504" t="str">
        <f>D12</f>
        <v>Seed (LD Capital)</v>
      </c>
      <c r="E27" s="504" t="str">
        <f>E12</f>
        <v>Seed (Cogitent)</v>
      </c>
      <c r="F27" s="504" t="str">
        <f>F12</f>
        <v>Seed (Leland)</v>
      </c>
      <c r="G27" s="504" t="str">
        <f>G12</f>
        <v>Seed (M77)</v>
      </c>
      <c r="H27" s="504" t="str">
        <f>H12</f>
        <v>Seed (Block Maven)</v>
      </c>
      <c r="I27" s="504" t="str">
        <f>I12</f>
        <v>Seed (Covey)</v>
      </c>
      <c r="J27" s="504" t="str">
        <f>J12</f>
        <v>KOL round (T-Rex, K1, Nebula)</v>
      </c>
      <c r="K27" s="505" t="str">
        <f>K12</f>
        <v>Mining + Validator Emissions
Development</v>
      </c>
      <c r="L27" s="504" t="str">
        <f>L12</f>
        <v>Marketing</v>
      </c>
      <c r="M27" s="504" t="str">
        <f>M12</f>
        <v>Treasury and Reserves</v>
      </c>
      <c r="N27" s="504" t="str">
        <f>N12</f>
        <v>Foundation</v>
      </c>
      <c r="O27" s="504" t="n"/>
      <c r="P27" s="504" t="str">
        <f>P12</f>
        <v>Liquidity / MM</v>
      </c>
      <c r="Q27" s="504" t="str">
        <f>Q12</f>
        <v>New Round</v>
      </c>
      <c r="R27" s="504" t="str">
        <f>R12</f>
        <v>Community Airdrop</v>
      </c>
      <c r="S27" s="506" t="str">
        <f>S12</f>
        <v>Estimated Validator 
/ Emission Rewards</v>
      </c>
      <c r="T27" s="507" t="inlineStr">
        <is>
          <t>Circulating 
Supply #</t>
        </is>
      </c>
      <c r="U27" s="508" t="inlineStr">
        <is>
          <t>Circulating 
Supply %</t>
        </is>
      </c>
      <c r="V27" s="507" t="inlineStr">
        <is>
          <t>Incremental 
Supply #</t>
        </is>
      </c>
      <c r="W27" s="509" t="inlineStr">
        <is>
          <t>Incremental 
Supply %</t>
        </is>
      </c>
      <c r="X27" s="510" t="inlineStr">
        <is>
          <t>Total Supply</t>
        </is>
      </c>
      <c r="Y27" s="381" t="n"/>
      <c r="Z27" s="381" t="n"/>
      <c r="AA27" s="483" t="n"/>
      <c r="AB27" s="381" t="n"/>
      <c r="AC27" s="381" t="n"/>
      <c r="AD27" s="381" t="n"/>
      <c r="AE27" s="381" t="n"/>
      <c r="AF27" s="381" t="n"/>
      <c r="AG27" s="381" t="n"/>
      <c r="AH27" s="381" t="n"/>
      <c r="AI27" s="381" t="n"/>
      <c r="AJ27" s="381" t="n"/>
      <c r="AK27" s="381" t="n"/>
      <c r="AL27" s="381" t="n"/>
      <c r="AM27" s="381" t="n"/>
      <c r="AN27" s="381" t="n"/>
      <c r="AO27" s="381" t="n"/>
      <c r="AP27" s="381" t="n"/>
      <c r="AQ27" s="381" t="n"/>
      <c r="AR27" s="381" t="n"/>
    </row>
    <row r="28" ht="15.75" customHeight="1" s="375">
      <c r="A28" s="511" t="n">
        <v>46645</v>
      </c>
      <c r="B28" s="512" t="str">
        <f>"T+"&amp;(Y28*1)&amp;"M (Genesis)"</f>
        <v>T+0M (Genesis)</v>
      </c>
      <c r="C28" s="513" t="n">
        <v>0</v>
      </c>
      <c r="D28" s="514" t="n">
        <v>0</v>
      </c>
      <c r="E28" s="514" t="n">
        <v>0</v>
      </c>
      <c r="F28" s="514" t="n">
        <v>0</v>
      </c>
      <c r="G28" s="514" t="n">
        <v>0</v>
      </c>
      <c r="H28" s="514" t="n">
        <v>0</v>
      </c>
      <c r="I28" s="514" t="n">
        <v>0</v>
      </c>
      <c r="J28" s="514" t="n">
        <v>0</v>
      </c>
      <c r="K28" s="514" t="n">
        <v>0</v>
      </c>
      <c r="L28" s="514" t="n">
        <v>40000000</v>
      </c>
      <c r="M28" s="514">
        <f>M17*0.02</f>
        <v>1000000.0</v>
      </c>
      <c r="N28" s="514">
        <f>N17*0.025</f>
        <v>1000000.0</v>
      </c>
      <c r="O28" s="514" t="n">
        <v>0</v>
      </c>
      <c r="P28" s="514">
        <f>P17</f>
        <v>30000000.0</v>
      </c>
      <c r="Q28" s="514" t="n"/>
      <c r="R28" s="514">
        <f>R17</f>
        <v>5000000.0</v>
      </c>
      <c r="S28" s="515" t="n"/>
      <c r="T28" s="516">
        <f>SUM(C28:S28)</f>
        <v>77000000.0</v>
      </c>
      <c r="U28" s="517">
        <f>T28/(X28)</f>
        <v>0.077</v>
      </c>
      <c r="V28" s="518" t="n">
        <v>0</v>
      </c>
      <c r="W28" s="519" t="n">
        <v>0</v>
      </c>
      <c r="X28" s="520">
        <f>C8+S28</f>
        <v>1000000000.0</v>
      </c>
      <c r="Y28" s="521" t="n">
        <v>0</v>
      </c>
      <c r="Z28" s="381" t="n"/>
      <c r="AA28" s="381" t="n"/>
      <c r="AB28" s="381" t="n"/>
      <c r="AC28" s="381" t="n"/>
      <c r="AD28" s="381" t="n"/>
      <c r="AE28" s="381" t="n"/>
      <c r="AF28" s="381" t="n"/>
      <c r="AG28" s="381" t="n"/>
      <c r="AH28" s="381" t="n"/>
      <c r="AI28" s="381" t="n"/>
      <c r="AJ28" s="381" t="n"/>
      <c r="AK28" s="381" t="n"/>
      <c r="AL28" s="381" t="n"/>
      <c r="AM28" s="381" t="n"/>
      <c r="AN28" s="381" t="n"/>
      <c r="AO28" s="381" t="n"/>
      <c r="AP28" s="381" t="n"/>
      <c r="AQ28" s="381" t="n"/>
      <c r="AR28" s="381" t="n"/>
    </row>
    <row r="29" ht="15.75" customHeight="1" s="375">
      <c r="A29" s="511" t="n">
        <v>46675</v>
      </c>
      <c r="B29" s="512" t="str">
        <f>"T+"&amp;(Y29*1)&amp;"M"</f>
        <v>T+1M</v>
      </c>
      <c r="C29" s="513" t="n">
        <v>0</v>
      </c>
      <c r="D29" s="514" t="n">
        <v>0</v>
      </c>
      <c r="E29" s="514" t="n">
        <v>0</v>
      </c>
      <c r="F29" s="514" t="n">
        <v>0</v>
      </c>
      <c r="G29" s="514" t="n">
        <v>0</v>
      </c>
      <c r="H29" s="514" t="n">
        <v>0</v>
      </c>
      <c r="I29" s="514" t="n">
        <v>0</v>
      </c>
      <c r="J29" s="514" t="n">
        <v>0</v>
      </c>
      <c r="K29" s="514" t="n">
        <v>0</v>
      </c>
      <c r="L29" s="514" t="n">
        <v>1833333.33333333</v>
      </c>
      <c r="M29" s="514" t="n">
        <v>0</v>
      </c>
      <c r="N29" s="514" t="n">
        <v>0</v>
      </c>
      <c r="O29" s="514" t="n">
        <v>0</v>
      </c>
      <c r="P29" s="514" t="n"/>
      <c r="Q29" s="514" t="n"/>
      <c r="R29" s="514" t="n"/>
      <c r="S29" s="515" t="n"/>
      <c r="T29" s="516">
        <f>SUM(C29:S29)+T28</f>
        <v>78833333.33333333</v>
      </c>
      <c r="U29" s="517">
        <f>T29/(X29)</f>
        <v>0.0788333333</v>
      </c>
      <c r="V29" s="516">
        <f>T29-T28</f>
        <v>1833333.3333333284</v>
      </c>
      <c r="W29" s="522">
        <f>U29-U28</f>
        <v>0.0018333333</v>
      </c>
      <c r="X29" s="520">
        <f>X28+S29</f>
        <v>1000000000.0</v>
      </c>
      <c r="Y29" s="521">
        <f>Y28+1</f>
        <v>1.0</v>
      </c>
      <c r="Z29" s="381" t="n"/>
      <c r="AA29" s="381" t="n"/>
      <c r="AB29" s="381" t="n"/>
      <c r="AC29" s="381" t="n"/>
      <c r="AD29" s="381" t="n"/>
      <c r="AE29" s="381" t="n"/>
      <c r="AF29" s="381" t="n"/>
      <c r="AG29" s="381" t="n"/>
      <c r="AH29" s="381" t="n"/>
      <c r="AI29" s="381" t="n"/>
      <c r="AJ29" s="381" t="n"/>
      <c r="AK29" s="381" t="n"/>
      <c r="AL29" s="381" t="n"/>
      <c r="AM29" s="381" t="n"/>
      <c r="AN29" s="381" t="n"/>
      <c r="AO29" s="381" t="n"/>
      <c r="AP29" s="381" t="n"/>
      <c r="AQ29" s="381" t="n"/>
      <c r="AR29" s="381" t="n"/>
    </row>
    <row r="30" ht="15.75" customHeight="1" s="375">
      <c r="A30" s="511" t="n">
        <v>46706</v>
      </c>
      <c r="B30" s="512" t="str">
        <f>"T+"&amp;(Y30*1)&amp;"M"</f>
        <v>T+2M</v>
      </c>
      <c r="C30" s="513" t="n">
        <v>0</v>
      </c>
      <c r="D30" s="514" t="n">
        <v>0</v>
      </c>
      <c r="E30" s="514" t="n">
        <v>0</v>
      </c>
      <c r="F30" s="514" t="n">
        <v>0</v>
      </c>
      <c r="G30" s="514" t="n">
        <v>0</v>
      </c>
      <c r="H30" s="514" t="n">
        <v>0</v>
      </c>
      <c r="I30" s="514" t="n">
        <v>0</v>
      </c>
      <c r="J30" s="514" t="n">
        <v>0</v>
      </c>
      <c r="K30" s="514" t="n">
        <v>0</v>
      </c>
      <c r="L30" s="514" t="n">
        <v>1833333.33333333</v>
      </c>
      <c r="M30" s="514" t="n">
        <v>0</v>
      </c>
      <c r="N30" s="514" t="n">
        <v>0</v>
      </c>
      <c r="O30" s="514" t="n">
        <v>0</v>
      </c>
      <c r="P30" s="514" t="n"/>
      <c r="Q30" s="514" t="n"/>
      <c r="R30" s="514" t="n"/>
      <c r="S30" s="515" t="n"/>
      <c r="T30" s="516">
        <f>SUM(C30:S30)+T29</f>
        <v>80666666.66666666</v>
      </c>
      <c r="U30" s="517">
        <f>T30/(X30)</f>
        <v>0.0806666667</v>
      </c>
      <c r="V30" s="516">
        <f>T30-T29</f>
        <v>1833333.3333333284</v>
      </c>
      <c r="W30" s="522">
        <f>U30-U29</f>
        <v>0.0018333333</v>
      </c>
      <c r="X30" s="520">
        <f>X29+S30</f>
        <v>1000000000.0</v>
      </c>
      <c r="Y30" s="521">
        <f>Y29+1</f>
        <v>2.0</v>
      </c>
      <c r="Z30" s="381" t="n"/>
      <c r="AA30" s="381" t="n"/>
      <c r="AB30" s="381" t="n"/>
      <c r="AC30" s="381" t="n"/>
      <c r="AD30" s="381" t="n"/>
      <c r="AE30" s="381" t="n"/>
      <c r="AF30" s="381" t="n"/>
      <c r="AG30" s="381" t="n"/>
      <c r="AH30" s="381" t="n"/>
      <c r="AI30" s="381" t="n"/>
      <c r="AJ30" s="381" t="n"/>
      <c r="AK30" s="381" t="n"/>
      <c r="AL30" s="381" t="n"/>
      <c r="AM30" s="381" t="n"/>
      <c r="AN30" s="381" t="n"/>
      <c r="AO30" s="381" t="n"/>
      <c r="AP30" s="381" t="n"/>
      <c r="AQ30" s="381" t="n"/>
      <c r="AR30" s="381" t="n"/>
    </row>
    <row r="31" ht="15.75" customHeight="1" s="375">
      <c r="A31" s="511" t="n">
        <v>46736</v>
      </c>
      <c r="B31" s="512" t="str">
        <f>"T+"&amp;(Y31*1)&amp;"M"</f>
        <v>T+3M</v>
      </c>
      <c r="C31" s="513" t="n">
        <v>0</v>
      </c>
      <c r="D31" s="514" t="n">
        <v>0</v>
      </c>
      <c r="E31" s="514" t="n">
        <v>0</v>
      </c>
      <c r="F31" s="514" t="n">
        <v>0</v>
      </c>
      <c r="G31" s="514" t="n">
        <v>0</v>
      </c>
      <c r="H31" s="514" t="n">
        <v>0</v>
      </c>
      <c r="I31" s="514" t="n">
        <v>0</v>
      </c>
      <c r="J31" s="514" t="n">
        <v>0</v>
      </c>
      <c r="K31" s="514" t="n">
        <v>0</v>
      </c>
      <c r="L31" s="514" t="n">
        <v>1833333.33333333</v>
      </c>
      <c r="M31" s="514" t="n">
        <v>0</v>
      </c>
      <c r="N31" s="514" t="n">
        <v>0</v>
      </c>
      <c r="O31" s="514" t="n">
        <v>0</v>
      </c>
      <c r="P31" s="514" t="n"/>
      <c r="Q31" s="514" t="n"/>
      <c r="R31" s="514" t="n"/>
      <c r="S31" s="515" t="n"/>
      <c r="T31" s="516">
        <f>SUM(C31:S31)+T30</f>
        <v>82499999.99999999</v>
      </c>
      <c r="U31" s="517">
        <f>T31/(X31)</f>
        <v>0.0825</v>
      </c>
      <c r="V31" s="516">
        <f>T31-T30</f>
        <v>1833333.3333333284</v>
      </c>
      <c r="W31" s="522">
        <f>U31-U30</f>
        <v>0.0018333333</v>
      </c>
      <c r="X31" s="520">
        <f>X30+S31</f>
        <v>1000000000.0</v>
      </c>
      <c r="Y31" s="521">
        <f>Y30+1</f>
        <v>3.0</v>
      </c>
      <c r="Z31" s="381" t="n"/>
      <c r="AA31" s="379" t="n"/>
      <c r="AB31" s="381" t="n"/>
      <c r="AC31" s="381" t="n"/>
      <c r="AD31" s="381" t="n"/>
      <c r="AE31" s="381" t="n"/>
      <c r="AF31" s="381" t="n"/>
      <c r="AG31" s="381" t="n"/>
      <c r="AH31" s="381" t="n"/>
      <c r="AI31" s="381" t="n"/>
      <c r="AJ31" s="381" t="n"/>
      <c r="AK31" s="381" t="n"/>
      <c r="AL31" s="381" t="n"/>
      <c r="AM31" s="381" t="n"/>
      <c r="AN31" s="381" t="n"/>
      <c r="AO31" s="381" t="n"/>
      <c r="AP31" s="381" t="n"/>
      <c r="AQ31" s="381" t="n"/>
      <c r="AR31" s="381" t="n"/>
    </row>
    <row r="32" ht="15.75" customHeight="1" s="375">
      <c r="A32" s="511" t="n">
        <v>46767</v>
      </c>
      <c r="B32" s="512" t="str">
        <f>"T+"&amp;(Y32*1)&amp;"M"</f>
        <v>T+4M</v>
      </c>
      <c r="C32" s="513" t="n">
        <v>0</v>
      </c>
      <c r="D32" s="514" t="n">
        <v>0</v>
      </c>
      <c r="E32" s="514" t="n">
        <v>0</v>
      </c>
      <c r="F32" s="514" t="n">
        <v>0</v>
      </c>
      <c r="G32" s="514" t="n">
        <v>0</v>
      </c>
      <c r="H32" s="514" t="n">
        <v>0</v>
      </c>
      <c r="I32" s="514" t="n">
        <v>0</v>
      </c>
      <c r="J32" s="514" t="n">
        <v>0</v>
      </c>
      <c r="K32" s="514" t="n">
        <v>4000000</v>
      </c>
      <c r="L32" s="514" t="n">
        <v>1833333.33333333</v>
      </c>
      <c r="M32" s="514" t="n">
        <v>0</v>
      </c>
      <c r="N32" s="514" t="n">
        <v>0</v>
      </c>
      <c r="O32" s="514" t="n">
        <v>0</v>
      </c>
      <c r="P32" s="514" t="n"/>
      <c r="Q32" s="514" t="n"/>
      <c r="R32" s="514" t="n"/>
      <c r="S32" s="515" t="n"/>
      <c r="T32" s="516">
        <f>SUM(C32:S32)+T31</f>
        <v>88333333.33333331</v>
      </c>
      <c r="U32" s="517">
        <f>T32/(X32)</f>
        <v>0.0883333333</v>
      </c>
      <c r="V32" s="516">
        <f>T32-T31</f>
        <v>5833333.333333328</v>
      </c>
      <c r="W32" s="522">
        <f>U32-U31</f>
        <v>0.0058333333</v>
      </c>
      <c r="X32" s="520">
        <f>X31+S32</f>
        <v>1000000000.0</v>
      </c>
      <c r="Y32" s="521">
        <f>Y31+1</f>
        <v>4.0</v>
      </c>
      <c r="Z32" s="381" t="n"/>
      <c r="AA32" s="483" t="n"/>
      <c r="AB32" s="381" t="n"/>
      <c r="AC32" s="381" t="n"/>
      <c r="AD32" s="381" t="n"/>
      <c r="AE32" s="381" t="n"/>
      <c r="AF32" s="381" t="n"/>
      <c r="AG32" s="381" t="n"/>
      <c r="AH32" s="381" t="n"/>
      <c r="AI32" s="381" t="n"/>
      <c r="AJ32" s="381" t="n"/>
      <c r="AK32" s="381" t="n"/>
      <c r="AL32" s="381" t="n"/>
      <c r="AM32" s="381" t="n"/>
      <c r="AN32" s="381" t="n"/>
      <c r="AO32" s="381" t="n"/>
      <c r="AP32" s="381" t="n"/>
      <c r="AQ32" s="381" t="n"/>
      <c r="AR32" s="381" t="n"/>
    </row>
    <row r="33" ht="15.75" customHeight="1" s="375">
      <c r="A33" s="511" t="n">
        <v>46798</v>
      </c>
      <c r="B33" s="512" t="str">
        <f>"T+"&amp;(Y33*1)&amp;"M"</f>
        <v>T+5M</v>
      </c>
      <c r="C33" s="513" t="n">
        <v>0</v>
      </c>
      <c r="D33" s="514" t="n">
        <v>0</v>
      </c>
      <c r="E33" s="514" t="n">
        <v>0</v>
      </c>
      <c r="F33" s="514" t="n">
        <v>0</v>
      </c>
      <c r="G33" s="514" t="n">
        <v>0</v>
      </c>
      <c r="H33" s="514" t="n">
        <v>0</v>
      </c>
      <c r="I33" s="514" t="n">
        <v>0</v>
      </c>
      <c r="J33" s="523" t="n">
        <v>0</v>
      </c>
      <c r="K33" s="514" t="n">
        <v>4000000</v>
      </c>
      <c r="L33" s="514" t="n">
        <v>1833333.33333333</v>
      </c>
      <c r="M33" s="523" t="n">
        <v>0</v>
      </c>
      <c r="N33" s="523" t="n">
        <v>0</v>
      </c>
      <c r="O33" s="514" t="n">
        <v>0</v>
      </c>
      <c r="P33" s="514" t="n"/>
      <c r="Q33" s="514" t="n"/>
      <c r="R33" s="514" t="n"/>
      <c r="S33" s="515" t="n"/>
      <c r="T33" s="516">
        <f>SUM(C33:S33)+T32</f>
        <v>94166666.66666664</v>
      </c>
      <c r="U33" s="517">
        <f>T33/(X33)</f>
        <v>0.0941666667</v>
      </c>
      <c r="V33" s="516">
        <f>T33-T32</f>
        <v>5833333.333333328</v>
      </c>
      <c r="W33" s="522">
        <f>U33-U32</f>
        <v>0.0058333333</v>
      </c>
      <c r="X33" s="520">
        <f>X32+S33</f>
        <v>1000000000.0</v>
      </c>
      <c r="Y33" s="521">
        <f>Y32+1</f>
        <v>5.0</v>
      </c>
      <c r="Z33" s="381" t="n"/>
      <c r="AA33" s="483" t="inlineStr">
        <is>
          <t xml:space="preserve">B) Uncapped  </t>
        </is>
      </c>
      <c r="AB33" s="381" t="n"/>
      <c r="AC33" s="381" t="n"/>
      <c r="AD33" s="381" t="n"/>
      <c r="AE33" s="381" t="n"/>
      <c r="AF33" s="381" t="n"/>
      <c r="AG33" s="381" t="n"/>
      <c r="AH33" s="381" t="n"/>
      <c r="AI33" s="381" t="n"/>
      <c r="AJ33" s="381" t="n"/>
      <c r="AK33" s="381" t="n"/>
      <c r="AL33" s="381" t="n"/>
      <c r="AM33" s="381" t="n"/>
      <c r="AN33" s="381" t="n"/>
      <c r="AO33" s="381" t="n"/>
      <c r="AP33" s="381" t="n"/>
      <c r="AQ33" s="381" t="n"/>
      <c r="AR33" s="381" t="n"/>
    </row>
    <row r="34" ht="15.75" customHeight="1" s="375">
      <c r="A34" s="511" t="n">
        <v>46827</v>
      </c>
      <c r="B34" s="512" t="str">
        <f>"T+"&amp;(Y34*1)&amp;"M"</f>
        <v>T+6M</v>
      </c>
      <c r="C34" s="513" t="n">
        <v>0</v>
      </c>
      <c r="D34" s="514" t="n">
        <v>0</v>
      </c>
      <c r="E34" s="514" t="n">
        <v>0</v>
      </c>
      <c r="F34" s="514" t="n">
        <v>0</v>
      </c>
      <c r="G34" s="514" t="n">
        <v>0</v>
      </c>
      <c r="H34" s="514" t="n">
        <v>0</v>
      </c>
      <c r="I34" s="514" t="n">
        <v>0</v>
      </c>
      <c r="J34" s="523" t="n">
        <v>0</v>
      </c>
      <c r="K34" s="514" t="n">
        <v>4000000</v>
      </c>
      <c r="L34" s="514" t="n">
        <v>1833333.33333333</v>
      </c>
      <c r="M34" s="523" t="n">
        <v>0</v>
      </c>
      <c r="N34" s="523" t="n">
        <v>0</v>
      </c>
      <c r="O34" s="514" t="n">
        <v>0</v>
      </c>
      <c r="P34" s="514" t="n"/>
      <c r="Q34" s="514" t="n"/>
      <c r="R34" s="514" t="n"/>
      <c r="S34" s="515" t="n"/>
      <c r="T34" s="516">
        <f>SUM(C34:S34)+T33</f>
        <v>99999999.99999997</v>
      </c>
      <c r="U34" s="517">
        <f>T34/(X34)</f>
        <v>0.1</v>
      </c>
      <c r="V34" s="516">
        <f>T34-T33</f>
        <v>5833333.333333328</v>
      </c>
      <c r="W34" s="522">
        <f>U34-U33</f>
        <v>0.0058333333</v>
      </c>
      <c r="X34" s="520">
        <f>X33+S34</f>
        <v>1000000000.0</v>
      </c>
      <c r="Y34" s="521">
        <f>Y33+1</f>
        <v>6.0</v>
      </c>
      <c r="Z34" s="381" t="n"/>
      <c r="AA34" s="381" t="n"/>
      <c r="AB34" s="381" t="n"/>
      <c r="AC34" s="381" t="n"/>
      <c r="AD34" s="381" t="n"/>
      <c r="AE34" s="381" t="n"/>
      <c r="AF34" s="381" t="n"/>
      <c r="AG34" s="381" t="n"/>
      <c r="AH34" s="381" t="n"/>
      <c r="AI34" s="381" t="n"/>
      <c r="AJ34" s="381" t="n"/>
      <c r="AK34" s="381" t="n"/>
      <c r="AL34" s="381" t="n"/>
      <c r="AM34" s="381" t="n"/>
      <c r="AN34" s="381" t="n"/>
      <c r="AO34" s="381" t="n"/>
      <c r="AP34" s="381" t="n"/>
      <c r="AQ34" s="381" t="n"/>
      <c r="AR34" s="381" t="n"/>
    </row>
    <row r="35" ht="15.75" customHeight="1" s="375">
      <c r="A35" s="511" t="n">
        <v>46858</v>
      </c>
      <c r="B35" s="512" t="str">
        <f>"T+"&amp;(Y35*1)&amp;"M"</f>
        <v>T+7M</v>
      </c>
      <c r="C35" s="513" t="n">
        <v>0</v>
      </c>
      <c r="D35" s="523" t="n">
        <v>0</v>
      </c>
      <c r="E35" s="514" t="n">
        <v>0</v>
      </c>
      <c r="F35" s="514" t="n">
        <v>0</v>
      </c>
      <c r="G35" s="514" t="n">
        <v>0</v>
      </c>
      <c r="H35" s="514" t="n">
        <v>0</v>
      </c>
      <c r="I35" s="514" t="n">
        <v>0</v>
      </c>
      <c r="J35" s="514" t="n">
        <v>0</v>
      </c>
      <c r="K35" s="514" t="n">
        <v>4000000</v>
      </c>
      <c r="L35" s="514" t="n">
        <v>1833333.33333333</v>
      </c>
      <c r="M35" s="514">
        <f>(M17-M28)/30</f>
        <v>1633333.3333333333</v>
      </c>
      <c r="N35" s="523" t="n">
        <v>0</v>
      </c>
      <c r="O35" s="514" t="n">
        <v>0</v>
      </c>
      <c r="P35" s="514" t="n"/>
      <c r="Q35" s="514" t="n"/>
      <c r="R35" s="514" t="n"/>
      <c r="S35" s="515" t="n"/>
      <c r="T35" s="516">
        <f>SUM(C35:S35)+T34</f>
        <v>107466666.66666663</v>
      </c>
      <c r="U35" s="517">
        <f>T35/(X35)</f>
        <v>0.1074666667</v>
      </c>
      <c r="V35" s="516">
        <f>T35-T34</f>
        <v>7466666.666666657</v>
      </c>
      <c r="W35" s="522">
        <f>U35-U34</f>
        <v>0.0074666667</v>
      </c>
      <c r="X35" s="520">
        <f>X34+S35</f>
        <v>1000000000.0</v>
      </c>
      <c r="Y35" s="521">
        <f>Y34+1</f>
        <v>7.0</v>
      </c>
      <c r="Z35" s="381" t="n"/>
      <c r="AA35" s="381" t="n"/>
      <c r="AB35" s="381" t="n"/>
      <c r="AC35" s="381" t="n"/>
      <c r="AD35" s="381" t="n"/>
      <c r="AE35" s="381" t="n"/>
      <c r="AF35" s="381" t="n"/>
      <c r="AG35" s="381" t="n"/>
      <c r="AH35" s="381" t="n"/>
      <c r="AI35" s="381" t="n"/>
      <c r="AJ35" s="381" t="n"/>
      <c r="AK35" s="381" t="n"/>
      <c r="AL35" s="381" t="n"/>
      <c r="AM35" s="381" t="n"/>
      <c r="AN35" s="381" t="n"/>
      <c r="AO35" s="381" t="n"/>
      <c r="AP35" s="381" t="n"/>
      <c r="AQ35" s="381" t="n"/>
      <c r="AR35" s="381" t="n"/>
    </row>
    <row r="36" ht="15.75" customHeight="1" s="375">
      <c r="A36" s="511" t="n">
        <v>46888</v>
      </c>
      <c r="B36" s="512" t="str">
        <f>"T+"&amp;(Y36*1)&amp;"M"</f>
        <v>T+8M</v>
      </c>
      <c r="C36" s="513" t="n">
        <v>0</v>
      </c>
      <c r="D36" s="514" t="n">
        <v>0</v>
      </c>
      <c r="E36" s="514" t="n">
        <v>0</v>
      </c>
      <c r="F36" s="514" t="n">
        <v>0</v>
      </c>
      <c r="G36" s="514" t="n">
        <v>0</v>
      </c>
      <c r="H36" s="514" t="n">
        <v>0</v>
      </c>
      <c r="I36" s="514" t="n">
        <v>0</v>
      </c>
      <c r="J36" s="514" t="n">
        <v>0</v>
      </c>
      <c r="K36" s="514" t="n">
        <v>4000000</v>
      </c>
      <c r="L36" s="514" t="n">
        <v>1833333.33333333</v>
      </c>
      <c r="M36" s="514" t="n">
        <v>1633333.33333333</v>
      </c>
      <c r="N36" s="514" t="n">
        <v>0</v>
      </c>
      <c r="O36" s="514" t="n">
        <v>0</v>
      </c>
      <c r="P36" s="514" t="n"/>
      <c r="Q36" s="514" t="n"/>
      <c r="R36" s="514" t="n"/>
      <c r="S36" s="515" t="n"/>
      <c r="T36" s="516">
        <f>SUM(C36:S36)+T35</f>
        <v>114933333.33333328</v>
      </c>
      <c r="U36" s="517">
        <f>T36/(X36)</f>
        <v>0.1149333333</v>
      </c>
      <c r="V36" s="516">
        <f>T36-T35</f>
        <v>7466666.666666657</v>
      </c>
      <c r="W36" s="522">
        <f>U36-U35</f>
        <v>0.0074666667</v>
      </c>
      <c r="X36" s="520">
        <f>X35+S36</f>
        <v>1000000000.0</v>
      </c>
      <c r="Y36" s="521">
        <f>Y35+1</f>
        <v>8.0</v>
      </c>
      <c r="Z36" s="381" t="n"/>
      <c r="AA36" s="381" t="n"/>
      <c r="AB36" s="381" t="n"/>
      <c r="AC36" s="381" t="n"/>
      <c r="AD36" s="381" t="n"/>
      <c r="AE36" s="381" t="n"/>
      <c r="AF36" s="381" t="n"/>
      <c r="AG36" s="381" t="n"/>
      <c r="AH36" s="381" t="n"/>
      <c r="AI36" s="381" t="n"/>
      <c r="AJ36" s="381" t="n"/>
      <c r="AK36" s="381" t="n"/>
      <c r="AL36" s="381" t="n"/>
      <c r="AM36" s="381" t="n"/>
      <c r="AN36" s="381" t="n"/>
      <c r="AO36" s="381" t="n"/>
      <c r="AP36" s="381" t="n"/>
      <c r="AQ36" s="381" t="n"/>
      <c r="AR36" s="381" t="n"/>
    </row>
    <row r="37" ht="15.75" customHeight="1" s="375">
      <c r="A37" s="511" t="n">
        <v>46919</v>
      </c>
      <c r="B37" s="512" t="str">
        <f>"T+"&amp;(Y37*1)&amp;"M"</f>
        <v>T+9M</v>
      </c>
      <c r="C37" s="513" t="n">
        <v>0</v>
      </c>
      <c r="D37" s="514" t="n">
        <v>0</v>
      </c>
      <c r="E37" s="514" t="n">
        <v>0</v>
      </c>
      <c r="F37" s="514" t="n">
        <v>0</v>
      </c>
      <c r="G37" s="514" t="n">
        <v>0</v>
      </c>
      <c r="H37" s="514" t="n">
        <v>0</v>
      </c>
      <c r="I37" s="514" t="n">
        <v>0</v>
      </c>
      <c r="J37" s="514" t="n">
        <v>0</v>
      </c>
      <c r="K37" s="514" t="n">
        <v>4000000</v>
      </c>
      <c r="L37" s="514" t="n">
        <v>1833333.33333333</v>
      </c>
      <c r="M37" s="514" t="n">
        <v>1633333.33333333</v>
      </c>
      <c r="N37" s="514" t="n">
        <v>0</v>
      </c>
      <c r="O37" s="514" t="n">
        <v>0</v>
      </c>
      <c r="P37" s="514" t="n"/>
      <c r="Q37" s="514" t="n"/>
      <c r="R37" s="514" t="n"/>
      <c r="S37" s="515" t="n"/>
      <c r="T37" s="516">
        <f>SUM(C37:S37)+T36</f>
        <v>122399999.99999994</v>
      </c>
      <c r="U37" s="517">
        <f>T37/(X37)</f>
        <v>0.1224</v>
      </c>
      <c r="V37" s="516">
        <f>T37-T36</f>
        <v>7466666.666666657</v>
      </c>
      <c r="W37" s="522">
        <f>U37-U36</f>
        <v>0.0074666667</v>
      </c>
      <c r="X37" s="520">
        <f>X36+S37</f>
        <v>1000000000.0</v>
      </c>
      <c r="Y37" s="521">
        <f>Y36+1</f>
        <v>9.0</v>
      </c>
      <c r="Z37" s="381" t="n"/>
      <c r="AA37" s="381" t="n"/>
      <c r="AB37" s="381" t="n"/>
      <c r="AC37" s="381" t="n"/>
      <c r="AD37" s="381" t="n"/>
      <c r="AE37" s="381" t="n"/>
      <c r="AF37" s="381" t="n"/>
      <c r="AG37" s="381" t="n"/>
      <c r="AH37" s="381" t="n"/>
      <c r="AI37" s="381" t="n"/>
      <c r="AJ37" s="381" t="n"/>
      <c r="AK37" s="381" t="n"/>
      <c r="AL37" s="381" t="n"/>
      <c r="AM37" s="381" t="n"/>
      <c r="AN37" s="381" t="n"/>
      <c r="AO37" s="381" t="n"/>
      <c r="AP37" s="381" t="n"/>
      <c r="AQ37" s="381" t="n"/>
      <c r="AR37" s="381" t="n"/>
    </row>
    <row r="38" ht="15.75" customHeight="1" s="375">
      <c r="A38" s="511" t="n">
        <v>46949</v>
      </c>
      <c r="B38" s="512" t="str">
        <f>"T+"&amp;(Y38*1)&amp;"M"</f>
        <v>T+10M</v>
      </c>
      <c r="C38" s="513" t="n">
        <v>0</v>
      </c>
      <c r="D38" s="514" t="n">
        <v>0</v>
      </c>
      <c r="E38" s="514" t="n">
        <v>0</v>
      </c>
      <c r="F38" s="514" t="n">
        <v>0</v>
      </c>
      <c r="G38" s="514" t="n">
        <v>0</v>
      </c>
      <c r="H38" s="514" t="n">
        <v>0</v>
      </c>
      <c r="I38" s="514" t="n">
        <v>0</v>
      </c>
      <c r="J38" s="514" t="n">
        <v>0</v>
      </c>
      <c r="K38" s="514" t="n">
        <v>4000000</v>
      </c>
      <c r="L38" s="514" t="n">
        <v>1833333.33333333</v>
      </c>
      <c r="M38" s="514" t="n">
        <v>1633333.33333333</v>
      </c>
      <c r="N38" s="514" t="n">
        <v>0</v>
      </c>
      <c r="O38" s="514" t="n">
        <v>0</v>
      </c>
      <c r="P38" s="514" t="n"/>
      <c r="Q38" s="514" t="n"/>
      <c r="R38" s="514" t="n"/>
      <c r="S38" s="515" t="n"/>
      <c r="T38" s="516">
        <f>SUM(C38:S38)+T37</f>
        <v>129866666.6666666</v>
      </c>
      <c r="U38" s="517">
        <f>T38/(X38)</f>
        <v>0.1298666667</v>
      </c>
      <c r="V38" s="516">
        <f>T38-T37</f>
        <v>7466666.666666657</v>
      </c>
      <c r="W38" s="522">
        <f>U38-U37</f>
        <v>0.0074666667</v>
      </c>
      <c r="X38" s="520">
        <f>X37+S38</f>
        <v>1000000000.0</v>
      </c>
      <c r="Y38" s="521">
        <f>Y37+1</f>
        <v>10.0</v>
      </c>
      <c r="Z38" s="381" t="n"/>
      <c r="AA38" s="381" t="n"/>
      <c r="AB38" s="381" t="n"/>
      <c r="AC38" s="381" t="n"/>
      <c r="AD38" s="381" t="n"/>
      <c r="AE38" s="381" t="n"/>
      <c r="AF38" s="381" t="n"/>
      <c r="AG38" s="381" t="n"/>
      <c r="AH38" s="381" t="n"/>
      <c r="AI38" s="381" t="n"/>
      <c r="AJ38" s="381" t="n"/>
      <c r="AK38" s="381" t="n"/>
      <c r="AL38" s="381" t="n"/>
      <c r="AM38" s="381" t="n"/>
      <c r="AN38" s="381" t="n"/>
      <c r="AO38" s="381" t="n"/>
      <c r="AP38" s="381" t="n"/>
      <c r="AQ38" s="381" t="n"/>
      <c r="AR38" s="381" t="n"/>
    </row>
    <row r="39" ht="15.75" customHeight="1" s="375">
      <c r="A39" s="511" t="n">
        <v>46980</v>
      </c>
      <c r="B39" s="512" t="str">
        <f>"T+"&amp;(Y39*1)&amp;"M"</f>
        <v>T+11M</v>
      </c>
      <c r="C39" s="513" t="n">
        <v>0</v>
      </c>
      <c r="D39" s="514" t="n">
        <v>0</v>
      </c>
      <c r="E39" s="514" t="n">
        <v>0</v>
      </c>
      <c r="F39" s="514" t="n">
        <v>0</v>
      </c>
      <c r="G39" s="514" t="n">
        <v>0</v>
      </c>
      <c r="H39" s="514" t="n">
        <v>0</v>
      </c>
      <c r="I39" s="514" t="n">
        <v>0</v>
      </c>
      <c r="J39" s="514" t="n">
        <v>0</v>
      </c>
      <c r="K39" s="514" t="n">
        <v>4000000</v>
      </c>
      <c r="L39" s="514" t="n">
        <v>1833333.33333333</v>
      </c>
      <c r="M39" s="514" t="n">
        <v>1633333.33333333</v>
      </c>
      <c r="N39" s="514" t="n">
        <v>0</v>
      </c>
      <c r="O39" s="514" t="n">
        <v>0</v>
      </c>
      <c r="P39" s="514" t="n"/>
      <c r="Q39" s="514" t="n"/>
      <c r="R39" s="514" t="n"/>
      <c r="S39" s="515" t="n"/>
      <c r="T39" s="516">
        <f>SUM(C39:S39)+T38</f>
        <v>137333333.33333325</v>
      </c>
      <c r="U39" s="517">
        <f>T39/(X39)</f>
        <v>0.1373333333</v>
      </c>
      <c r="V39" s="516">
        <f>T39-T38</f>
        <v>7466666.666666657</v>
      </c>
      <c r="W39" s="522">
        <f>U39-U38</f>
        <v>0.0074666667</v>
      </c>
      <c r="X39" s="520">
        <f>X38+S39</f>
        <v>1000000000.0</v>
      </c>
      <c r="Y39" s="521">
        <f>Y38+1</f>
        <v>11.0</v>
      </c>
      <c r="Z39" s="381" t="n"/>
      <c r="AA39" s="381" t="n"/>
      <c r="AB39" s="381" t="n"/>
      <c r="AC39" s="381" t="n"/>
      <c r="AD39" s="381" t="n"/>
      <c r="AE39" s="381" t="n"/>
      <c r="AF39" s="381" t="n"/>
      <c r="AG39" s="381" t="n"/>
      <c r="AH39" s="381" t="n"/>
      <c r="AI39" s="381" t="n"/>
      <c r="AJ39" s="381" t="n"/>
      <c r="AK39" s="381" t="n"/>
      <c r="AL39" s="381" t="n"/>
      <c r="AM39" s="381" t="n"/>
      <c r="AN39" s="381" t="n"/>
      <c r="AO39" s="381" t="n"/>
      <c r="AP39" s="381" t="n"/>
      <c r="AQ39" s="381" t="n"/>
      <c r="AR39" s="381" t="n"/>
    </row>
    <row r="40" ht="15.75" customHeight="1" s="375">
      <c r="A40" s="511" t="n">
        <v>47011</v>
      </c>
      <c r="B40" s="512" t="str">
        <f>"T+"&amp;(Y40*1)&amp;"M"</f>
        <v>T+12M</v>
      </c>
      <c r="C40" s="513" t="n">
        <v>0</v>
      </c>
      <c r="D40" s="514" t="n">
        <v>0</v>
      </c>
      <c r="E40" s="514" t="n">
        <v>0</v>
      </c>
      <c r="F40" s="514" t="n">
        <v>0</v>
      </c>
      <c r="G40" s="514" t="n">
        <v>0</v>
      </c>
      <c r="H40" s="514" t="n">
        <v>0</v>
      </c>
      <c r="I40" s="514" t="n">
        <v>0</v>
      </c>
      <c r="J40" s="514" t="n">
        <v>0</v>
      </c>
      <c r="K40" s="514" t="n">
        <v>4000000</v>
      </c>
      <c r="L40" s="514" t="n">
        <v>1833333.33333333</v>
      </c>
      <c r="M40" s="514" t="n">
        <v>1633333.33333333</v>
      </c>
      <c r="N40" s="514" t="n">
        <v>0</v>
      </c>
      <c r="O40" s="514" t="n">
        <v>0</v>
      </c>
      <c r="P40" s="514" t="n"/>
      <c r="Q40" s="514" t="n"/>
      <c r="R40" s="514" t="n"/>
      <c r="S40" s="515" t="n"/>
      <c r="T40" s="516">
        <f>SUM(C40:S40)+T39</f>
        <v>144799999.9999999</v>
      </c>
      <c r="U40" s="517">
        <f>T40/(X40)</f>
        <v>0.1448</v>
      </c>
      <c r="V40" s="516">
        <f>T40-T39</f>
        <v>7466666.666666657</v>
      </c>
      <c r="W40" s="522">
        <f>U40-U39</f>
        <v>0.0074666667</v>
      </c>
      <c r="X40" s="520">
        <f>X39+S40</f>
        <v>1000000000.0</v>
      </c>
      <c r="Y40" s="521">
        <f>Y39+1</f>
        <v>12.0</v>
      </c>
      <c r="Z40" s="381" t="n"/>
      <c r="AA40" s="381" t="n"/>
      <c r="AB40" s="381" t="n"/>
      <c r="AC40" s="381" t="n"/>
      <c r="AD40" s="381" t="n"/>
      <c r="AE40" s="381" t="n"/>
      <c r="AF40" s="381" t="n"/>
      <c r="AG40" s="381" t="n"/>
      <c r="AH40" s="381" t="n"/>
      <c r="AI40" s="381" t="n"/>
      <c r="AJ40" s="381" t="n"/>
      <c r="AK40" s="381" t="n"/>
      <c r="AL40" s="381" t="n"/>
      <c r="AM40" s="381" t="n"/>
      <c r="AN40" s="381" t="n"/>
      <c r="AO40" s="381" t="n"/>
      <c r="AP40" s="381" t="n"/>
      <c r="AQ40" s="381" t="n"/>
      <c r="AR40" s="381" t="n"/>
    </row>
    <row r="41" ht="15.75" customHeight="1" s="375">
      <c r="A41" s="511" t="n">
        <v>47041</v>
      </c>
      <c r="B41" s="512" t="str">
        <f>"T+"&amp;(Y41*1)&amp;"M"</f>
        <v>T+13M</v>
      </c>
      <c r="C41" s="513" t="n">
        <v>215237.401375325</v>
      </c>
      <c r="D41" s="514" t="n">
        <v>568942.841881973</v>
      </c>
      <c r="E41" s="514" t="n">
        <v>341365.705129184</v>
      </c>
      <c r="F41" s="514" t="n">
        <v>227577.136752789</v>
      </c>
      <c r="G41" s="514" t="n">
        <v>227577.136752789</v>
      </c>
      <c r="H41" s="514" t="n">
        <v>227577.136752789</v>
      </c>
      <c r="I41" s="514" t="n">
        <v>227577.136752789</v>
      </c>
      <c r="J41" s="514" t="n">
        <v>47478.8379356934</v>
      </c>
      <c r="K41" s="514" t="n">
        <v>3400000</v>
      </c>
      <c r="L41" s="514" t="n">
        <v>1833333.33333333</v>
      </c>
      <c r="M41" s="514" t="n">
        <v>1633333.33333333</v>
      </c>
      <c r="N41" s="514">
        <f>(N17-N28)/24</f>
        <v>1625000.0</v>
      </c>
      <c r="O41" s="514" t="n">
        <v>0</v>
      </c>
      <c r="P41" s="514" t="n"/>
      <c r="Q41" s="514" t="n">
        <v>8333333.33333333</v>
      </c>
      <c r="R41" s="514" t="n"/>
      <c r="S41" s="515" t="n"/>
      <c r="T41" s="516">
        <f>SUM(C41:S41)+T40</f>
        <v>163708333.33333322</v>
      </c>
      <c r="U41" s="517">
        <f>T41/(X41)</f>
        <v>0.1637083333</v>
      </c>
      <c r="V41" s="516">
        <f>T41-T40</f>
        <v>18908333.333333313</v>
      </c>
      <c r="W41" s="522">
        <f>U41-U40</f>
        <v>0.0189083333</v>
      </c>
      <c r="X41" s="520">
        <f>X40+S41</f>
        <v>1000000000.0</v>
      </c>
      <c r="Y41" s="521">
        <f>Y40+1</f>
        <v>13.0</v>
      </c>
      <c r="Z41" s="381" t="n"/>
      <c r="AA41" s="381" t="n"/>
      <c r="AB41" s="381" t="n"/>
      <c r="AC41" s="381" t="n"/>
      <c r="AD41" s="381" t="n"/>
      <c r="AE41" s="381" t="n"/>
      <c r="AF41" s="381" t="n"/>
      <c r="AG41" s="381" t="n"/>
      <c r="AH41" s="381" t="n"/>
      <c r="AI41" s="381" t="n"/>
      <c r="AJ41" s="381" t="n"/>
      <c r="AK41" s="381" t="n"/>
      <c r="AL41" s="381" t="n"/>
      <c r="AM41" s="381" t="n"/>
      <c r="AN41" s="381" t="n"/>
      <c r="AO41" s="381" t="n"/>
      <c r="AP41" s="381" t="n"/>
      <c r="AQ41" s="381" t="n"/>
      <c r="AR41" s="381" t="n"/>
    </row>
    <row r="42" ht="15.75" customHeight="1" s="375">
      <c r="A42" s="511" t="n">
        <v>47072</v>
      </c>
      <c r="B42" s="512" t="str">
        <f>"T+"&amp;(Y42*1)&amp;"M"</f>
        <v>T+14M</v>
      </c>
      <c r="C42" s="513" t="n">
        <v>215237.401375325</v>
      </c>
      <c r="D42" s="514" t="n">
        <v>568942.841881973</v>
      </c>
      <c r="E42" s="514" t="n">
        <v>341365.705129184</v>
      </c>
      <c r="F42" s="514" t="n">
        <v>227577.136752789</v>
      </c>
      <c r="G42" s="514" t="n">
        <v>227577.136752789</v>
      </c>
      <c r="H42" s="514" t="n">
        <v>227577.136752789</v>
      </c>
      <c r="I42" s="514" t="n">
        <v>227577.136752789</v>
      </c>
      <c r="J42" s="514" t="n">
        <v>47478.8379356934</v>
      </c>
      <c r="K42" s="514" t="n">
        <v>3400000</v>
      </c>
      <c r="L42" s="514" t="n">
        <v>1833333.33333333</v>
      </c>
      <c r="M42" s="514" t="n">
        <v>1633333.33333333</v>
      </c>
      <c r="N42" s="514" t="n">
        <v>1625000</v>
      </c>
      <c r="O42" s="514" t="n">
        <v>2000000</v>
      </c>
      <c r="P42" s="514" t="n"/>
      <c r="Q42" s="514" t="n">
        <v>8333333.33333333</v>
      </c>
      <c r="R42" s="514" t="n"/>
      <c r="S42" s="515" t="n"/>
      <c r="T42" s="516">
        <f>SUM(C42:S42)+T41</f>
        <v>184616666.66666654</v>
      </c>
      <c r="U42" s="517">
        <f>T42/(X42)</f>
        <v>0.1846166667</v>
      </c>
      <c r="V42" s="516">
        <f>T42-T41</f>
        <v>20908333.333333313</v>
      </c>
      <c r="W42" s="522">
        <f>U42-U41</f>
        <v>0.0209083333</v>
      </c>
      <c r="X42" s="520">
        <f>X41+S42</f>
        <v>1000000000.0</v>
      </c>
      <c r="Y42" s="521">
        <f>Y41+1</f>
        <v>14.0</v>
      </c>
      <c r="Z42" s="381" t="n"/>
      <c r="AA42" s="381" t="n"/>
      <c r="AB42" s="381" t="n"/>
      <c r="AC42" s="381" t="n"/>
      <c r="AD42" s="381" t="n"/>
      <c r="AE42" s="381" t="n"/>
      <c r="AF42" s="381" t="n"/>
      <c r="AG42" s="381" t="n"/>
      <c r="AH42" s="381" t="n"/>
      <c r="AI42" s="381" t="n"/>
      <c r="AJ42" s="381" t="n"/>
      <c r="AK42" s="381" t="n"/>
      <c r="AL42" s="381" t="n"/>
      <c r="AM42" s="381" t="n"/>
      <c r="AN42" s="381" t="n"/>
      <c r="AO42" s="381" t="n"/>
      <c r="AP42" s="381" t="n"/>
      <c r="AQ42" s="381" t="n"/>
      <c r="AR42" s="381" t="n"/>
    </row>
    <row r="43" ht="15.75" customHeight="1" s="375">
      <c r="A43" s="511" t="n">
        <v>47102</v>
      </c>
      <c r="B43" s="512" t="str">
        <f>"T+"&amp;(Y43*1)&amp;"M"</f>
        <v>T+15M</v>
      </c>
      <c r="C43" s="513" t="n">
        <v>215237.401375325</v>
      </c>
      <c r="D43" s="514" t="n">
        <v>568942.841881973</v>
      </c>
      <c r="E43" s="514" t="n">
        <v>341365.705129184</v>
      </c>
      <c r="F43" s="514" t="n">
        <v>227577.136752789</v>
      </c>
      <c r="G43" s="514" t="n">
        <v>227577.136752789</v>
      </c>
      <c r="H43" s="514" t="n">
        <v>227577.136752789</v>
      </c>
      <c r="I43" s="514" t="n">
        <v>227577.136752789</v>
      </c>
      <c r="J43" s="514" t="n">
        <v>47478.8379356934</v>
      </c>
      <c r="K43" s="514" t="n">
        <v>3400000</v>
      </c>
      <c r="L43" s="514" t="n">
        <v>1833333.33333333</v>
      </c>
      <c r="M43" s="514" t="n">
        <v>1633333.33333333</v>
      </c>
      <c r="N43" s="514" t="n">
        <v>1625000</v>
      </c>
      <c r="O43" s="514" t="n">
        <v>2000000</v>
      </c>
      <c r="P43" s="514" t="n"/>
      <c r="Q43" s="514" t="n">
        <v>8333333.33333333</v>
      </c>
      <c r="R43" s="514" t="n"/>
      <c r="S43" s="515" t="n"/>
      <c r="T43" s="516">
        <f>SUM(C43:S43)+T42</f>
        <v>205524999.99999985</v>
      </c>
      <c r="U43" s="517">
        <f>T43/(X43)</f>
        <v>0.205525</v>
      </c>
      <c r="V43" s="516">
        <f>T43-T42</f>
        <v>20908333.333333313</v>
      </c>
      <c r="W43" s="522">
        <f>U43-U42</f>
        <v>0.0209083333</v>
      </c>
      <c r="X43" s="520">
        <f>X42+S43</f>
        <v>1000000000.0</v>
      </c>
      <c r="Y43" s="521">
        <f>Y42+1</f>
        <v>15.0</v>
      </c>
      <c r="Z43" s="381" t="n"/>
      <c r="AA43" s="381" t="n"/>
      <c r="AB43" s="381" t="n"/>
      <c r="AC43" s="381" t="n"/>
      <c r="AD43" s="381" t="n"/>
      <c r="AE43" s="381" t="n"/>
      <c r="AF43" s="381" t="n"/>
      <c r="AG43" s="381" t="n"/>
      <c r="AH43" s="381" t="n"/>
      <c r="AI43" s="381" t="n"/>
      <c r="AJ43" s="381" t="n"/>
      <c r="AK43" s="381" t="n"/>
      <c r="AL43" s="381" t="n"/>
      <c r="AM43" s="381" t="n"/>
      <c r="AN43" s="381" t="n"/>
      <c r="AO43" s="381" t="n"/>
      <c r="AP43" s="381" t="n"/>
      <c r="AQ43" s="381" t="n"/>
      <c r="AR43" s="381" t="n"/>
    </row>
    <row r="44" ht="15.75" customHeight="1" s="375">
      <c r="A44" s="511" t="n">
        <v>47133</v>
      </c>
      <c r="B44" s="512" t="str">
        <f>"T+"&amp;(Y44*1)&amp;"M"</f>
        <v>T+16M</v>
      </c>
      <c r="C44" s="513" t="n">
        <v>215237.401375325</v>
      </c>
      <c r="D44" s="514" t="n">
        <v>568942.841881973</v>
      </c>
      <c r="E44" s="514" t="n">
        <v>341365.705129184</v>
      </c>
      <c r="F44" s="514" t="n">
        <v>227577.136752789</v>
      </c>
      <c r="G44" s="514" t="n">
        <v>227577.136752789</v>
      </c>
      <c r="H44" s="514" t="n">
        <v>227577.136752789</v>
      </c>
      <c r="I44" s="514" t="n">
        <v>227577.136752789</v>
      </c>
      <c r="J44" s="514" t="n">
        <v>47478.8379356934</v>
      </c>
      <c r="K44" s="514" t="n">
        <v>3400000</v>
      </c>
      <c r="L44" s="514" t="n">
        <v>1833333.33333333</v>
      </c>
      <c r="M44" s="514" t="n">
        <v>1633333.33333333</v>
      </c>
      <c r="N44" s="514" t="n">
        <v>1625000</v>
      </c>
      <c r="O44" s="514" t="n">
        <v>2000000</v>
      </c>
      <c r="P44" s="514" t="n"/>
      <c r="Q44" s="514" t="n">
        <v>8333333.33333333</v>
      </c>
      <c r="R44" s="514" t="n"/>
      <c r="S44" s="515" t="n"/>
      <c r="T44" s="516">
        <f>SUM(C44:S44)+T43</f>
        <v>226433333.33333316</v>
      </c>
      <c r="U44" s="517">
        <f>T44/(X44)</f>
        <v>0.2264333333</v>
      </c>
      <c r="V44" s="516">
        <f>T44-T43</f>
        <v>20908333.333333313</v>
      </c>
      <c r="W44" s="522">
        <f>U44-U43</f>
        <v>0.0209083333</v>
      </c>
      <c r="X44" s="520">
        <f>X43+S44</f>
        <v>1000000000.0</v>
      </c>
      <c r="Y44" s="521">
        <f>Y43+1</f>
        <v>16.0</v>
      </c>
      <c r="Z44" s="381" t="n"/>
      <c r="AA44" s="381" t="n"/>
      <c r="AB44" s="381" t="n"/>
      <c r="AC44" s="381" t="n"/>
      <c r="AD44" s="381" t="n"/>
      <c r="AE44" s="381" t="n"/>
      <c r="AF44" s="381" t="n"/>
      <c r="AG44" s="381" t="n"/>
      <c r="AH44" s="381" t="n"/>
      <c r="AI44" s="381" t="n"/>
      <c r="AJ44" s="381" t="n"/>
      <c r="AK44" s="381" t="n"/>
      <c r="AL44" s="381" t="n"/>
      <c r="AM44" s="381" t="n"/>
      <c r="AN44" s="381" t="n"/>
      <c r="AO44" s="381" t="n"/>
      <c r="AP44" s="381" t="n"/>
      <c r="AQ44" s="381" t="n"/>
      <c r="AR44" s="381" t="n"/>
    </row>
    <row r="45" ht="15.75" customHeight="1" s="375">
      <c r="A45" s="511" t="n">
        <v>47164</v>
      </c>
      <c r="B45" s="512" t="str">
        <f>"T+"&amp;(Y45*1)&amp;"M"</f>
        <v>T+17M</v>
      </c>
      <c r="C45" s="513" t="n">
        <v>215237.401375325</v>
      </c>
      <c r="D45" s="514" t="n">
        <v>568942.841881973</v>
      </c>
      <c r="E45" s="514" t="n">
        <v>341365.705129184</v>
      </c>
      <c r="F45" s="514" t="n">
        <v>227577.136752789</v>
      </c>
      <c r="G45" s="514" t="n">
        <v>227577.136752789</v>
      </c>
      <c r="H45" s="514" t="n">
        <v>227577.136752789</v>
      </c>
      <c r="I45" s="514" t="n">
        <v>227577.136752789</v>
      </c>
      <c r="J45" s="514" t="n">
        <v>47478.8379356934</v>
      </c>
      <c r="K45" s="514" t="n">
        <v>3400000</v>
      </c>
      <c r="L45" s="514" t="n">
        <v>1833333.33333333</v>
      </c>
      <c r="M45" s="514" t="n">
        <v>1633333.33333333</v>
      </c>
      <c r="N45" s="514" t="n">
        <v>1625000</v>
      </c>
      <c r="O45" s="514" t="n">
        <v>2000000</v>
      </c>
      <c r="P45" s="514" t="n"/>
      <c r="Q45" s="514" t="n">
        <v>8333333.33333333</v>
      </c>
      <c r="R45" s="514" t="n"/>
      <c r="S45" s="515" t="n"/>
      <c r="T45" s="516">
        <f>SUM(C45:S45)+T44</f>
        <v>247341666.66666648</v>
      </c>
      <c r="U45" s="517">
        <f>T45/(X45)</f>
        <v>0.2473416667</v>
      </c>
      <c r="V45" s="516">
        <f>T45-T44</f>
        <v>20908333.333333313</v>
      </c>
      <c r="W45" s="522">
        <f>U45-U44</f>
        <v>0.0209083333</v>
      </c>
      <c r="X45" s="520">
        <f>X44+S45</f>
        <v>1000000000.0</v>
      </c>
      <c r="Y45" s="521">
        <f>Y44+1</f>
        <v>17.0</v>
      </c>
      <c r="Z45" s="381" t="n"/>
      <c r="AA45" s="381" t="n"/>
      <c r="AB45" s="381" t="n"/>
      <c r="AC45" s="381" t="n"/>
      <c r="AD45" s="381" t="n"/>
      <c r="AE45" s="381" t="n"/>
      <c r="AF45" s="381" t="n"/>
      <c r="AG45" s="381" t="n"/>
      <c r="AH45" s="381" t="n"/>
      <c r="AI45" s="381" t="n"/>
      <c r="AJ45" s="381" t="n"/>
      <c r="AK45" s="381" t="n"/>
      <c r="AL45" s="381" t="n"/>
      <c r="AM45" s="381" t="n"/>
      <c r="AN45" s="381" t="n"/>
      <c r="AO45" s="381" t="n"/>
      <c r="AP45" s="381" t="n"/>
      <c r="AQ45" s="381" t="n"/>
      <c r="AR45" s="381" t="n"/>
    </row>
    <row r="46" ht="15.75" customHeight="1" s="375">
      <c r="A46" s="511" t="n">
        <v>47192</v>
      </c>
      <c r="B46" s="512" t="str">
        <f>"T+"&amp;(Y46*1)&amp;"M"</f>
        <v>T+18M</v>
      </c>
      <c r="C46" s="513" t="n">
        <v>215237.401375325</v>
      </c>
      <c r="D46" s="514" t="n">
        <v>568942.841881973</v>
      </c>
      <c r="E46" s="514" t="n">
        <v>341365.705129184</v>
      </c>
      <c r="F46" s="514" t="n">
        <v>227577.136752789</v>
      </c>
      <c r="G46" s="514" t="n">
        <v>227577.136752789</v>
      </c>
      <c r="H46" s="514" t="n">
        <v>227577.136752789</v>
      </c>
      <c r="I46" s="514" t="n">
        <v>227577.136752789</v>
      </c>
      <c r="J46" s="514" t="n">
        <v>47478.8379356934</v>
      </c>
      <c r="K46" s="514" t="n">
        <v>3400000</v>
      </c>
      <c r="L46" s="514" t="n">
        <v>1833333.33333333</v>
      </c>
      <c r="M46" s="514" t="n">
        <v>1633333.33333333</v>
      </c>
      <c r="N46" s="514" t="n">
        <v>1625000</v>
      </c>
      <c r="O46" s="514" t="n">
        <v>2000000</v>
      </c>
      <c r="P46" s="514" t="n"/>
      <c r="Q46" s="514" t="n">
        <v>8333333.33333333</v>
      </c>
      <c r="R46" s="514" t="n"/>
      <c r="S46" s="515" t="n"/>
      <c r="T46" s="516">
        <f>SUM(C46:S46)+T45</f>
        <v>268249999.9999998</v>
      </c>
      <c r="U46" s="517">
        <f>T46/(X46)</f>
        <v>0.26825</v>
      </c>
      <c r="V46" s="516">
        <f>T46-T45</f>
        <v>20908333.333333313</v>
      </c>
      <c r="W46" s="522">
        <f>U46-U45</f>
        <v>0.0209083333</v>
      </c>
      <c r="X46" s="520">
        <f>X45+S46</f>
        <v>1000000000.0</v>
      </c>
      <c r="Y46" s="521">
        <f>Y45+1</f>
        <v>18.0</v>
      </c>
      <c r="Z46" s="381" t="n"/>
      <c r="AA46" s="381" t="n"/>
      <c r="AB46" s="381" t="n"/>
      <c r="AC46" s="381" t="n"/>
      <c r="AD46" s="381" t="n"/>
      <c r="AE46" s="381" t="n"/>
      <c r="AF46" s="381" t="n"/>
      <c r="AG46" s="381" t="n"/>
      <c r="AH46" s="381" t="n"/>
      <c r="AI46" s="381" t="n"/>
      <c r="AJ46" s="381" t="n"/>
      <c r="AK46" s="381" t="n"/>
      <c r="AL46" s="381" t="n"/>
      <c r="AM46" s="381" t="n"/>
      <c r="AN46" s="381" t="n"/>
      <c r="AO46" s="381" t="n"/>
      <c r="AP46" s="381" t="n"/>
      <c r="AQ46" s="381" t="n"/>
      <c r="AR46" s="381" t="n"/>
    </row>
    <row r="47" ht="15.75" customHeight="1" s="375">
      <c r="A47" s="511" t="n">
        <v>47223</v>
      </c>
      <c r="B47" s="512" t="str">
        <f>"T+"&amp;(Y47*1)&amp;"M"</f>
        <v>T+19M</v>
      </c>
      <c r="C47" s="513" t="n">
        <v>215237.401375325</v>
      </c>
      <c r="D47" s="514" t="n">
        <v>568942.841881973</v>
      </c>
      <c r="E47" s="514" t="n">
        <v>341365.705129184</v>
      </c>
      <c r="F47" s="514" t="n">
        <v>227577.136752789</v>
      </c>
      <c r="G47" s="514" t="n">
        <v>227577.136752789</v>
      </c>
      <c r="H47" s="514" t="n">
        <v>227577.136752789</v>
      </c>
      <c r="I47" s="514" t="n">
        <v>227577.136752789</v>
      </c>
      <c r="J47" s="514" t="n">
        <v>47478.8379356934</v>
      </c>
      <c r="K47" s="514" t="n">
        <v>3400000</v>
      </c>
      <c r="L47" s="514" t="n">
        <v>1833333.33333333</v>
      </c>
      <c r="M47" s="514" t="n">
        <v>1633333.33333333</v>
      </c>
      <c r="N47" s="514" t="n">
        <v>1625000</v>
      </c>
      <c r="O47" s="514" t="n">
        <v>2000000</v>
      </c>
      <c r="P47" s="514" t="n"/>
      <c r="Q47" s="514" t="n">
        <v>8333333.33333333</v>
      </c>
      <c r="R47" s="514" t="n"/>
      <c r="S47" s="515" t="n"/>
      <c r="T47" s="516">
        <f>SUM(C47:S47)+T46</f>
        <v>289158333.33333313</v>
      </c>
      <c r="U47" s="517">
        <f>T47/(X47)</f>
        <v>0.2891583333</v>
      </c>
      <c r="V47" s="516">
        <f>T47-T46</f>
        <v>20908333.333333343</v>
      </c>
      <c r="W47" s="522">
        <f>U47-U46</f>
        <v>0.0209083333</v>
      </c>
      <c r="X47" s="520">
        <f>X46+S47</f>
        <v>1000000000.0</v>
      </c>
      <c r="Y47" s="521">
        <f>Y46+1</f>
        <v>19.0</v>
      </c>
      <c r="Z47" s="381" t="n"/>
      <c r="AA47" s="381" t="n"/>
      <c r="AB47" s="381" t="n"/>
      <c r="AC47" s="381" t="n"/>
      <c r="AD47" s="381" t="n"/>
      <c r="AE47" s="381" t="n"/>
      <c r="AF47" s="381" t="n"/>
      <c r="AG47" s="381" t="n"/>
      <c r="AH47" s="381" t="n"/>
      <c r="AI47" s="381" t="n"/>
      <c r="AJ47" s="381" t="n"/>
      <c r="AK47" s="381" t="n"/>
      <c r="AL47" s="381" t="n"/>
      <c r="AM47" s="381" t="n"/>
      <c r="AN47" s="381" t="n"/>
      <c r="AO47" s="381" t="n"/>
      <c r="AP47" s="381" t="n"/>
      <c r="AQ47" s="381" t="n"/>
      <c r="AR47" s="381" t="n"/>
    </row>
    <row r="48" ht="15.75" customHeight="1" s="375">
      <c r="A48" s="511" t="n">
        <v>47253</v>
      </c>
      <c r="B48" s="512" t="str">
        <f>"T+"&amp;(Y48*1)&amp;"M"</f>
        <v>T+20M</v>
      </c>
      <c r="C48" s="513" t="n">
        <v>215237.401375325</v>
      </c>
      <c r="D48" s="514" t="n">
        <v>568942.841881973</v>
      </c>
      <c r="E48" s="514" t="n">
        <v>341365.705129184</v>
      </c>
      <c r="F48" s="514" t="n">
        <v>227577.136752789</v>
      </c>
      <c r="G48" s="514" t="n">
        <v>227577.136752789</v>
      </c>
      <c r="H48" s="514" t="n">
        <v>227577.136752789</v>
      </c>
      <c r="I48" s="514" t="n">
        <v>227577.136752789</v>
      </c>
      <c r="J48" s="514" t="n">
        <v>47478.8379356934</v>
      </c>
      <c r="K48" s="514" t="n">
        <v>3400000</v>
      </c>
      <c r="L48" s="514" t="n">
        <v>1833333.33333333</v>
      </c>
      <c r="M48" s="514" t="n">
        <v>1633333.33333333</v>
      </c>
      <c r="N48" s="514" t="n">
        <v>1625000</v>
      </c>
      <c r="O48" s="514" t="n">
        <v>2000000</v>
      </c>
      <c r="P48" s="514" t="n"/>
      <c r="Q48" s="514" t="n">
        <v>8333333.33333333</v>
      </c>
      <c r="R48" s="514" t="n"/>
      <c r="S48" s="515" t="n"/>
      <c r="T48" s="516">
        <f>SUM(C48:S48)+T47</f>
        <v>310066666.66666645</v>
      </c>
      <c r="U48" s="517">
        <f>T48/(X48)</f>
        <v>0.3100666667</v>
      </c>
      <c r="V48" s="516">
        <f>T48-T47</f>
        <v>20908333.333333313</v>
      </c>
      <c r="W48" s="522">
        <f>U48-U47</f>
        <v>0.0209083333</v>
      </c>
      <c r="X48" s="520">
        <f>X47+S48</f>
        <v>1000000000.0</v>
      </c>
      <c r="Y48" s="521">
        <f>Y47+1</f>
        <v>20.0</v>
      </c>
      <c r="Z48" s="381" t="n"/>
      <c r="AA48" s="381" t="n"/>
      <c r="AB48" s="381" t="n"/>
      <c r="AC48" s="381" t="n"/>
      <c r="AD48" s="381" t="n"/>
      <c r="AE48" s="381" t="n"/>
      <c r="AF48" s="381" t="n"/>
      <c r="AG48" s="381" t="n"/>
      <c r="AH48" s="381" t="n"/>
      <c r="AI48" s="381" t="n"/>
      <c r="AJ48" s="381" t="n"/>
      <c r="AK48" s="381" t="n"/>
      <c r="AL48" s="381" t="n"/>
      <c r="AM48" s="381" t="n"/>
      <c r="AN48" s="381" t="n"/>
      <c r="AO48" s="381" t="n"/>
      <c r="AP48" s="381" t="n"/>
      <c r="AQ48" s="381" t="n"/>
      <c r="AR48" s="381" t="n"/>
    </row>
    <row r="49" ht="15.75" customHeight="1" s="375">
      <c r="A49" s="511" t="n">
        <v>47284</v>
      </c>
      <c r="B49" s="512" t="str">
        <f>"T+"&amp;(Y49*1)&amp;"M"</f>
        <v>T+21M</v>
      </c>
      <c r="C49" s="513" t="n">
        <v>215237.401375325</v>
      </c>
      <c r="D49" s="514" t="n">
        <v>568942.841881973</v>
      </c>
      <c r="E49" s="514" t="n">
        <v>341365.705129184</v>
      </c>
      <c r="F49" s="514" t="n">
        <v>227577.136752789</v>
      </c>
      <c r="G49" s="514" t="n">
        <v>227577.136752789</v>
      </c>
      <c r="H49" s="514" t="n">
        <v>227577.136752789</v>
      </c>
      <c r="I49" s="514" t="n">
        <v>227577.136752789</v>
      </c>
      <c r="J49" s="514" t="n">
        <v>47478.8379356934</v>
      </c>
      <c r="K49" s="514" t="n">
        <v>3400000</v>
      </c>
      <c r="L49" s="514" t="n">
        <v>1833333.33333333</v>
      </c>
      <c r="M49" s="514" t="n">
        <v>1633333.33333333</v>
      </c>
      <c r="N49" s="514" t="n">
        <v>1625000</v>
      </c>
      <c r="O49" s="514" t="n">
        <v>2000000</v>
      </c>
      <c r="P49" s="514" t="n"/>
      <c r="Q49" s="514" t="n">
        <v>8333333.33333333</v>
      </c>
      <c r="R49" s="514" t="n"/>
      <c r="S49" s="515" t="n"/>
      <c r="T49" s="516">
        <f>SUM(C49:S49)+T48</f>
        <v>330974999.99999976</v>
      </c>
      <c r="U49" s="517">
        <f>T49/(X49)</f>
        <v>0.330975</v>
      </c>
      <c r="V49" s="516">
        <f>T49-T48</f>
        <v>20908333.333333313</v>
      </c>
      <c r="W49" s="522">
        <f>U49-U48</f>
        <v>0.0209083333</v>
      </c>
      <c r="X49" s="520">
        <f>X48+S49</f>
        <v>1000000000.0</v>
      </c>
      <c r="Y49" s="521">
        <f>Y48+1</f>
        <v>21.0</v>
      </c>
      <c r="Z49" s="381" t="n"/>
      <c r="AA49" s="381" t="n"/>
      <c r="AB49" s="381" t="n"/>
      <c r="AC49" s="381" t="n"/>
      <c r="AD49" s="381" t="n"/>
      <c r="AE49" s="381" t="n"/>
      <c r="AF49" s="381" t="n"/>
      <c r="AG49" s="381" t="n"/>
      <c r="AH49" s="381" t="n"/>
      <c r="AI49" s="381" t="n"/>
      <c r="AJ49" s="381" t="n"/>
      <c r="AK49" s="381" t="n"/>
      <c r="AL49" s="381" t="n"/>
      <c r="AM49" s="381" t="n"/>
      <c r="AN49" s="381" t="n"/>
      <c r="AO49" s="381" t="n"/>
      <c r="AP49" s="381" t="n"/>
      <c r="AQ49" s="381" t="n"/>
      <c r="AR49" s="381" t="n"/>
    </row>
    <row r="50" ht="15.75" customHeight="1" s="375">
      <c r="A50" s="511" t="n">
        <v>47314</v>
      </c>
      <c r="B50" s="512" t="str">
        <f>"T+"&amp;(Y50*1)&amp;"M"</f>
        <v>T+22M</v>
      </c>
      <c r="C50" s="513" t="n">
        <v>215237.401375325</v>
      </c>
      <c r="D50" s="514" t="n">
        <v>568942.841881973</v>
      </c>
      <c r="E50" s="514" t="n">
        <v>341365.705129184</v>
      </c>
      <c r="F50" s="514" t="n">
        <v>227577.136752789</v>
      </c>
      <c r="G50" s="514" t="n">
        <v>227577.136752789</v>
      </c>
      <c r="H50" s="514" t="n">
        <v>227577.136752789</v>
      </c>
      <c r="I50" s="514" t="n">
        <v>227577.136752789</v>
      </c>
      <c r="J50" s="514" t="n">
        <v>47478.8379356934</v>
      </c>
      <c r="K50" s="514" t="n">
        <v>3400000</v>
      </c>
      <c r="L50" s="514" t="n">
        <v>1833333.33333333</v>
      </c>
      <c r="M50" s="514" t="n">
        <v>1633333.33333333</v>
      </c>
      <c r="N50" s="514" t="n">
        <v>1625000</v>
      </c>
      <c r="O50" s="514" t="n">
        <v>2000000</v>
      </c>
      <c r="P50" s="514" t="n"/>
      <c r="Q50" s="514" t="n">
        <v>8333333.33333333</v>
      </c>
      <c r="R50" s="514" t="n"/>
      <c r="S50" s="515" t="n"/>
      <c r="T50" s="516">
        <f>SUM(C50:S50)+T49</f>
        <v>351883333.3333331</v>
      </c>
      <c r="U50" s="517">
        <f>T50/(X50)</f>
        <v>0.3518833333</v>
      </c>
      <c r="V50" s="516">
        <f>T50-T49</f>
        <v>20908333.333333313</v>
      </c>
      <c r="W50" s="522">
        <f>U50-U49</f>
        <v>0.0209083333</v>
      </c>
      <c r="X50" s="520">
        <f>X49+S50</f>
        <v>1000000000.0</v>
      </c>
      <c r="Y50" s="521">
        <f>Y49+1</f>
        <v>22.0</v>
      </c>
      <c r="Z50" s="381" t="n"/>
      <c r="AA50" s="381" t="n"/>
      <c r="AB50" s="381" t="n"/>
      <c r="AC50" s="381" t="n"/>
      <c r="AD50" s="381" t="n"/>
      <c r="AE50" s="381" t="n"/>
      <c r="AF50" s="381" t="n"/>
      <c r="AG50" s="381" t="n"/>
      <c r="AH50" s="381" t="n"/>
      <c r="AI50" s="381" t="n"/>
      <c r="AJ50" s="381" t="n"/>
      <c r="AK50" s="381" t="n"/>
      <c r="AL50" s="381" t="n"/>
      <c r="AM50" s="381" t="n"/>
      <c r="AN50" s="381" t="n"/>
      <c r="AO50" s="381" t="n"/>
      <c r="AP50" s="381" t="n"/>
      <c r="AQ50" s="381" t="n"/>
      <c r="AR50" s="381" t="n"/>
    </row>
    <row r="51" ht="15.75" customHeight="1" s="375">
      <c r="A51" s="511" t="n">
        <v>47345</v>
      </c>
      <c r="B51" s="512" t="str">
        <f>"T+"&amp;(Y51*1)&amp;"M"</f>
        <v>T+23M</v>
      </c>
      <c r="C51" s="513" t="n">
        <v>215237.401375325</v>
      </c>
      <c r="D51" s="514" t="n">
        <v>568942.841881973</v>
      </c>
      <c r="E51" s="514" t="n">
        <v>341365.705129184</v>
      </c>
      <c r="F51" s="514" t="n">
        <v>227577.136752789</v>
      </c>
      <c r="G51" s="514" t="n">
        <v>227577.136752789</v>
      </c>
      <c r="H51" s="514" t="n">
        <v>227577.136752789</v>
      </c>
      <c r="I51" s="514" t="n">
        <v>227577.136752789</v>
      </c>
      <c r="J51" s="514" t="n">
        <v>47478.8379356934</v>
      </c>
      <c r="K51" s="514" t="n">
        <v>3400000</v>
      </c>
      <c r="L51" s="514" t="n">
        <v>1833333.33333333</v>
      </c>
      <c r="M51" s="514" t="n">
        <v>1633333.33333333</v>
      </c>
      <c r="N51" s="514" t="n">
        <v>1625000</v>
      </c>
      <c r="O51" s="514" t="n">
        <v>2000000</v>
      </c>
      <c r="P51" s="514" t="n"/>
      <c r="Q51" s="514" t="n">
        <v>8333333.33333333</v>
      </c>
      <c r="R51" s="514" t="n"/>
      <c r="S51" s="515" t="n"/>
      <c r="T51" s="516">
        <f>SUM(C51:S51)+T50</f>
        <v>372791666.6666664</v>
      </c>
      <c r="U51" s="517">
        <f>T51/(X51)</f>
        <v>0.3727916667</v>
      </c>
      <c r="V51" s="516">
        <f>T51-T50</f>
        <v>20908333.333333313</v>
      </c>
      <c r="W51" s="522">
        <f>U51-U50</f>
        <v>0.0209083333</v>
      </c>
      <c r="X51" s="520">
        <f>X50+S51</f>
        <v>1000000000.0</v>
      </c>
      <c r="Y51" s="521">
        <f>Y50+1</f>
        <v>23.0</v>
      </c>
      <c r="Z51" s="381" t="n"/>
      <c r="AA51" s="381" t="n"/>
      <c r="AB51" s="381" t="n"/>
      <c r="AC51" s="381" t="n"/>
      <c r="AD51" s="381" t="n"/>
      <c r="AE51" s="381" t="n"/>
      <c r="AF51" s="381" t="n"/>
      <c r="AG51" s="381" t="n"/>
      <c r="AH51" s="381" t="n"/>
      <c r="AI51" s="381" t="n"/>
      <c r="AJ51" s="381" t="n"/>
      <c r="AK51" s="381" t="n"/>
      <c r="AL51" s="381" t="n"/>
      <c r="AM51" s="381" t="n"/>
      <c r="AN51" s="381" t="n"/>
      <c r="AO51" s="381" t="n"/>
      <c r="AP51" s="381" t="n"/>
      <c r="AQ51" s="381" t="n"/>
      <c r="AR51" s="381" t="n"/>
    </row>
    <row r="52" ht="15.75" customHeight="1" s="375">
      <c r="A52" s="511" t="n">
        <v>47376</v>
      </c>
      <c r="B52" s="512" t="str">
        <f>"T+"&amp;(Y52*1)&amp;"M"</f>
        <v>T+24M</v>
      </c>
      <c r="C52" s="513" t="n">
        <v>215237.401375325</v>
      </c>
      <c r="D52" s="514" t="n">
        <v>568942.841881973</v>
      </c>
      <c r="E52" s="514" t="n">
        <v>341365.705129184</v>
      </c>
      <c r="F52" s="514" t="n">
        <v>227577.136752789</v>
      </c>
      <c r="G52" s="514" t="n">
        <v>227577.136752789</v>
      </c>
      <c r="H52" s="514" t="n">
        <v>227577.136752789</v>
      </c>
      <c r="I52" s="514" t="n">
        <v>227577.136752789</v>
      </c>
      <c r="J52" s="514" t="n">
        <v>47478.8379356934</v>
      </c>
      <c r="K52" s="514" t="n">
        <v>3400000</v>
      </c>
      <c r="L52" s="514" t="n">
        <v>1833333.33333333</v>
      </c>
      <c r="M52" s="514" t="n">
        <v>1633333.33333333</v>
      </c>
      <c r="N52" s="514" t="n">
        <v>1625000</v>
      </c>
      <c r="O52" s="514" t="n">
        <v>2000000</v>
      </c>
      <c r="P52" s="514" t="n"/>
      <c r="Q52" s="514" t="n">
        <v>8333333.33333333</v>
      </c>
      <c r="R52" s="514" t="n"/>
      <c r="S52" s="515" t="n"/>
      <c r="T52" s="516">
        <f>SUM(C52:S52)+T51</f>
        <v>393699999.9999997</v>
      </c>
      <c r="U52" s="517">
        <f>T52/(X52)</f>
        <v>0.3937</v>
      </c>
      <c r="V52" s="516">
        <f>T52-T51</f>
        <v>20908333.333333313</v>
      </c>
      <c r="W52" s="522">
        <f>U52-U51</f>
        <v>0.0209083333</v>
      </c>
      <c r="X52" s="520">
        <f>X51+S52</f>
        <v>1000000000.0</v>
      </c>
      <c r="Y52" s="521">
        <f>Y51+1</f>
        <v>24.0</v>
      </c>
      <c r="Z52" s="381" t="n"/>
      <c r="AA52" s="381" t="n"/>
      <c r="AB52" s="381" t="n"/>
      <c r="AC52" s="381" t="n"/>
      <c r="AD52" s="381" t="n"/>
      <c r="AE52" s="381" t="n"/>
      <c r="AF52" s="381" t="n"/>
      <c r="AG52" s="381" t="n"/>
      <c r="AH52" s="381" t="n"/>
      <c r="AI52" s="381" t="n"/>
      <c r="AJ52" s="381" t="n"/>
      <c r="AK52" s="381" t="n"/>
      <c r="AL52" s="381" t="n"/>
      <c r="AM52" s="381" t="n"/>
      <c r="AN52" s="381" t="n"/>
      <c r="AO52" s="381" t="n"/>
      <c r="AP52" s="381" t="n"/>
      <c r="AQ52" s="381" t="n"/>
      <c r="AR52" s="381" t="n"/>
    </row>
    <row r="53" ht="15.75" customHeight="1" s="375">
      <c r="A53" s="511" t="n">
        <v>47406</v>
      </c>
      <c r="B53" s="512" t="str">
        <f>"T+"&amp;(Y53*1)&amp;"M"</f>
        <v>T+25M</v>
      </c>
      <c r="C53" s="513" t="n">
        <v>215237.401375325</v>
      </c>
      <c r="D53" s="514" t="n">
        <v>568942.841881973</v>
      </c>
      <c r="E53" s="514" t="n">
        <v>341365.705129184</v>
      </c>
      <c r="F53" s="514" t="n">
        <v>227577.136752789</v>
      </c>
      <c r="G53" s="514" t="n">
        <v>227577.136752789</v>
      </c>
      <c r="H53" s="514" t="n">
        <v>227577.136752789</v>
      </c>
      <c r="I53" s="514" t="n">
        <v>227577.136752789</v>
      </c>
      <c r="J53" s="514" t="n">
        <v>47478.8379356934</v>
      </c>
      <c r="K53" s="514" t="n">
        <v>2890000</v>
      </c>
      <c r="L53" s="514" t="n">
        <v>1833333.33333333</v>
      </c>
      <c r="M53" s="514" t="n">
        <v>1633333.33333333</v>
      </c>
      <c r="N53" s="514" t="n">
        <v>1625000</v>
      </c>
      <c r="O53" s="514" t="n">
        <v>2000000</v>
      </c>
      <c r="P53" s="514" t="n"/>
      <c r="Q53" s="514" t="n">
        <v>8333333.33333333</v>
      </c>
      <c r="R53" s="514" t="n"/>
      <c r="S53" s="515" t="n"/>
      <c r="T53" s="516">
        <f>SUM(C53:S53)+T52</f>
        <v>414098333.333333</v>
      </c>
      <c r="U53" s="517">
        <f>T53/(X53)</f>
        <v>0.4140983333</v>
      </c>
      <c r="V53" s="516">
        <f>T53-T52</f>
        <v>20398333.333333313</v>
      </c>
      <c r="W53" s="522">
        <f>U53-U52</f>
        <v>0.0203983333</v>
      </c>
      <c r="X53" s="520">
        <f>X52+S53</f>
        <v>1000000000.0</v>
      </c>
      <c r="Y53" s="521">
        <f>Y52+1</f>
        <v>25.0</v>
      </c>
      <c r="Z53" s="381" t="n"/>
      <c r="AA53" s="381" t="n"/>
      <c r="AB53" s="381" t="n"/>
      <c r="AC53" s="381" t="n"/>
      <c r="AD53" s="381" t="n"/>
      <c r="AE53" s="381" t="n"/>
      <c r="AF53" s="381" t="n"/>
      <c r="AG53" s="381" t="n"/>
      <c r="AH53" s="381" t="n"/>
      <c r="AI53" s="381" t="n"/>
      <c r="AJ53" s="381" t="n"/>
      <c r="AK53" s="381" t="n"/>
      <c r="AL53" s="381" t="n"/>
      <c r="AM53" s="381" t="n"/>
      <c r="AN53" s="381" t="n"/>
      <c r="AO53" s="381" t="n"/>
      <c r="AP53" s="381" t="n"/>
      <c r="AQ53" s="381" t="n"/>
      <c r="AR53" s="381" t="n"/>
    </row>
    <row r="54" ht="15.75" customHeight="1" s="375">
      <c r="A54" s="511" t="n">
        <v>47437</v>
      </c>
      <c r="B54" s="512" t="str">
        <f>"T+"&amp;(Y54*1)&amp;"M"</f>
        <v>T+26M</v>
      </c>
      <c r="C54" s="513" t="n">
        <v>215237.401375325</v>
      </c>
      <c r="D54" s="514" t="n">
        <v>568942.841881973</v>
      </c>
      <c r="E54" s="514" t="n">
        <v>341365.705129184</v>
      </c>
      <c r="F54" s="514" t="n">
        <v>227577.136752789</v>
      </c>
      <c r="G54" s="514" t="n">
        <v>227577.136752789</v>
      </c>
      <c r="H54" s="514" t="n">
        <v>227577.136752789</v>
      </c>
      <c r="I54" s="514" t="n">
        <v>227577.136752789</v>
      </c>
      <c r="J54" s="514" t="n">
        <v>47478.8379356934</v>
      </c>
      <c r="K54" s="514" t="n">
        <v>2890000</v>
      </c>
      <c r="L54" s="514" t="n">
        <v>1833333.33333333</v>
      </c>
      <c r="M54" s="514" t="n">
        <v>1633333.33333333</v>
      </c>
      <c r="N54" s="514" t="n">
        <v>1625000</v>
      </c>
      <c r="O54" s="514" t="n">
        <v>2000000</v>
      </c>
      <c r="P54" s="514" t="n"/>
      <c r="Q54" s="514" t="n">
        <v>8333333.33333333</v>
      </c>
      <c r="R54" s="514" t="n"/>
      <c r="S54" s="515" t="n"/>
      <c r="T54" s="516">
        <f>SUM(C54:S54)+T53</f>
        <v>434496666.6666663</v>
      </c>
      <c r="U54" s="517">
        <f>T54/(X54)</f>
        <v>0.4344966667</v>
      </c>
      <c r="V54" s="516">
        <f>T54-T53</f>
        <v>20398333.333333313</v>
      </c>
      <c r="W54" s="522">
        <f>U54-U53</f>
        <v>0.0203983333</v>
      </c>
      <c r="X54" s="520">
        <f>X53+S54</f>
        <v>1000000000.0</v>
      </c>
      <c r="Y54" s="521">
        <f>Y53+1</f>
        <v>26.0</v>
      </c>
      <c r="Z54" s="381" t="n"/>
      <c r="AA54" s="381" t="n"/>
      <c r="AB54" s="381" t="n"/>
      <c r="AC54" s="381" t="n"/>
      <c r="AD54" s="381" t="n"/>
      <c r="AE54" s="381" t="n"/>
      <c r="AF54" s="381" t="n"/>
      <c r="AG54" s="381" t="n"/>
      <c r="AH54" s="381" t="n"/>
      <c r="AI54" s="381" t="n"/>
      <c r="AJ54" s="381" t="n"/>
      <c r="AK54" s="381" t="n"/>
      <c r="AL54" s="381" t="n"/>
      <c r="AM54" s="381" t="n"/>
      <c r="AN54" s="381" t="n"/>
      <c r="AO54" s="381" t="n"/>
      <c r="AP54" s="381" t="n"/>
      <c r="AQ54" s="381" t="n"/>
      <c r="AR54" s="381" t="n"/>
    </row>
    <row r="55" ht="15.75" customHeight="1" s="375">
      <c r="A55" s="511" t="n">
        <v>47467</v>
      </c>
      <c r="B55" s="512" t="str">
        <f>"T+"&amp;(Y55*1)&amp;"M"</f>
        <v>T+27M</v>
      </c>
      <c r="C55" s="513" t="n">
        <v>215237.401375325</v>
      </c>
      <c r="D55" s="514" t="n">
        <v>568942.841881973</v>
      </c>
      <c r="E55" s="514" t="n">
        <v>341365.705129184</v>
      </c>
      <c r="F55" s="514" t="n">
        <v>227577.136752789</v>
      </c>
      <c r="G55" s="514" t="n">
        <v>227577.136752789</v>
      </c>
      <c r="H55" s="514" t="n">
        <v>227577.136752789</v>
      </c>
      <c r="I55" s="514" t="n">
        <v>227577.136752789</v>
      </c>
      <c r="J55" s="514" t="n">
        <v>47478.8379356934</v>
      </c>
      <c r="K55" s="514" t="n">
        <v>2890000</v>
      </c>
      <c r="L55" s="514" t="n">
        <v>1833333.33333333</v>
      </c>
      <c r="M55" s="514" t="n">
        <v>1633333.33333333</v>
      </c>
      <c r="N55" s="514" t="n">
        <v>1625000</v>
      </c>
      <c r="O55" s="514" t="n">
        <v>2000000</v>
      </c>
      <c r="P55" s="514" t="n"/>
      <c r="Q55" s="514" t="n">
        <v>8333333.33333333</v>
      </c>
      <c r="R55" s="514" t="n"/>
      <c r="S55" s="515" t="n"/>
      <c r="T55" s="516">
        <f>SUM(C55:S55)+T54</f>
        <v>454894999.99999964</v>
      </c>
      <c r="U55" s="517">
        <f>T55/(X55)</f>
        <v>0.454895</v>
      </c>
      <c r="V55" s="516">
        <f>T55-T54</f>
        <v>20398333.333333313</v>
      </c>
      <c r="W55" s="522">
        <f>U55-U54</f>
        <v>0.0203983333</v>
      </c>
      <c r="X55" s="520">
        <f>X54+S55</f>
        <v>1000000000.0</v>
      </c>
      <c r="Y55" s="521">
        <f>Y54+1</f>
        <v>27.0</v>
      </c>
      <c r="Z55" s="381" t="n"/>
      <c r="AA55" s="381" t="n"/>
      <c r="AB55" s="381" t="n"/>
      <c r="AC55" s="381" t="n"/>
      <c r="AD55" s="381" t="n"/>
      <c r="AE55" s="381" t="n"/>
      <c r="AF55" s="381" t="n"/>
      <c r="AG55" s="381" t="n"/>
      <c r="AH55" s="381" t="n"/>
      <c r="AI55" s="381" t="n"/>
      <c r="AJ55" s="381" t="n"/>
      <c r="AK55" s="381" t="n"/>
      <c r="AL55" s="381" t="n"/>
      <c r="AM55" s="381" t="n"/>
      <c r="AN55" s="381" t="n"/>
      <c r="AO55" s="381" t="n"/>
      <c r="AP55" s="381" t="n"/>
      <c r="AQ55" s="381" t="n"/>
      <c r="AR55" s="381" t="n"/>
    </row>
    <row r="56" ht="15.75" customHeight="1" s="375">
      <c r="A56" s="511" t="n">
        <v>47498</v>
      </c>
      <c r="B56" s="512" t="str">
        <f>"T+"&amp;(Y56*1)&amp;"M"</f>
        <v>T+28M</v>
      </c>
      <c r="C56" s="513" t="n">
        <v>215237.401375325</v>
      </c>
      <c r="D56" s="514" t="n">
        <v>568942.841881973</v>
      </c>
      <c r="E56" s="514" t="n">
        <v>341365.705129184</v>
      </c>
      <c r="F56" s="514" t="n">
        <v>227577.136752789</v>
      </c>
      <c r="G56" s="514" t="n">
        <v>227577.136752789</v>
      </c>
      <c r="H56" s="514" t="n">
        <v>227577.136752789</v>
      </c>
      <c r="I56" s="514" t="n">
        <v>227577.136752789</v>
      </c>
      <c r="J56" s="514" t="n">
        <v>47478.8379356934</v>
      </c>
      <c r="K56" s="514" t="n">
        <v>2890000</v>
      </c>
      <c r="L56" s="514" t="n">
        <v>1833333.33333333</v>
      </c>
      <c r="M56" s="514" t="n">
        <v>1633333.33333333</v>
      </c>
      <c r="N56" s="514" t="n">
        <v>1625000</v>
      </c>
      <c r="O56" s="514" t="n">
        <v>2000000</v>
      </c>
      <c r="P56" s="514" t="n"/>
      <c r="Q56" s="514" t="n">
        <v>8333333.33333333</v>
      </c>
      <c r="R56" s="514" t="n"/>
      <c r="S56" s="515" t="n"/>
      <c r="T56" s="516">
        <f>SUM(C56:S56)+T55</f>
        <v>475293333.33333296</v>
      </c>
      <c r="U56" s="517">
        <f>T56/(X56)</f>
        <v>0.4752933333</v>
      </c>
      <c r="V56" s="516">
        <f>T56-T55</f>
        <v>20398333.333333313</v>
      </c>
      <c r="W56" s="522">
        <f>U56-U55</f>
        <v>0.0203983333</v>
      </c>
      <c r="X56" s="520">
        <f>X55+S56</f>
        <v>1000000000.0</v>
      </c>
      <c r="Y56" s="521">
        <f>Y55+1</f>
        <v>28.0</v>
      </c>
      <c r="Z56" s="381" t="n"/>
      <c r="AA56" s="381" t="n"/>
      <c r="AB56" s="381" t="n"/>
      <c r="AC56" s="381" t="n"/>
      <c r="AD56" s="381" t="n"/>
      <c r="AE56" s="381" t="n"/>
      <c r="AF56" s="381" t="n"/>
      <c r="AG56" s="381" t="n"/>
      <c r="AH56" s="381" t="n"/>
      <c r="AI56" s="381" t="n"/>
      <c r="AJ56" s="381" t="n"/>
      <c r="AK56" s="381" t="n"/>
      <c r="AL56" s="381" t="n"/>
      <c r="AM56" s="381" t="n"/>
      <c r="AN56" s="381" t="n"/>
      <c r="AO56" s="381" t="n"/>
      <c r="AP56" s="381" t="n"/>
      <c r="AQ56" s="381" t="n"/>
      <c r="AR56" s="381" t="n"/>
    </row>
    <row r="57" ht="15.75" customHeight="1" s="375">
      <c r="A57" s="511" t="n">
        <v>47529</v>
      </c>
      <c r="B57" s="512" t="str">
        <f>"T+"&amp;(Y57*1)&amp;"M"</f>
        <v>T+29M</v>
      </c>
      <c r="C57" s="513" t="n">
        <v>215237.401375325</v>
      </c>
      <c r="D57" s="514" t="n">
        <v>568942.841881973</v>
      </c>
      <c r="E57" s="514" t="n">
        <v>341365.705129184</v>
      </c>
      <c r="F57" s="514" t="n">
        <v>227577.136752789</v>
      </c>
      <c r="G57" s="514" t="n">
        <v>227577.136752789</v>
      </c>
      <c r="H57" s="514" t="n">
        <v>227577.136752789</v>
      </c>
      <c r="I57" s="514" t="n">
        <v>227577.136752789</v>
      </c>
      <c r="J57" s="514" t="n">
        <v>47478.8379356934</v>
      </c>
      <c r="K57" s="514" t="n">
        <v>2890000</v>
      </c>
      <c r="L57" s="514" t="n">
        <v>1833333.33333333</v>
      </c>
      <c r="M57" s="514" t="n">
        <v>1633333.33333333</v>
      </c>
      <c r="N57" s="514" t="n">
        <v>1625000</v>
      </c>
      <c r="O57" s="514" t="n">
        <v>2000000</v>
      </c>
      <c r="P57" s="514" t="n"/>
      <c r="Q57" s="514" t="n">
        <v>8333333.33333333</v>
      </c>
      <c r="R57" s="514" t="n"/>
      <c r="S57" s="515" t="n"/>
      <c r="T57" s="516">
        <f>SUM(C57:S57)+T56</f>
        <v>495691666.66666627</v>
      </c>
      <c r="U57" s="517">
        <f>T57/(X57)</f>
        <v>0.4956916667</v>
      </c>
      <c r="V57" s="516">
        <f>T57-T56</f>
        <v>20398333.333333313</v>
      </c>
      <c r="W57" s="522">
        <f>U57-U56</f>
        <v>0.0203983333</v>
      </c>
      <c r="X57" s="520">
        <f>X56+S57</f>
        <v>1000000000.0</v>
      </c>
      <c r="Y57" s="521">
        <f>Y56+1</f>
        <v>29.0</v>
      </c>
      <c r="Z57" s="381" t="n"/>
      <c r="AA57" s="381" t="n"/>
      <c r="AB57" s="381" t="n"/>
      <c r="AC57" s="381" t="n"/>
      <c r="AD57" s="381" t="n"/>
      <c r="AE57" s="381" t="n"/>
      <c r="AF57" s="381" t="n"/>
      <c r="AG57" s="381" t="n"/>
      <c r="AH57" s="381" t="n"/>
      <c r="AI57" s="381" t="n"/>
      <c r="AJ57" s="381" t="n"/>
      <c r="AK57" s="381" t="n"/>
      <c r="AL57" s="381" t="n"/>
      <c r="AM57" s="381" t="n"/>
      <c r="AN57" s="381" t="n"/>
      <c r="AO57" s="381" t="n"/>
      <c r="AP57" s="381" t="n"/>
      <c r="AQ57" s="381" t="n"/>
      <c r="AR57" s="381" t="n"/>
    </row>
    <row r="58" ht="15.75" customHeight="1" s="375">
      <c r="A58" s="511" t="n">
        <v>47557</v>
      </c>
      <c r="B58" s="512" t="str">
        <f>"T+"&amp;(Y58*1)&amp;"M"</f>
        <v>T+30M</v>
      </c>
      <c r="C58" s="513" t="n">
        <v>215237.401375325</v>
      </c>
      <c r="D58" s="514" t="n">
        <v>568942.841881973</v>
      </c>
      <c r="E58" s="514" t="n">
        <v>341365.705129184</v>
      </c>
      <c r="F58" s="514" t="n">
        <v>227577.136752789</v>
      </c>
      <c r="G58" s="514" t="n">
        <v>227577.136752789</v>
      </c>
      <c r="H58" s="514" t="n">
        <v>227577.136752789</v>
      </c>
      <c r="I58" s="514" t="n">
        <v>227577.136752789</v>
      </c>
      <c r="J58" s="514" t="n">
        <v>47478.8379356934</v>
      </c>
      <c r="K58" s="514" t="n">
        <v>2890000</v>
      </c>
      <c r="L58" s="514" t="n">
        <v>1833333.33333333</v>
      </c>
      <c r="M58" s="514" t="n">
        <v>1633333.33333333</v>
      </c>
      <c r="N58" s="514" t="n">
        <v>1625000</v>
      </c>
      <c r="O58" s="514" t="n">
        <v>2000000</v>
      </c>
      <c r="P58" s="514" t="n"/>
      <c r="Q58" s="514" t="n">
        <v>8333333.33333333</v>
      </c>
      <c r="R58" s="514" t="n"/>
      <c r="S58" s="515" t="n"/>
      <c r="T58" s="516">
        <f>SUM(C58:S58)+T57</f>
        <v>516089999.9999996</v>
      </c>
      <c r="U58" s="517">
        <f>T58/(X58)</f>
        <v>0.51609</v>
      </c>
      <c r="V58" s="516">
        <f>T58-T57</f>
        <v>20398333.333333313</v>
      </c>
      <c r="W58" s="522">
        <f>U58-U57</f>
        <v>0.0203983333</v>
      </c>
      <c r="X58" s="520">
        <f>X57+S58</f>
        <v>1000000000.0</v>
      </c>
      <c r="Y58" s="521">
        <f>Y57+1</f>
        <v>30.0</v>
      </c>
      <c r="Z58" s="381" t="n"/>
      <c r="AA58" s="381" t="n"/>
      <c r="AB58" s="381" t="n"/>
      <c r="AC58" s="381" t="n"/>
      <c r="AD58" s="381" t="n"/>
      <c r="AE58" s="381" t="n"/>
      <c r="AF58" s="381" t="n"/>
      <c r="AG58" s="381" t="n"/>
      <c r="AH58" s="381" t="n"/>
      <c r="AI58" s="381" t="n"/>
      <c r="AJ58" s="381" t="n"/>
      <c r="AK58" s="381" t="n"/>
      <c r="AL58" s="381" t="n"/>
      <c r="AM58" s="381" t="n"/>
      <c r="AN58" s="381" t="n"/>
      <c r="AO58" s="381" t="n"/>
      <c r="AP58" s="381" t="n"/>
      <c r="AQ58" s="381" t="n"/>
      <c r="AR58" s="381" t="n"/>
    </row>
    <row r="59" ht="15.75" customHeight="1" s="375">
      <c r="A59" s="511" t="n">
        <v>47588</v>
      </c>
      <c r="B59" s="512" t="str">
        <f>"T+"&amp;(Y59*1)&amp;"M"</f>
        <v>T+31M</v>
      </c>
      <c r="C59" s="513" t="n">
        <v>215237.401375325</v>
      </c>
      <c r="D59" s="514" t="n">
        <v>568942.841881973</v>
      </c>
      <c r="E59" s="514" t="n">
        <v>341365.705129184</v>
      </c>
      <c r="F59" s="514" t="n">
        <v>227577.136752789</v>
      </c>
      <c r="G59" s="514" t="n">
        <v>227577.136752789</v>
      </c>
      <c r="H59" s="514" t="n">
        <v>227577.136752789</v>
      </c>
      <c r="I59" s="514" t="n">
        <v>227577.136752789</v>
      </c>
      <c r="J59" s="514" t="n">
        <v>47478.8379356934</v>
      </c>
      <c r="K59" s="514" t="n">
        <v>2890000</v>
      </c>
      <c r="L59" s="514" t="n"/>
      <c r="M59" s="514" t="n">
        <v>1633333.33333333</v>
      </c>
      <c r="N59" s="514" t="n">
        <v>1625000</v>
      </c>
      <c r="O59" s="514" t="n">
        <v>2000000</v>
      </c>
      <c r="P59" s="514" t="n"/>
      <c r="Q59" s="514" t="n">
        <v>8333333.33333333</v>
      </c>
      <c r="R59" s="514" t="n"/>
      <c r="S59" s="515" t="n"/>
      <c r="T59" s="516">
        <f>SUM(C59:S59)+T58</f>
        <v>534654999.9999996</v>
      </c>
      <c r="U59" s="517">
        <f>T59/(X59)</f>
        <v>0.534655</v>
      </c>
      <c r="V59" s="516">
        <f>T59-T58</f>
        <v>18565000.0</v>
      </c>
      <c r="W59" s="522">
        <f>U59-U58</f>
        <v>0.018565</v>
      </c>
      <c r="X59" s="520">
        <f>X58+S59</f>
        <v>1000000000.0</v>
      </c>
      <c r="Y59" s="521">
        <f>Y58+1</f>
        <v>31.0</v>
      </c>
      <c r="Z59" s="381" t="n"/>
      <c r="AA59" s="381" t="n"/>
      <c r="AB59" s="381" t="n"/>
      <c r="AC59" s="381" t="n"/>
      <c r="AD59" s="381" t="n"/>
      <c r="AE59" s="381" t="n"/>
      <c r="AF59" s="381" t="n"/>
      <c r="AG59" s="381" t="n"/>
      <c r="AH59" s="381" t="n"/>
      <c r="AI59" s="381" t="n"/>
      <c r="AJ59" s="381" t="n"/>
      <c r="AK59" s="381" t="n"/>
      <c r="AL59" s="381" t="n"/>
      <c r="AM59" s="381" t="n"/>
      <c r="AN59" s="381" t="n"/>
      <c r="AO59" s="381" t="n"/>
      <c r="AP59" s="381" t="n"/>
      <c r="AQ59" s="381" t="n"/>
      <c r="AR59" s="381" t="n"/>
    </row>
    <row r="60" ht="15.75" customHeight="1" s="375">
      <c r="A60" s="511" t="n">
        <v>47618</v>
      </c>
      <c r="B60" s="512" t="str">
        <f>"T+"&amp;(Y60*1)&amp;"M"</f>
        <v>T+32M</v>
      </c>
      <c r="C60" s="513" t="n">
        <v>215237.401375325</v>
      </c>
      <c r="D60" s="514" t="n">
        <v>568942.841881973</v>
      </c>
      <c r="E60" s="514" t="n">
        <v>341365.705129184</v>
      </c>
      <c r="F60" s="514" t="n">
        <v>227577.136752789</v>
      </c>
      <c r="G60" s="514" t="n">
        <v>227577.136752789</v>
      </c>
      <c r="H60" s="514" t="n">
        <v>227577.136752789</v>
      </c>
      <c r="I60" s="514" t="n">
        <v>227577.136752789</v>
      </c>
      <c r="J60" s="514" t="n">
        <v>47478.8379356934</v>
      </c>
      <c r="K60" s="514" t="n">
        <v>2890000</v>
      </c>
      <c r="L60" s="514" t="n"/>
      <c r="M60" s="514" t="n">
        <v>1633333.33333333</v>
      </c>
      <c r="N60" s="514" t="n">
        <v>1625000</v>
      </c>
      <c r="O60" s="514" t="n">
        <v>2000000</v>
      </c>
      <c r="P60" s="514" t="n"/>
      <c r="Q60" s="514" t="n">
        <v>8333333.33333333</v>
      </c>
      <c r="R60" s="514" t="n"/>
      <c r="S60" s="515" t="n"/>
      <c r="T60" s="516">
        <f>SUM(C60:S60)+T59</f>
        <v>553219999.9999995</v>
      </c>
      <c r="U60" s="517">
        <f>T60/(X60)</f>
        <v>0.55322</v>
      </c>
      <c r="V60" s="516">
        <f>T60-T59</f>
        <v>18564999.99999994</v>
      </c>
      <c r="W60" s="522">
        <f>U60-U59</f>
        <v>0.018565</v>
      </c>
      <c r="X60" s="520">
        <f>X59+S60</f>
        <v>1000000000.0</v>
      </c>
      <c r="Y60" s="521">
        <f>Y59+1</f>
        <v>32.0</v>
      </c>
      <c r="Z60" s="381" t="n"/>
      <c r="AA60" s="381" t="n"/>
      <c r="AB60" s="381" t="n"/>
      <c r="AC60" s="381" t="n"/>
      <c r="AD60" s="381" t="n"/>
      <c r="AE60" s="381" t="n"/>
      <c r="AF60" s="381" t="n"/>
      <c r="AG60" s="381" t="n"/>
      <c r="AH60" s="381" t="n"/>
      <c r="AI60" s="381" t="n"/>
      <c r="AJ60" s="381" t="n"/>
      <c r="AK60" s="381" t="n"/>
      <c r="AL60" s="381" t="n"/>
      <c r="AM60" s="381" t="n"/>
      <c r="AN60" s="381" t="n"/>
      <c r="AO60" s="381" t="n"/>
      <c r="AP60" s="381" t="n"/>
      <c r="AQ60" s="381" t="n"/>
      <c r="AR60" s="381" t="n"/>
    </row>
    <row r="61" ht="15.75" customHeight="1" s="375">
      <c r="A61" s="511" t="n">
        <v>47649</v>
      </c>
      <c r="B61" s="512" t="str">
        <f>"T+"&amp;(Y61*1)&amp;"M"</f>
        <v>T+33M</v>
      </c>
      <c r="C61" s="513" t="n">
        <v>215237.401375325</v>
      </c>
      <c r="D61" s="514" t="n">
        <v>568942.841881973</v>
      </c>
      <c r="E61" s="514" t="n">
        <v>341365.705129184</v>
      </c>
      <c r="F61" s="514" t="n">
        <v>227577.136752789</v>
      </c>
      <c r="G61" s="514" t="n">
        <v>227577.136752789</v>
      </c>
      <c r="H61" s="514" t="n">
        <v>227577.136752789</v>
      </c>
      <c r="I61" s="514" t="n">
        <v>227577.136752789</v>
      </c>
      <c r="J61" s="514" t="n">
        <v>47478.8379356934</v>
      </c>
      <c r="K61" s="514" t="n">
        <v>2890000</v>
      </c>
      <c r="L61" s="514" t="n"/>
      <c r="M61" s="514" t="n">
        <v>1633333.33333333</v>
      </c>
      <c r="N61" s="514" t="n">
        <v>1625000</v>
      </c>
      <c r="O61" s="514" t="n">
        <v>2000000</v>
      </c>
      <c r="P61" s="514" t="n"/>
      <c r="Q61" s="514" t="n">
        <v>8333333.33333333</v>
      </c>
      <c r="R61" s="514" t="n"/>
      <c r="S61" s="515" t="n"/>
      <c r="T61" s="516">
        <f>SUM(C61:S61)+T60</f>
        <v>571784999.9999995</v>
      </c>
      <c r="U61" s="517">
        <f>T61/(X61)</f>
        <v>0.571785</v>
      </c>
      <c r="V61" s="516">
        <f>T61-T60</f>
        <v>18565000.0</v>
      </c>
      <c r="W61" s="522">
        <f>U61-U60</f>
        <v>0.018565</v>
      </c>
      <c r="X61" s="520">
        <f>X60+S61</f>
        <v>1000000000.0</v>
      </c>
      <c r="Y61" s="521">
        <f>Y60+1</f>
        <v>33.0</v>
      </c>
      <c r="Z61" s="381" t="n"/>
      <c r="AA61" s="381" t="n"/>
      <c r="AB61" s="381" t="n"/>
      <c r="AC61" s="381" t="n"/>
      <c r="AD61" s="381" t="n"/>
      <c r="AE61" s="381" t="n"/>
      <c r="AF61" s="381" t="n"/>
      <c r="AG61" s="381" t="n"/>
      <c r="AH61" s="381" t="n"/>
      <c r="AI61" s="381" t="n"/>
      <c r="AJ61" s="381" t="n"/>
      <c r="AK61" s="381" t="n"/>
      <c r="AL61" s="381" t="n"/>
      <c r="AM61" s="381" t="n"/>
      <c r="AN61" s="381" t="n"/>
      <c r="AO61" s="381" t="n"/>
      <c r="AP61" s="381" t="n"/>
      <c r="AQ61" s="381" t="n"/>
      <c r="AR61" s="381" t="n"/>
    </row>
    <row r="62" ht="15.75" customHeight="1" s="375">
      <c r="A62" s="511" t="n">
        <v>47679</v>
      </c>
      <c r="B62" s="512" t="str">
        <f>"T+"&amp;(Y62*1)&amp;"M"</f>
        <v>T+34M</v>
      </c>
      <c r="C62" s="513" t="n">
        <v>215237.401375325</v>
      </c>
      <c r="D62" s="514" t="n">
        <v>568942.841881973</v>
      </c>
      <c r="E62" s="514" t="n">
        <v>341365.705129184</v>
      </c>
      <c r="F62" s="514" t="n">
        <v>227577.136752789</v>
      </c>
      <c r="G62" s="514" t="n">
        <v>227577.136752789</v>
      </c>
      <c r="H62" s="514" t="n">
        <v>227577.136752789</v>
      </c>
      <c r="I62" s="514" t="n">
        <v>227577.136752789</v>
      </c>
      <c r="J62" s="514" t="n">
        <v>47478.8379356934</v>
      </c>
      <c r="K62" s="514" t="n">
        <v>2890000</v>
      </c>
      <c r="L62" s="514" t="n"/>
      <c r="M62" s="514" t="n">
        <v>1633333.33333333</v>
      </c>
      <c r="N62" s="514" t="n">
        <v>1625000</v>
      </c>
      <c r="O62" s="514" t="n">
        <v>2000000</v>
      </c>
      <c r="P62" s="514" t="n"/>
      <c r="Q62" s="514" t="n">
        <v>8333333.33333333</v>
      </c>
      <c r="R62" s="514" t="n"/>
      <c r="S62" s="515" t="n"/>
      <c r="T62" s="516">
        <f>SUM(C62:S62)+T61</f>
        <v>590349999.9999995</v>
      </c>
      <c r="U62" s="517">
        <f>T62/(X62)</f>
        <v>0.59035</v>
      </c>
      <c r="V62" s="516">
        <f>T62-T61</f>
        <v>18565000.0</v>
      </c>
      <c r="W62" s="522">
        <f>U62-U61</f>
        <v>0.018565</v>
      </c>
      <c r="X62" s="520">
        <f>X61+S62</f>
        <v>1000000000.0</v>
      </c>
      <c r="Y62" s="521">
        <f>Y61+1</f>
        <v>34.0</v>
      </c>
      <c r="Z62" s="381" t="n"/>
      <c r="AA62" s="381" t="n"/>
      <c r="AB62" s="381" t="n"/>
      <c r="AC62" s="381" t="n"/>
      <c r="AD62" s="381" t="n"/>
      <c r="AE62" s="381" t="n"/>
      <c r="AF62" s="381" t="n"/>
      <c r="AG62" s="381" t="n"/>
      <c r="AH62" s="381" t="n"/>
      <c r="AI62" s="381" t="n"/>
      <c r="AJ62" s="381" t="n"/>
      <c r="AK62" s="381" t="n"/>
      <c r="AL62" s="381" t="n"/>
      <c r="AM62" s="381" t="n"/>
      <c r="AN62" s="381" t="n"/>
      <c r="AO62" s="381" t="n"/>
      <c r="AP62" s="381" t="n"/>
      <c r="AQ62" s="381" t="n"/>
      <c r="AR62" s="381" t="n"/>
    </row>
    <row r="63" ht="15.75" customHeight="1" s="375">
      <c r="A63" s="511" t="n">
        <v>47710</v>
      </c>
      <c r="B63" s="512" t="str">
        <f>"T+"&amp;(Y63*1)&amp;"M"</f>
        <v>T+35M</v>
      </c>
      <c r="C63" s="513" t="n">
        <v>215237.401375325</v>
      </c>
      <c r="D63" s="514" t="n">
        <v>568942.841881973</v>
      </c>
      <c r="E63" s="514" t="n">
        <v>341365.705129184</v>
      </c>
      <c r="F63" s="514" t="n">
        <v>227577.136752789</v>
      </c>
      <c r="G63" s="514" t="n">
        <v>227577.136752789</v>
      </c>
      <c r="H63" s="514" t="n">
        <v>227577.136752789</v>
      </c>
      <c r="I63" s="514" t="n">
        <v>227577.136752789</v>
      </c>
      <c r="J63" s="514" t="n">
        <v>47478.8379356934</v>
      </c>
      <c r="K63" s="514" t="n">
        <v>2890000</v>
      </c>
      <c r="L63" s="514" t="n"/>
      <c r="M63" s="514" t="n">
        <v>1633333.33333333</v>
      </c>
      <c r="N63" s="514" t="n">
        <v>1625000</v>
      </c>
      <c r="O63" s="514" t="n">
        <v>2000000</v>
      </c>
      <c r="P63" s="514" t="n"/>
      <c r="Q63" s="514" t="n">
        <v>8333333.33333333</v>
      </c>
      <c r="R63" s="514" t="n"/>
      <c r="S63" s="515" t="n"/>
      <c r="T63" s="516">
        <f>SUM(C63:S63)+T62</f>
        <v>608914999.9999995</v>
      </c>
      <c r="U63" s="517">
        <f>T63/(X63)</f>
        <v>0.608915</v>
      </c>
      <c r="V63" s="516">
        <f>T63-T62</f>
        <v>18565000.0</v>
      </c>
      <c r="W63" s="522">
        <f>U63-U62</f>
        <v>0.018565</v>
      </c>
      <c r="X63" s="520">
        <f>X62+S63</f>
        <v>1000000000.0</v>
      </c>
      <c r="Y63" s="521">
        <f>Y62+1</f>
        <v>35.0</v>
      </c>
      <c r="Z63" s="381" t="n"/>
      <c r="AA63" s="381" t="n"/>
      <c r="AB63" s="381" t="n"/>
      <c r="AC63" s="381" t="n"/>
      <c r="AD63" s="381" t="n"/>
      <c r="AE63" s="381" t="n"/>
      <c r="AF63" s="381" t="n"/>
      <c r="AG63" s="381" t="n"/>
      <c r="AH63" s="381" t="n"/>
      <c r="AI63" s="381" t="n"/>
      <c r="AJ63" s="381" t="n"/>
      <c r="AK63" s="381" t="n"/>
      <c r="AL63" s="381" t="n"/>
      <c r="AM63" s="381" t="n"/>
      <c r="AN63" s="381" t="n"/>
      <c r="AO63" s="381" t="n"/>
      <c r="AP63" s="381" t="n"/>
      <c r="AQ63" s="381" t="n"/>
      <c r="AR63" s="381" t="n"/>
    </row>
    <row r="64" ht="15.75" customHeight="1" s="375">
      <c r="A64" s="511" t="n">
        <v>47741</v>
      </c>
      <c r="B64" s="512" t="str">
        <f>"T+"&amp;(Y64*1)&amp;"M"</f>
        <v>T+36M</v>
      </c>
      <c r="C64" s="513" t="n">
        <v>215237.401375325</v>
      </c>
      <c r="D64" s="514" t="n">
        <v>568942.841881973</v>
      </c>
      <c r="E64" s="514" t="n">
        <v>341365.705129184</v>
      </c>
      <c r="F64" s="514" t="n">
        <v>227577.136752789</v>
      </c>
      <c r="G64" s="514" t="n">
        <v>227577.136752789</v>
      </c>
      <c r="H64" s="514" t="n">
        <v>227577.136752789</v>
      </c>
      <c r="I64" s="514" t="n">
        <v>227577.136752789</v>
      </c>
      <c r="J64" s="514" t="n">
        <v>47478.8379356934</v>
      </c>
      <c r="K64" s="514" t="n">
        <v>2890000</v>
      </c>
      <c r="L64" s="514" t="n"/>
      <c r="M64" s="514" t="n">
        <v>1633333.33333333</v>
      </c>
      <c r="N64" s="514" t="n">
        <v>1625000</v>
      </c>
      <c r="O64" s="514" t="n">
        <v>2000000</v>
      </c>
      <c r="P64" s="514" t="n"/>
      <c r="Q64" s="514" t="n">
        <v>8333333.33333333</v>
      </c>
      <c r="R64" s="514" t="n"/>
      <c r="S64" s="515" t="n"/>
      <c r="T64" s="516">
        <f>SUM(C64:S64)+T63</f>
        <v>627479999.9999995</v>
      </c>
      <c r="U64" s="517">
        <f>T64/(X64)</f>
        <v>0.62748</v>
      </c>
      <c r="V64" s="516">
        <f>T64-T63</f>
        <v>18565000.0</v>
      </c>
      <c r="W64" s="522">
        <f>U64-U63</f>
        <v>0.018565</v>
      </c>
      <c r="X64" s="520">
        <f>X63+S64</f>
        <v>1000000000.0</v>
      </c>
      <c r="Y64" s="521">
        <f>Y63+1</f>
        <v>36.0</v>
      </c>
      <c r="Z64" s="381" t="n"/>
      <c r="AA64" s="381" t="n"/>
      <c r="AB64" s="381" t="n"/>
      <c r="AC64" s="381" t="n"/>
      <c r="AD64" s="381" t="n"/>
      <c r="AE64" s="381" t="n"/>
      <c r="AF64" s="381" t="n"/>
      <c r="AG64" s="381" t="n"/>
      <c r="AH64" s="381" t="n"/>
      <c r="AI64" s="381" t="n"/>
      <c r="AJ64" s="381" t="n"/>
      <c r="AK64" s="381" t="n"/>
      <c r="AL64" s="381" t="n"/>
      <c r="AM64" s="381" t="n"/>
      <c r="AN64" s="381" t="n"/>
      <c r="AO64" s="381" t="n"/>
      <c r="AP64" s="381" t="n"/>
      <c r="AQ64" s="381" t="n"/>
      <c r="AR64" s="381" t="n"/>
    </row>
    <row r="65" ht="15.75" customHeight="1" s="375">
      <c r="A65" s="511" t="n">
        <v>47771</v>
      </c>
      <c r="B65" s="512" t="str">
        <f>"T+"&amp;(Y65*1)&amp;"M"</f>
        <v>T+37M</v>
      </c>
      <c r="C65" s="513" t="n">
        <v>215237.401375325</v>
      </c>
      <c r="D65" s="514" t="n">
        <v>568942.841881973</v>
      </c>
      <c r="E65" s="514" t="n">
        <v>341365.705129184</v>
      </c>
      <c r="F65" s="514" t="n">
        <v>227577.136752789</v>
      </c>
      <c r="G65" s="514" t="n">
        <v>227577.136752789</v>
      </c>
      <c r="H65" s="514" t="n">
        <v>227577.136752789</v>
      </c>
      <c r="I65" s="514" t="n">
        <v>227577.136752789</v>
      </c>
      <c r="J65" s="514" t="n">
        <v>47478.8379356934</v>
      </c>
      <c r="K65" s="514" t="n">
        <v>2456500</v>
      </c>
      <c r="L65" s="514" t="n"/>
      <c r="M65" s="514" t="n"/>
      <c r="N65" s="514" t="n"/>
      <c r="O65" s="514" t="n">
        <v>2000000</v>
      </c>
      <c r="P65" s="514" t="n"/>
      <c r="Q65" s="514" t="n"/>
      <c r="R65" s="514" t="n"/>
      <c r="S65" s="515" t="n"/>
      <c r="T65" s="516">
        <f>SUM(C65:S65)+T64</f>
        <v>634019833.3333329</v>
      </c>
      <c r="U65" s="517">
        <f>T65/(X65)</f>
        <v>0.6340198333</v>
      </c>
      <c r="V65" s="516">
        <f>T65-T64</f>
        <v>6539833.333333373</v>
      </c>
      <c r="W65" s="522">
        <f>U65-U64</f>
        <v>0.0065398333</v>
      </c>
      <c r="X65" s="520">
        <f>X64+S65</f>
        <v>1000000000.0</v>
      </c>
      <c r="Y65" s="521">
        <f>Y64+1</f>
        <v>37.0</v>
      </c>
      <c r="Z65" s="381" t="n"/>
      <c r="AA65" s="381" t="n"/>
      <c r="AB65" s="381" t="n"/>
      <c r="AC65" s="381" t="n"/>
      <c r="AD65" s="381" t="n"/>
      <c r="AE65" s="381" t="n"/>
      <c r="AF65" s="381" t="n"/>
      <c r="AG65" s="381" t="n"/>
      <c r="AH65" s="381" t="n"/>
      <c r="AI65" s="381" t="n"/>
      <c r="AJ65" s="381" t="n"/>
      <c r="AK65" s="381" t="n"/>
      <c r="AL65" s="381" t="n"/>
      <c r="AM65" s="381" t="n"/>
      <c r="AN65" s="381" t="n"/>
      <c r="AO65" s="381" t="n"/>
      <c r="AP65" s="381" t="n"/>
      <c r="AQ65" s="381" t="n"/>
      <c r="AR65" s="381" t="n"/>
    </row>
    <row r="66" ht="15.75" customHeight="1" s="375">
      <c r="A66" s="511" t="n">
        <v>47802</v>
      </c>
      <c r="B66" s="512" t="str">
        <f>"T+"&amp;(Y66*1)&amp;"M"</f>
        <v>T+38M</v>
      </c>
      <c r="C66" s="513" t="n">
        <v>215237.401375325</v>
      </c>
      <c r="D66" s="514" t="n">
        <v>568942.841881973</v>
      </c>
      <c r="E66" s="514" t="n">
        <v>341365.705129184</v>
      </c>
      <c r="F66" s="514" t="n">
        <v>227577.136752789</v>
      </c>
      <c r="G66" s="514" t="n">
        <v>227577.136752789</v>
      </c>
      <c r="H66" s="514" t="n">
        <v>227577.136752789</v>
      </c>
      <c r="I66" s="514" t="n">
        <v>227577.136752789</v>
      </c>
      <c r="J66" s="514" t="n">
        <v>47478.8379356934</v>
      </c>
      <c r="K66" s="514" t="n">
        <v>2456500</v>
      </c>
      <c r="L66" s="514" t="n"/>
      <c r="M66" s="514" t="n"/>
      <c r="N66" s="514" t="n"/>
      <c r="O66" s="514" t="n">
        <v>2000000</v>
      </c>
      <c r="P66" s="514" t="n"/>
      <c r="Q66" s="514" t="n"/>
      <c r="R66" s="514" t="n"/>
      <c r="S66" s="515" t="n"/>
      <c r="T66" s="516">
        <f>SUM(C66:S66)+T65</f>
        <v>640559666.6666663</v>
      </c>
      <c r="U66" s="517">
        <f>T66/(X66)</f>
        <v>0.6405596667</v>
      </c>
      <c r="V66" s="516">
        <f>T66-T65</f>
        <v>6539833.333333373</v>
      </c>
      <c r="W66" s="522">
        <f>U66-U65</f>
        <v>0.0065398333</v>
      </c>
      <c r="X66" s="520">
        <f>X65+S66</f>
        <v>1000000000.0</v>
      </c>
      <c r="Y66" s="521">
        <f>Y65+1</f>
        <v>38.0</v>
      </c>
      <c r="Z66" s="381" t="n"/>
      <c r="AA66" s="381" t="n"/>
      <c r="AB66" s="381" t="n"/>
      <c r="AC66" s="381" t="n"/>
      <c r="AD66" s="381" t="n"/>
      <c r="AE66" s="381" t="n"/>
      <c r="AF66" s="381" t="n"/>
      <c r="AG66" s="381" t="n"/>
      <c r="AH66" s="381" t="n"/>
      <c r="AI66" s="381" t="n"/>
      <c r="AJ66" s="381" t="n"/>
      <c r="AK66" s="381" t="n"/>
      <c r="AL66" s="381" t="n"/>
      <c r="AM66" s="381" t="n"/>
      <c r="AN66" s="381" t="n"/>
      <c r="AO66" s="381" t="n"/>
      <c r="AP66" s="381" t="n"/>
      <c r="AQ66" s="381" t="n"/>
      <c r="AR66" s="381" t="n"/>
    </row>
    <row r="67" ht="15.75" customHeight="1" s="375">
      <c r="A67" s="511" t="n">
        <v>47832</v>
      </c>
      <c r="B67" s="512" t="str">
        <f>"T+"&amp;(Y67*1)&amp;"M"</f>
        <v>T+39M</v>
      </c>
      <c r="C67" s="513" t="n">
        <v>215237.401375325</v>
      </c>
      <c r="D67" s="514" t="n">
        <v>568942.841881973</v>
      </c>
      <c r="E67" s="514" t="n">
        <v>341365.705129184</v>
      </c>
      <c r="F67" s="514" t="n">
        <v>227577.136752789</v>
      </c>
      <c r="G67" s="514" t="n">
        <v>227577.136752789</v>
      </c>
      <c r="H67" s="514" t="n">
        <v>227577.136752789</v>
      </c>
      <c r="I67" s="514" t="n">
        <v>227577.136752789</v>
      </c>
      <c r="J67" s="514" t="n">
        <v>47478.8379356934</v>
      </c>
      <c r="K67" s="514" t="n">
        <v>2456500</v>
      </c>
      <c r="L67" s="514" t="n"/>
      <c r="M67" s="514" t="n"/>
      <c r="N67" s="514" t="n"/>
      <c r="O67" s="514" t="n"/>
      <c r="P67" s="514" t="n"/>
      <c r="Q67" s="514" t="n"/>
      <c r="R67" s="514" t="n"/>
      <c r="S67" s="515" t="n"/>
      <c r="T67" s="516">
        <f>SUM(C67:S67)+T66</f>
        <v>645099499.9999996</v>
      </c>
      <c r="U67" s="517">
        <f>T67/(X67)</f>
        <v>0.6450995</v>
      </c>
      <c r="V67" s="516">
        <f>T67-T66</f>
        <v>4539833.333333373</v>
      </c>
      <c r="W67" s="522">
        <f>U67-U66</f>
        <v>0.0045398333</v>
      </c>
      <c r="X67" s="520">
        <f>X66+S67</f>
        <v>1000000000.0</v>
      </c>
      <c r="Y67" s="521">
        <f>Y66+1</f>
        <v>39.0</v>
      </c>
      <c r="Z67" s="381" t="n"/>
      <c r="AA67" s="381" t="n"/>
      <c r="AB67" s="381" t="n"/>
      <c r="AC67" s="381" t="n"/>
      <c r="AD67" s="381" t="n"/>
      <c r="AE67" s="381" t="n"/>
      <c r="AF67" s="381" t="n"/>
      <c r="AG67" s="381" t="n"/>
      <c r="AH67" s="381" t="n"/>
      <c r="AI67" s="381" t="n"/>
      <c r="AJ67" s="381" t="n"/>
      <c r="AK67" s="381" t="n"/>
      <c r="AL67" s="381" t="n"/>
      <c r="AM67" s="381" t="n"/>
      <c r="AN67" s="381" t="n"/>
      <c r="AO67" s="381" t="n"/>
      <c r="AP67" s="381" t="n"/>
      <c r="AQ67" s="381" t="n"/>
      <c r="AR67" s="381" t="n"/>
    </row>
    <row r="68" ht="15.75" customHeight="1" s="375">
      <c r="A68" s="511" t="n">
        <v>47863</v>
      </c>
      <c r="B68" s="512" t="str">
        <f>"T+"&amp;(Y68*1)&amp;"M"</f>
        <v>T+40M</v>
      </c>
      <c r="C68" s="513" t="n">
        <v>215237.401375325</v>
      </c>
      <c r="D68" s="514" t="n">
        <v>568942.841881973</v>
      </c>
      <c r="E68" s="514" t="n">
        <v>341365.705129184</v>
      </c>
      <c r="F68" s="514" t="n">
        <v>227577.136752789</v>
      </c>
      <c r="G68" s="514" t="n">
        <v>227577.136752789</v>
      </c>
      <c r="H68" s="514" t="n">
        <v>227577.136752789</v>
      </c>
      <c r="I68" s="514" t="n">
        <v>227577.136752789</v>
      </c>
      <c r="J68" s="514" t="n">
        <v>47478.8379356934</v>
      </c>
      <c r="K68" s="514" t="n">
        <v>2456500</v>
      </c>
      <c r="L68" s="514" t="n"/>
      <c r="M68" s="514" t="n"/>
      <c r="N68" s="514" t="n"/>
      <c r="O68" s="514" t="n"/>
      <c r="P68" s="514" t="n"/>
      <c r="Q68" s="514" t="n"/>
      <c r="R68" s="514" t="n"/>
      <c r="S68" s="515" t="n"/>
      <c r="T68" s="516">
        <f>SUM(C68:S68)+T67</f>
        <v>649639333.333333</v>
      </c>
      <c r="U68" s="517">
        <f>T68/(X68)</f>
        <v>0.6496393333</v>
      </c>
      <c r="V68" s="516">
        <f>T68-T67</f>
        <v>4539833.333333373</v>
      </c>
      <c r="W68" s="522">
        <f>U68-U67</f>
        <v>0.0045398333</v>
      </c>
      <c r="X68" s="520">
        <f>X67+S68</f>
        <v>1000000000.0</v>
      </c>
      <c r="Y68" s="521">
        <f>Y67+1</f>
        <v>40.0</v>
      </c>
      <c r="Z68" s="381" t="n"/>
      <c r="AA68" s="381" t="n"/>
      <c r="AB68" s="381" t="n"/>
      <c r="AC68" s="381" t="n"/>
      <c r="AD68" s="381" t="n"/>
      <c r="AE68" s="381" t="n"/>
      <c r="AF68" s="381" t="n"/>
      <c r="AG68" s="381" t="n"/>
      <c r="AH68" s="381" t="n"/>
      <c r="AI68" s="381" t="n"/>
      <c r="AJ68" s="381" t="n"/>
      <c r="AK68" s="381" t="n"/>
      <c r="AL68" s="381" t="n"/>
      <c r="AM68" s="381" t="n"/>
      <c r="AN68" s="381" t="n"/>
      <c r="AO68" s="381" t="n"/>
      <c r="AP68" s="381" t="n"/>
      <c r="AQ68" s="381" t="n"/>
      <c r="AR68" s="381" t="n"/>
    </row>
    <row r="69" ht="15.75" customHeight="1" s="375">
      <c r="A69" s="511" t="n">
        <v>47894</v>
      </c>
      <c r="B69" s="512" t="str">
        <f>"T+"&amp;(Y69*1)&amp;"M"</f>
        <v>T+41M</v>
      </c>
      <c r="C69" s="513" t="n">
        <v>215237.401375325</v>
      </c>
      <c r="D69" s="514" t="n">
        <v>568942.841881973</v>
      </c>
      <c r="E69" s="514" t="n">
        <v>341365.705129184</v>
      </c>
      <c r="F69" s="514" t="n">
        <v>227577.136752789</v>
      </c>
      <c r="G69" s="514" t="n">
        <v>227577.136752789</v>
      </c>
      <c r="H69" s="514" t="n">
        <v>227577.136752789</v>
      </c>
      <c r="I69" s="514" t="n">
        <v>227577.136752789</v>
      </c>
      <c r="J69" s="514" t="n">
        <v>47478.8379356934</v>
      </c>
      <c r="K69" s="514" t="n">
        <v>2456500</v>
      </c>
      <c r="L69" s="514" t="n"/>
      <c r="M69" s="514" t="n"/>
      <c r="N69" s="514" t="n"/>
      <c r="O69" s="514" t="n"/>
      <c r="P69" s="514" t="n"/>
      <c r="Q69" s="514" t="n"/>
      <c r="R69" s="514" t="n"/>
      <c r="S69" s="515" t="n"/>
      <c r="T69" s="516">
        <f>SUM(C69:S69)+T68</f>
        <v>654179166.6666664</v>
      </c>
      <c r="U69" s="517">
        <f>T69/(X69)</f>
        <v>0.6541791667</v>
      </c>
      <c r="V69" s="516">
        <f>T69-T68</f>
        <v>4539833.333333373</v>
      </c>
      <c r="W69" s="522">
        <f>U69-U68</f>
        <v>0.0045398333</v>
      </c>
      <c r="X69" s="520">
        <f>X68+S69</f>
        <v>1000000000.0</v>
      </c>
      <c r="Y69" s="521">
        <f>Y68+1</f>
        <v>41.0</v>
      </c>
      <c r="Z69" s="381" t="n"/>
      <c r="AA69" s="381" t="n"/>
      <c r="AB69" s="381" t="n"/>
      <c r="AC69" s="381" t="n"/>
      <c r="AD69" s="381" t="n"/>
      <c r="AE69" s="381" t="n"/>
      <c r="AF69" s="381" t="n"/>
      <c r="AG69" s="381" t="n"/>
      <c r="AH69" s="381" t="n"/>
      <c r="AI69" s="381" t="n"/>
      <c r="AJ69" s="381" t="n"/>
      <c r="AK69" s="381" t="n"/>
      <c r="AL69" s="381" t="n"/>
      <c r="AM69" s="381" t="n"/>
      <c r="AN69" s="381" t="n"/>
      <c r="AO69" s="381" t="n"/>
      <c r="AP69" s="381" t="n"/>
      <c r="AQ69" s="381" t="n"/>
      <c r="AR69" s="381" t="n"/>
    </row>
    <row r="70" ht="15.75" customHeight="1" s="375">
      <c r="A70" s="511" t="n">
        <v>47922</v>
      </c>
      <c r="B70" s="512" t="str">
        <f>"T+"&amp;(Y70*1)&amp;"M"</f>
        <v>T+42M</v>
      </c>
      <c r="C70" s="513" t="n">
        <v>215237.401375325</v>
      </c>
      <c r="D70" s="514" t="n">
        <v>568942.841881973</v>
      </c>
      <c r="E70" s="514" t="n">
        <v>341365.705129184</v>
      </c>
      <c r="F70" s="514" t="n">
        <v>227577.136752789</v>
      </c>
      <c r="G70" s="514" t="n">
        <v>227577.136752789</v>
      </c>
      <c r="H70" s="514" t="n">
        <v>227577.136752789</v>
      </c>
      <c r="I70" s="514" t="n">
        <v>227577.136752789</v>
      </c>
      <c r="J70" s="514" t="n">
        <v>47478.8379356934</v>
      </c>
      <c r="K70" s="514" t="n">
        <v>2456500</v>
      </c>
      <c r="L70" s="514" t="n"/>
      <c r="M70" s="514" t="n"/>
      <c r="N70" s="514" t="n"/>
      <c r="O70" s="514" t="n"/>
      <c r="P70" s="514" t="n"/>
      <c r="Q70" s="514" t="n"/>
      <c r="R70" s="514" t="n"/>
      <c r="S70" s="515" t="n"/>
      <c r="T70" s="516">
        <f>SUM(C70:S70)+T69</f>
        <v>658718999.9999998</v>
      </c>
      <c r="U70" s="517">
        <f>T70/(X70)</f>
        <v>0.658719</v>
      </c>
      <c r="V70" s="516">
        <f>T70-T69</f>
        <v>4539833.333333373</v>
      </c>
      <c r="W70" s="522">
        <f>U70-U69</f>
        <v>0.0045398333</v>
      </c>
      <c r="X70" s="520">
        <f>X69+S70</f>
        <v>1000000000.0</v>
      </c>
      <c r="Y70" s="521">
        <f>Y69+1</f>
        <v>42.0</v>
      </c>
      <c r="Z70" s="381" t="n"/>
      <c r="AA70" s="381" t="n"/>
      <c r="AB70" s="381" t="n"/>
      <c r="AC70" s="381" t="n"/>
      <c r="AD70" s="381" t="n"/>
      <c r="AE70" s="381" t="n"/>
      <c r="AF70" s="381" t="n"/>
      <c r="AG70" s="381" t="n"/>
      <c r="AH70" s="381" t="n"/>
      <c r="AI70" s="381" t="n"/>
      <c r="AJ70" s="381" t="n"/>
      <c r="AK70" s="381" t="n"/>
      <c r="AL70" s="381" t="n"/>
      <c r="AM70" s="381" t="n"/>
      <c r="AN70" s="381" t="n"/>
      <c r="AO70" s="381" t="n"/>
      <c r="AP70" s="381" t="n"/>
      <c r="AQ70" s="381" t="n"/>
      <c r="AR70" s="381" t="n"/>
    </row>
    <row r="71" ht="15.75" customHeight="1" s="375">
      <c r="A71" s="511" t="n">
        <v>47953</v>
      </c>
      <c r="B71" s="512" t="str">
        <f>"T+"&amp;(Y71*1)&amp;"M"</f>
        <v>T+43M</v>
      </c>
      <c r="C71" s="513" t="n">
        <v>215237.401375325</v>
      </c>
      <c r="D71" s="514" t="n">
        <v>568942.841881973</v>
      </c>
      <c r="E71" s="514" t="n">
        <v>341365.705129184</v>
      </c>
      <c r="F71" s="514" t="n">
        <v>227577.136752789</v>
      </c>
      <c r="G71" s="514" t="n">
        <v>227577.136752789</v>
      </c>
      <c r="H71" s="514" t="n">
        <v>227577.136752789</v>
      </c>
      <c r="I71" s="514" t="n">
        <v>227577.136752789</v>
      </c>
      <c r="J71" s="514" t="n">
        <v>47478.8379356934</v>
      </c>
      <c r="K71" s="514" t="n">
        <v>2456500</v>
      </c>
      <c r="L71" s="514" t="n"/>
      <c r="M71" s="514" t="n"/>
      <c r="N71" s="514" t="n"/>
      <c r="O71" s="514" t="n"/>
      <c r="P71" s="514" t="n"/>
      <c r="Q71" s="514" t="n"/>
      <c r="R71" s="514" t="n"/>
      <c r="S71" s="515" t="n"/>
      <c r="T71" s="516">
        <f>SUM(C71:S71)+T70</f>
        <v>663258833.3333331</v>
      </c>
      <c r="U71" s="517">
        <f>T71/(X71)</f>
        <v>0.6632588333</v>
      </c>
      <c r="V71" s="516">
        <f>T71-T70</f>
        <v>4539833.333333373</v>
      </c>
      <c r="W71" s="522">
        <f>U71-U70</f>
        <v>0.0045398333</v>
      </c>
      <c r="X71" s="520">
        <f>X70+S71</f>
        <v>1000000000.0</v>
      </c>
      <c r="Y71" s="521">
        <f>Y70+1</f>
        <v>43.0</v>
      </c>
      <c r="Z71" s="381" t="n"/>
      <c r="AA71" s="381" t="n"/>
      <c r="AB71" s="381" t="n"/>
      <c r="AC71" s="381" t="n"/>
      <c r="AD71" s="381" t="n"/>
      <c r="AE71" s="381" t="n"/>
      <c r="AF71" s="381" t="n"/>
      <c r="AG71" s="381" t="n"/>
      <c r="AH71" s="381" t="n"/>
      <c r="AI71" s="381" t="n"/>
      <c r="AJ71" s="381" t="n"/>
      <c r="AK71" s="381" t="n"/>
      <c r="AL71" s="381" t="n"/>
      <c r="AM71" s="381" t="n"/>
      <c r="AN71" s="381" t="n"/>
      <c r="AO71" s="381" t="n"/>
      <c r="AP71" s="381" t="n"/>
      <c r="AQ71" s="381" t="n"/>
      <c r="AR71" s="381" t="n"/>
    </row>
    <row r="72" ht="15.75" customHeight="1" s="375">
      <c r="A72" s="511" t="n">
        <v>47983</v>
      </c>
      <c r="B72" s="512" t="str">
        <f>"T+"&amp;(Y72*1)&amp;"M"</f>
        <v>T+44M</v>
      </c>
      <c r="C72" s="513" t="n">
        <v>215237.401375325</v>
      </c>
      <c r="D72" s="514" t="n">
        <v>568942.841881973</v>
      </c>
      <c r="E72" s="514" t="n">
        <v>341365.705129184</v>
      </c>
      <c r="F72" s="514" t="n">
        <v>227577.136752789</v>
      </c>
      <c r="G72" s="514" t="n">
        <v>227577.136752789</v>
      </c>
      <c r="H72" s="514" t="n">
        <v>227577.136752789</v>
      </c>
      <c r="I72" s="514" t="n">
        <v>227577.136752789</v>
      </c>
      <c r="J72" s="514" t="n">
        <v>47478.8379356934</v>
      </c>
      <c r="K72" s="514" t="n">
        <v>2456500</v>
      </c>
      <c r="L72" s="514" t="n"/>
      <c r="M72" s="514" t="n"/>
      <c r="N72" s="514" t="n"/>
      <c r="O72" s="514" t="n"/>
      <c r="P72" s="514" t="n"/>
      <c r="Q72" s="514" t="n"/>
      <c r="R72" s="514" t="n"/>
      <c r="S72" s="515" t="n"/>
      <c r="T72" s="516">
        <f>SUM(C72:S72)+T71</f>
        <v>667798666.6666665</v>
      </c>
      <c r="U72" s="517">
        <f>T72/(X72)</f>
        <v>0.6677986667</v>
      </c>
      <c r="V72" s="516">
        <f>T72-T71</f>
        <v>4539833.333333373</v>
      </c>
      <c r="W72" s="522">
        <f>U72-U71</f>
        <v>0.0045398333</v>
      </c>
      <c r="X72" s="520">
        <f>X71+S72</f>
        <v>1000000000.0</v>
      </c>
      <c r="Y72" s="521">
        <f>Y71+1</f>
        <v>44.0</v>
      </c>
      <c r="Z72" s="381" t="n"/>
      <c r="AA72" s="381" t="n"/>
      <c r="AB72" s="381" t="n"/>
      <c r="AC72" s="381" t="n"/>
      <c r="AD72" s="381" t="n"/>
      <c r="AE72" s="381" t="n"/>
      <c r="AF72" s="381" t="n"/>
      <c r="AG72" s="381" t="n"/>
      <c r="AH72" s="381" t="n"/>
      <c r="AI72" s="381" t="n"/>
      <c r="AJ72" s="381" t="n"/>
      <c r="AK72" s="381" t="n"/>
      <c r="AL72" s="381" t="n"/>
      <c r="AM72" s="381" t="n"/>
      <c r="AN72" s="381" t="n"/>
      <c r="AO72" s="381" t="n"/>
      <c r="AP72" s="381" t="n"/>
      <c r="AQ72" s="381" t="n"/>
      <c r="AR72" s="381" t="n"/>
    </row>
    <row r="73" ht="15.75" customHeight="1" s="375">
      <c r="A73" s="511" t="n">
        <v>48014</v>
      </c>
      <c r="B73" s="512" t="str">
        <f>"T+"&amp;(Y73*1)&amp;"M"</f>
        <v>T+45M</v>
      </c>
      <c r="C73" s="513" t="n">
        <v>215237.401375325</v>
      </c>
      <c r="D73" s="514" t="n">
        <v>568942.841881973</v>
      </c>
      <c r="E73" s="514" t="n">
        <v>341365.705129184</v>
      </c>
      <c r="F73" s="514" t="n">
        <v>227577.136752789</v>
      </c>
      <c r="G73" s="514" t="n">
        <v>227577.136752789</v>
      </c>
      <c r="H73" s="514" t="n">
        <v>227577.136752789</v>
      </c>
      <c r="I73" s="514" t="n">
        <v>227577.136752789</v>
      </c>
      <c r="J73" s="514" t="n">
        <v>47478.8379356934</v>
      </c>
      <c r="K73" s="514" t="n">
        <v>2456500</v>
      </c>
      <c r="L73" s="514" t="n"/>
      <c r="M73" s="514" t="n"/>
      <c r="N73" s="514" t="n"/>
      <c r="O73" s="514" t="n"/>
      <c r="P73" s="514" t="n"/>
      <c r="Q73" s="514" t="n"/>
      <c r="R73" s="514" t="n"/>
      <c r="S73" s="515" t="n"/>
      <c r="T73" s="516">
        <f>SUM(C73:S73)+T72</f>
        <v>672338499.9999999</v>
      </c>
      <c r="U73" s="517">
        <f>T73/(X73)</f>
        <v>0.6723385</v>
      </c>
      <c r="V73" s="516">
        <f>T73-T72</f>
        <v>4539833.333333373</v>
      </c>
      <c r="W73" s="522">
        <f>U73-U72</f>
        <v>0.0045398333</v>
      </c>
      <c r="X73" s="520">
        <f>X72+S73</f>
        <v>1000000000.0</v>
      </c>
      <c r="Y73" s="521">
        <f>Y72+1</f>
        <v>45.0</v>
      </c>
      <c r="Z73" s="381" t="n"/>
      <c r="AA73" s="381" t="n"/>
      <c r="AB73" s="381" t="n"/>
      <c r="AC73" s="381" t="n"/>
      <c r="AD73" s="381" t="n"/>
      <c r="AE73" s="381" t="n"/>
      <c r="AF73" s="381" t="n"/>
      <c r="AG73" s="381" t="n"/>
      <c r="AH73" s="381" t="n"/>
      <c r="AI73" s="381" t="n"/>
      <c r="AJ73" s="381" t="n"/>
      <c r="AK73" s="381" t="n"/>
      <c r="AL73" s="381" t="n"/>
      <c r="AM73" s="381" t="n"/>
      <c r="AN73" s="381" t="n"/>
      <c r="AO73" s="381" t="n"/>
      <c r="AP73" s="381" t="n"/>
      <c r="AQ73" s="381" t="n"/>
      <c r="AR73" s="381" t="n"/>
    </row>
    <row r="74" ht="15.75" customHeight="1" s="375">
      <c r="A74" s="511" t="n">
        <v>48044</v>
      </c>
      <c r="B74" s="512" t="str">
        <f>"T+"&amp;(Y74*1)&amp;"M"</f>
        <v>T+46M</v>
      </c>
      <c r="C74" s="513" t="n">
        <v>215237.401375325</v>
      </c>
      <c r="D74" s="514" t="n">
        <v>568942.841881973</v>
      </c>
      <c r="E74" s="514" t="n">
        <v>341365.705129184</v>
      </c>
      <c r="F74" s="514" t="n">
        <v>227577.136752789</v>
      </c>
      <c r="G74" s="514" t="n">
        <v>227577.136752789</v>
      </c>
      <c r="H74" s="514" t="n">
        <v>227577.136752789</v>
      </c>
      <c r="I74" s="514" t="n">
        <v>227577.136752789</v>
      </c>
      <c r="J74" s="514" t="n">
        <v>47478.8379356934</v>
      </c>
      <c r="K74" s="514" t="n">
        <v>2456500</v>
      </c>
      <c r="L74" s="514" t="n"/>
      <c r="M74" s="514" t="n"/>
      <c r="N74" s="514" t="n"/>
      <c r="O74" s="514" t="n"/>
      <c r="P74" s="514" t="n"/>
      <c r="Q74" s="514" t="n"/>
      <c r="R74" s="514" t="n"/>
      <c r="S74" s="515" t="n"/>
      <c r="T74" s="516">
        <f>SUM(C74:S74)+T73</f>
        <v>676878333.3333333</v>
      </c>
      <c r="U74" s="517">
        <f>T74/(X74)</f>
        <v>0.6768783333</v>
      </c>
      <c r="V74" s="516">
        <f>T74-T73</f>
        <v>4539833.333333373</v>
      </c>
      <c r="W74" s="522">
        <f>U74-U73</f>
        <v>0.0045398333</v>
      </c>
      <c r="X74" s="520">
        <f>X73+S74</f>
        <v>1000000000.0</v>
      </c>
      <c r="Y74" s="521">
        <f>Y73+1</f>
        <v>46.0</v>
      </c>
      <c r="Z74" s="381" t="n"/>
      <c r="AA74" s="381" t="n"/>
      <c r="AB74" s="381" t="n"/>
      <c r="AC74" s="381" t="n"/>
      <c r="AD74" s="381" t="n"/>
      <c r="AE74" s="381" t="n"/>
      <c r="AF74" s="381" t="n"/>
      <c r="AG74" s="381" t="n"/>
      <c r="AH74" s="381" t="n"/>
      <c r="AI74" s="381" t="n"/>
      <c r="AJ74" s="381" t="n"/>
      <c r="AK74" s="381" t="n"/>
      <c r="AL74" s="381" t="n"/>
      <c r="AM74" s="381" t="n"/>
      <c r="AN74" s="381" t="n"/>
      <c r="AO74" s="381" t="n"/>
      <c r="AP74" s="381" t="n"/>
      <c r="AQ74" s="381" t="n"/>
      <c r="AR74" s="381" t="n"/>
    </row>
    <row r="75" ht="15.75" customHeight="1" s="375">
      <c r="A75" s="511" t="n">
        <v>48075</v>
      </c>
      <c r="B75" s="512" t="str">
        <f>"T+"&amp;(Y75*1)&amp;"M"</f>
        <v>T+47M</v>
      </c>
      <c r="C75" s="513" t="n">
        <v>215237.401375325</v>
      </c>
      <c r="D75" s="514" t="n">
        <v>568942.841881973</v>
      </c>
      <c r="E75" s="514" t="n">
        <v>341365.705129184</v>
      </c>
      <c r="F75" s="514" t="n">
        <v>227577.136752789</v>
      </c>
      <c r="G75" s="514" t="n">
        <v>227577.136752789</v>
      </c>
      <c r="H75" s="514" t="n">
        <v>227577.136752789</v>
      </c>
      <c r="I75" s="514" t="n">
        <v>227577.136752789</v>
      </c>
      <c r="J75" s="514" t="n">
        <v>47478.8379356934</v>
      </c>
      <c r="K75" s="514" t="n">
        <v>2456500</v>
      </c>
      <c r="L75" s="514" t="n"/>
      <c r="M75" s="514" t="n"/>
      <c r="N75" s="514" t="n"/>
      <c r="O75" s="514" t="n"/>
      <c r="P75" s="514" t="n"/>
      <c r="Q75" s="514" t="n"/>
      <c r="R75" s="514" t="n"/>
      <c r="S75" s="515" t="n"/>
      <c r="T75" s="516">
        <f>SUM(C75:S75)+T74</f>
        <v>681418166.6666666</v>
      </c>
      <c r="U75" s="517">
        <f>T75/(X75)</f>
        <v>0.6814181667</v>
      </c>
      <c r="V75" s="516">
        <f>T75-T74</f>
        <v>4539833.333333373</v>
      </c>
      <c r="W75" s="522">
        <f>U75-U74</f>
        <v>0.0045398333</v>
      </c>
      <c r="X75" s="520">
        <f>X74+S75</f>
        <v>1000000000.0</v>
      </c>
      <c r="Y75" s="521">
        <f>Y74+1</f>
        <v>47.0</v>
      </c>
      <c r="Z75" s="381" t="n"/>
      <c r="AA75" s="381" t="n"/>
      <c r="AB75" s="381" t="n"/>
      <c r="AC75" s="381" t="n"/>
      <c r="AD75" s="381" t="n"/>
      <c r="AE75" s="381" t="n"/>
      <c r="AF75" s="381" t="n"/>
      <c r="AG75" s="381" t="n"/>
      <c r="AH75" s="381" t="n"/>
      <c r="AI75" s="381" t="n"/>
      <c r="AJ75" s="381" t="n"/>
      <c r="AK75" s="381" t="n"/>
      <c r="AL75" s="381" t="n"/>
      <c r="AM75" s="381" t="n"/>
      <c r="AN75" s="381" t="n"/>
      <c r="AO75" s="381" t="n"/>
      <c r="AP75" s="381" t="n"/>
      <c r="AQ75" s="381" t="n"/>
      <c r="AR75" s="381" t="n"/>
    </row>
    <row r="76" ht="15.75" customHeight="1" s="375">
      <c r="A76" s="511" t="n">
        <v>48106</v>
      </c>
      <c r="B76" s="512" t="str">
        <f>"T+"&amp;(Y76*1)&amp;"M"</f>
        <v>T+48M</v>
      </c>
      <c r="C76" s="513" t="n">
        <v>215237.401375325</v>
      </c>
      <c r="D76" s="514" t="n">
        <v>568942.841881973</v>
      </c>
      <c r="E76" s="514" t="n">
        <v>341365.705129184</v>
      </c>
      <c r="F76" s="514" t="n">
        <v>227577.136752789</v>
      </c>
      <c r="G76" s="514" t="n">
        <v>227577.136752789</v>
      </c>
      <c r="H76" s="514" t="n">
        <v>227577.136752789</v>
      </c>
      <c r="I76" s="514" t="n">
        <v>227577.136752789</v>
      </c>
      <c r="J76" s="514" t="n">
        <v>47478.8379356934</v>
      </c>
      <c r="K76" s="514" t="n">
        <v>2456500</v>
      </c>
      <c r="L76" s="514" t="n"/>
      <c r="M76" s="514" t="n"/>
      <c r="N76" s="514" t="n"/>
      <c r="O76" s="514" t="n"/>
      <c r="P76" s="514" t="n"/>
      <c r="Q76" s="514" t="n"/>
      <c r="R76" s="514" t="n"/>
      <c r="S76" s="515" t="n"/>
      <c r="T76" s="516">
        <f>SUM(C76:S76)+T75</f>
        <v>685958000.0</v>
      </c>
      <c r="U76" s="517">
        <f>T76/(X76)</f>
        <v>0.685958</v>
      </c>
      <c r="V76" s="516">
        <f>T76-T75</f>
        <v>4539833.333333373</v>
      </c>
      <c r="W76" s="522">
        <f>U76-U75</f>
        <v>0.0045398333</v>
      </c>
      <c r="X76" s="520">
        <f>X75+S76</f>
        <v>1000000000.0</v>
      </c>
      <c r="Y76" s="521">
        <f>Y75+1</f>
        <v>48.0</v>
      </c>
      <c r="Z76" s="381" t="n"/>
      <c r="AA76" s="381" t="n"/>
      <c r="AB76" s="381" t="n"/>
      <c r="AC76" s="381" t="n"/>
      <c r="AD76" s="381" t="n"/>
      <c r="AE76" s="381" t="n"/>
      <c r="AF76" s="381" t="n"/>
      <c r="AG76" s="381" t="n"/>
      <c r="AH76" s="381" t="n"/>
      <c r="AI76" s="381" t="n"/>
      <c r="AJ76" s="381" t="n"/>
      <c r="AK76" s="381" t="n"/>
      <c r="AL76" s="381" t="n"/>
      <c r="AM76" s="381" t="n"/>
      <c r="AN76" s="381" t="n"/>
      <c r="AO76" s="381" t="n"/>
      <c r="AP76" s="381" t="n"/>
      <c r="AQ76" s="381" t="n"/>
      <c r="AR76" s="381" t="n"/>
    </row>
    <row r="77" ht="15.75" customHeight="1" s="375">
      <c r="A77" s="511" t="n">
        <v>48136</v>
      </c>
      <c r="B77" s="512" t="str">
        <f>"T+"&amp;(Y77*1)&amp;"M"</f>
        <v>T+49M</v>
      </c>
      <c r="C77" s="513" t="n">
        <v>215237.401375325</v>
      </c>
      <c r="D77" s="514" t="n">
        <v>568942.841881973</v>
      </c>
      <c r="E77" s="514" t="n">
        <v>341365.705129184</v>
      </c>
      <c r="F77" s="514" t="n">
        <v>227577.136752789</v>
      </c>
      <c r="G77" s="514" t="n">
        <v>227577.136752789</v>
      </c>
      <c r="H77" s="514" t="n">
        <v>227577.136752789</v>
      </c>
      <c r="I77" s="514" t="n">
        <v>227577.136752789</v>
      </c>
      <c r="J77" s="514" t="n">
        <v>47478.8379356934</v>
      </c>
      <c r="K77" s="514" t="n">
        <v>2088025</v>
      </c>
      <c r="L77" s="514" t="n"/>
      <c r="M77" s="514" t="n"/>
      <c r="N77" s="514" t="n"/>
      <c r="O77" s="514" t="n"/>
      <c r="P77" s="514" t="n"/>
      <c r="Q77" s="514" t="n"/>
      <c r="R77" s="514" t="n"/>
      <c r="S77" s="515" t="n"/>
      <c r="T77" s="516">
        <f>SUM(C77:S77)+T76</f>
        <v>690129358.3333334</v>
      </c>
      <c r="U77" s="517">
        <f>T77/(X77)</f>
        <v>0.6901293583</v>
      </c>
      <c r="V77" s="516">
        <f>T77-T76</f>
        <v>4171358.333333373</v>
      </c>
      <c r="W77" s="522">
        <f>U77-U76</f>
        <v>0.0041713583</v>
      </c>
      <c r="X77" s="520">
        <f>X76+S77</f>
        <v>1000000000.0</v>
      </c>
      <c r="Y77" s="521">
        <f>Y76+1</f>
        <v>49.0</v>
      </c>
      <c r="Z77" s="381" t="n"/>
      <c r="AA77" s="381" t="n"/>
      <c r="AB77" s="381" t="n"/>
      <c r="AC77" s="381" t="n"/>
      <c r="AD77" s="381" t="n"/>
      <c r="AE77" s="381" t="n"/>
      <c r="AF77" s="381" t="n"/>
      <c r="AG77" s="381" t="n"/>
      <c r="AH77" s="381" t="n"/>
      <c r="AI77" s="381" t="n"/>
      <c r="AJ77" s="381" t="n"/>
      <c r="AK77" s="381" t="n"/>
      <c r="AL77" s="381" t="n"/>
      <c r="AM77" s="381" t="n"/>
      <c r="AN77" s="381" t="n"/>
      <c r="AO77" s="381" t="n"/>
      <c r="AP77" s="381" t="n"/>
      <c r="AQ77" s="381" t="n"/>
      <c r="AR77" s="381" t="n"/>
    </row>
    <row r="78" ht="15.75" customHeight="1" s="375">
      <c r="A78" s="511" t="n">
        <v>48167</v>
      </c>
      <c r="B78" s="512" t="str">
        <f>"T+"&amp;(Y78*1)&amp;"M"</f>
        <v>T+50M</v>
      </c>
      <c r="C78" s="513" t="n">
        <v>215237.401375325</v>
      </c>
      <c r="D78" s="514" t="n">
        <v>568942.841881973</v>
      </c>
      <c r="E78" s="514" t="n">
        <v>341365.705129184</v>
      </c>
      <c r="F78" s="514" t="n">
        <v>227577.136752789</v>
      </c>
      <c r="G78" s="514" t="n">
        <v>227577.136752789</v>
      </c>
      <c r="H78" s="514" t="n">
        <v>227577.136752789</v>
      </c>
      <c r="I78" s="514" t="n">
        <v>227577.136752789</v>
      </c>
      <c r="J78" s="514" t="n">
        <v>47478.8379356934</v>
      </c>
      <c r="K78" s="514" t="n">
        <v>2088025</v>
      </c>
      <c r="L78" s="514" t="n"/>
      <c r="M78" s="514" t="n"/>
      <c r="N78" s="514" t="n"/>
      <c r="O78" s="514" t="n"/>
      <c r="P78" s="514" t="n"/>
      <c r="Q78" s="514" t="n"/>
      <c r="R78" s="514" t="n"/>
      <c r="S78" s="515" t="n"/>
      <c r="T78" s="516">
        <f>SUM(C78:S78)+T77</f>
        <v>694300716.6666667</v>
      </c>
      <c r="U78" s="517">
        <f>T78/(X78)</f>
        <v>0.6943007167</v>
      </c>
      <c r="V78" s="516">
        <f>T78-T77</f>
        <v>4171358.333333373</v>
      </c>
      <c r="W78" s="522">
        <f>U78-U77</f>
        <v>0.0041713583</v>
      </c>
      <c r="X78" s="520">
        <f>X77+S78</f>
        <v>1000000000.0</v>
      </c>
      <c r="Y78" s="521">
        <f>Y77+1</f>
        <v>50.0</v>
      </c>
      <c r="Z78" s="381" t="n"/>
      <c r="AA78" s="381" t="n"/>
      <c r="AB78" s="381" t="n"/>
      <c r="AC78" s="381" t="n"/>
      <c r="AD78" s="381" t="n"/>
      <c r="AE78" s="381" t="n"/>
      <c r="AF78" s="381" t="n"/>
      <c r="AG78" s="381" t="n"/>
      <c r="AH78" s="381" t="n"/>
      <c r="AI78" s="381" t="n"/>
      <c r="AJ78" s="381" t="n"/>
      <c r="AK78" s="381" t="n"/>
      <c r="AL78" s="381" t="n"/>
      <c r="AM78" s="381" t="n"/>
      <c r="AN78" s="381" t="n"/>
      <c r="AO78" s="381" t="n"/>
      <c r="AP78" s="381" t="n"/>
      <c r="AQ78" s="381" t="n"/>
      <c r="AR78" s="381" t="n"/>
    </row>
    <row r="79" ht="15.75" customHeight="1" s="375">
      <c r="A79" s="511" t="n">
        <v>48197</v>
      </c>
      <c r="B79" s="512" t="str">
        <f>"T+"&amp;(Y79*1)&amp;"M"</f>
        <v>T+51M</v>
      </c>
      <c r="C79" s="513" t="n">
        <v>215237.401375325</v>
      </c>
      <c r="D79" s="514" t="n">
        <v>568942.841881973</v>
      </c>
      <c r="E79" s="514" t="n">
        <v>341365.705129184</v>
      </c>
      <c r="F79" s="514" t="n">
        <v>227577.136752789</v>
      </c>
      <c r="G79" s="514" t="n">
        <v>227577.136752789</v>
      </c>
      <c r="H79" s="514" t="n">
        <v>227577.136752789</v>
      </c>
      <c r="I79" s="514" t="n">
        <v>227577.136752789</v>
      </c>
      <c r="J79" s="514" t="n">
        <v>47478.8379356934</v>
      </c>
      <c r="K79" s="514" t="n">
        <v>2088025</v>
      </c>
      <c r="L79" s="514" t="n"/>
      <c r="M79" s="514" t="n"/>
      <c r="N79" s="514" t="n"/>
      <c r="O79" s="514" t="n"/>
      <c r="P79" s="514" t="n"/>
      <c r="Q79" s="514" t="n"/>
      <c r="R79" s="514" t="n"/>
      <c r="S79" s="515" t="n"/>
      <c r="T79" s="516">
        <f>SUM(C79:S79)+T78</f>
        <v>698472075.0000001</v>
      </c>
      <c r="U79" s="517">
        <f>T79/(X79)</f>
        <v>0.698472075</v>
      </c>
      <c r="V79" s="516">
        <f>T79-T78</f>
        <v>4171358.333333373</v>
      </c>
      <c r="W79" s="522">
        <f>U79-U78</f>
        <v>0.0041713583</v>
      </c>
      <c r="X79" s="520">
        <f>X78+S79</f>
        <v>1000000000.0</v>
      </c>
      <c r="Y79" s="521">
        <f>Y78+1</f>
        <v>51.0</v>
      </c>
      <c r="Z79" s="381" t="n"/>
      <c r="AA79" s="381" t="n"/>
      <c r="AB79" s="381" t="n"/>
      <c r="AC79" s="381" t="n"/>
      <c r="AD79" s="381" t="n"/>
      <c r="AE79" s="381" t="n"/>
      <c r="AF79" s="381" t="n"/>
      <c r="AG79" s="381" t="n"/>
      <c r="AH79" s="381" t="n"/>
      <c r="AI79" s="381" t="n"/>
      <c r="AJ79" s="381" t="n"/>
      <c r="AK79" s="381" t="n"/>
      <c r="AL79" s="381" t="n"/>
      <c r="AM79" s="381" t="n"/>
      <c r="AN79" s="381" t="n"/>
      <c r="AO79" s="381" t="n"/>
      <c r="AP79" s="381" t="n"/>
      <c r="AQ79" s="381" t="n"/>
      <c r="AR79" s="381" t="n"/>
    </row>
    <row r="80" ht="15.75" customHeight="1" s="375">
      <c r="A80" s="511" t="n">
        <v>48228</v>
      </c>
      <c r="B80" s="512" t="str">
        <f>"T+"&amp;(Y80*1)&amp;"M"</f>
        <v>T+52M</v>
      </c>
      <c r="C80" s="513" t="n">
        <v>215237.401375325</v>
      </c>
      <c r="D80" s="514" t="n">
        <v>568942.841881973</v>
      </c>
      <c r="E80" s="514" t="n">
        <v>341365.705129184</v>
      </c>
      <c r="F80" s="514" t="n">
        <v>227577.136752789</v>
      </c>
      <c r="G80" s="514" t="n">
        <v>227577.136752789</v>
      </c>
      <c r="H80" s="514" t="n">
        <v>227577.136752789</v>
      </c>
      <c r="I80" s="514" t="n">
        <v>227577.136752789</v>
      </c>
      <c r="J80" s="514" t="n">
        <v>47478.8379356934</v>
      </c>
      <c r="K80" s="514" t="n">
        <v>2088025</v>
      </c>
      <c r="L80" s="514" t="n"/>
      <c r="M80" s="514" t="n"/>
      <c r="N80" s="514" t="n"/>
      <c r="O80" s="514" t="n"/>
      <c r="P80" s="514" t="n"/>
      <c r="Q80" s="514" t="n"/>
      <c r="R80" s="514" t="n"/>
      <c r="S80" s="515" t="n"/>
      <c r="T80" s="516">
        <f>SUM(C80:S80)+T79</f>
        <v>702643433.3333335</v>
      </c>
      <c r="U80" s="517">
        <f>T80/(X80)</f>
        <v>0.7026434333</v>
      </c>
      <c r="V80" s="516">
        <f>T80-T79</f>
        <v>4171358.333333373</v>
      </c>
      <c r="W80" s="522">
        <f>U80-U79</f>
        <v>0.0041713583</v>
      </c>
      <c r="X80" s="520">
        <f>X79+S80</f>
        <v>1000000000.0</v>
      </c>
      <c r="Y80" s="521">
        <f>Y79+1</f>
        <v>52.0</v>
      </c>
      <c r="Z80" s="381" t="n"/>
      <c r="AA80" s="381" t="n"/>
      <c r="AB80" s="381" t="n"/>
      <c r="AC80" s="381" t="n"/>
      <c r="AD80" s="381" t="n"/>
      <c r="AE80" s="381" t="n"/>
      <c r="AF80" s="381" t="n"/>
      <c r="AG80" s="381" t="n"/>
      <c r="AH80" s="381" t="n"/>
      <c r="AI80" s="381" t="n"/>
      <c r="AJ80" s="381" t="n"/>
      <c r="AK80" s="381" t="n"/>
      <c r="AL80" s="381" t="n"/>
      <c r="AM80" s="381" t="n"/>
      <c r="AN80" s="381" t="n"/>
      <c r="AO80" s="381" t="n"/>
      <c r="AP80" s="381" t="n"/>
      <c r="AQ80" s="381" t="n"/>
      <c r="AR80" s="381" t="n"/>
    </row>
    <row r="81" ht="15.75" customHeight="1" s="375">
      <c r="A81" s="511" t="n">
        <v>48259</v>
      </c>
      <c r="B81" s="512" t="str">
        <f>"T+"&amp;(Y81*1)&amp;"M"</f>
        <v>T+53M</v>
      </c>
      <c r="C81" s="513" t="n">
        <v>215237.401375325</v>
      </c>
      <c r="D81" s="514" t="n">
        <v>568942.841881973</v>
      </c>
      <c r="E81" s="514" t="n">
        <v>341365.705129184</v>
      </c>
      <c r="F81" s="514" t="n">
        <v>227577.136752789</v>
      </c>
      <c r="G81" s="514" t="n">
        <v>227577.136752789</v>
      </c>
      <c r="H81" s="514" t="n">
        <v>227577.136752789</v>
      </c>
      <c r="I81" s="514" t="n">
        <v>227577.136752789</v>
      </c>
      <c r="J81" s="514" t="n">
        <v>47478.8379356934</v>
      </c>
      <c r="K81" s="514" t="n">
        <v>2088025</v>
      </c>
      <c r="L81" s="514" t="n"/>
      <c r="M81" s="514" t="n"/>
      <c r="N81" s="514" t="n"/>
      <c r="O81" s="514" t="n"/>
      <c r="P81" s="514" t="n"/>
      <c r="Q81" s="514" t="n"/>
      <c r="R81" s="514" t="n"/>
      <c r="S81" s="515" t="n"/>
      <c r="T81" s="516">
        <f>SUM(C81:S81)+T80</f>
        <v>706814791.6666669</v>
      </c>
      <c r="U81" s="517">
        <f>T81/(X81)</f>
        <v>0.7068147917</v>
      </c>
      <c r="V81" s="516">
        <f>T81-T80</f>
        <v>4171358.333333373</v>
      </c>
      <c r="W81" s="522">
        <f>U81-U80</f>
        <v>0.0041713583</v>
      </c>
      <c r="X81" s="520">
        <f>X80+S81</f>
        <v>1000000000.0</v>
      </c>
      <c r="Y81" s="521">
        <f>Y80+1</f>
        <v>53.0</v>
      </c>
      <c r="Z81" s="381" t="n"/>
      <c r="AA81" s="381" t="n"/>
      <c r="AB81" s="381" t="n"/>
      <c r="AC81" s="381" t="n"/>
      <c r="AD81" s="381" t="n"/>
      <c r="AE81" s="381" t="n"/>
      <c r="AF81" s="381" t="n"/>
      <c r="AG81" s="381" t="n"/>
      <c r="AH81" s="381" t="n"/>
      <c r="AI81" s="381" t="n"/>
      <c r="AJ81" s="381" t="n"/>
      <c r="AK81" s="381" t="n"/>
      <c r="AL81" s="381" t="n"/>
      <c r="AM81" s="381" t="n"/>
      <c r="AN81" s="381" t="n"/>
      <c r="AO81" s="381" t="n"/>
      <c r="AP81" s="381" t="n"/>
      <c r="AQ81" s="381" t="n"/>
      <c r="AR81" s="381" t="n"/>
    </row>
    <row r="82" ht="15.75" customHeight="1" s="375">
      <c r="A82" s="511" t="n">
        <v>48288</v>
      </c>
      <c r="B82" s="512" t="str">
        <f>"T+"&amp;(Y82*1)&amp;"M"</f>
        <v>T+54M</v>
      </c>
      <c r="C82" s="513" t="n">
        <v>215237.401375325</v>
      </c>
      <c r="D82" s="514" t="n">
        <v>568942.841881973</v>
      </c>
      <c r="E82" s="514" t="n">
        <v>341365.705129184</v>
      </c>
      <c r="F82" s="514" t="n">
        <v>227577.136752789</v>
      </c>
      <c r="G82" s="514" t="n">
        <v>227577.136752789</v>
      </c>
      <c r="H82" s="514" t="n">
        <v>227577.136752789</v>
      </c>
      <c r="I82" s="514" t="n">
        <v>227577.136752789</v>
      </c>
      <c r="J82" s="514" t="n">
        <v>47478.8379356934</v>
      </c>
      <c r="K82" s="514" t="n">
        <v>2088025</v>
      </c>
      <c r="L82" s="514" t="n"/>
      <c r="M82" s="514" t="n"/>
      <c r="N82" s="514" t="n"/>
      <c r="O82" s="514" t="n"/>
      <c r="P82" s="514" t="n"/>
      <c r="Q82" s="514" t="n"/>
      <c r="R82" s="514" t="n"/>
      <c r="S82" s="515" t="n"/>
      <c r="T82" s="516">
        <f>SUM(C82:S82)+T81</f>
        <v>710986150.0000002</v>
      </c>
      <c r="U82" s="517">
        <f>T82/(X82)</f>
        <v>0.71098615</v>
      </c>
      <c r="V82" s="516">
        <f>T82-T81</f>
        <v>4171358.333333373</v>
      </c>
      <c r="W82" s="522">
        <f>U82-U81</f>
        <v>0.0041713583</v>
      </c>
      <c r="X82" s="520">
        <f>X81+S82</f>
        <v>1000000000.0</v>
      </c>
      <c r="Y82" s="521">
        <f>Y81+1</f>
        <v>54.0</v>
      </c>
      <c r="Z82" s="381" t="n"/>
      <c r="AA82" s="381" t="n"/>
      <c r="AB82" s="381" t="n"/>
      <c r="AC82" s="381" t="n"/>
      <c r="AD82" s="381" t="n"/>
      <c r="AE82" s="381" t="n"/>
      <c r="AF82" s="381" t="n"/>
      <c r="AG82" s="381" t="n"/>
      <c r="AH82" s="381" t="n"/>
      <c r="AI82" s="381" t="n"/>
      <c r="AJ82" s="381" t="n"/>
      <c r="AK82" s="381" t="n"/>
      <c r="AL82" s="381" t="n"/>
      <c r="AM82" s="381" t="n"/>
      <c r="AN82" s="381" t="n"/>
      <c r="AO82" s="381" t="n"/>
      <c r="AP82" s="381" t="n"/>
      <c r="AQ82" s="381" t="n"/>
      <c r="AR82" s="381" t="n"/>
    </row>
    <row r="83" ht="15.75" customHeight="1" s="375">
      <c r="A83" s="511" t="n">
        <v>48319</v>
      </c>
      <c r="B83" s="512" t="str">
        <f>"T+"&amp;(Y83*1)&amp;"M"</f>
        <v>T+55M</v>
      </c>
      <c r="C83" s="513" t="n">
        <v>215237.401375325</v>
      </c>
      <c r="D83" s="514" t="n">
        <v>568942.841881973</v>
      </c>
      <c r="E83" s="514" t="n">
        <v>341365.705129184</v>
      </c>
      <c r="F83" s="514" t="n">
        <v>227577.136752789</v>
      </c>
      <c r="G83" s="514" t="n">
        <v>227577.136752789</v>
      </c>
      <c r="H83" s="514" t="n">
        <v>227577.136752789</v>
      </c>
      <c r="I83" s="514" t="n">
        <v>227577.136752789</v>
      </c>
      <c r="J83" s="514" t="n">
        <v>47478.8379356934</v>
      </c>
      <c r="K83" s="514" t="n">
        <v>2088025</v>
      </c>
      <c r="L83" s="514" t="n"/>
      <c r="M83" s="514" t="n"/>
      <c r="N83" s="514" t="n"/>
      <c r="O83" s="514" t="n"/>
      <c r="P83" s="514" t="n"/>
      <c r="Q83" s="514" t="n"/>
      <c r="R83" s="514" t="n"/>
      <c r="S83" s="515" t="n"/>
      <c r="T83" s="516">
        <f>SUM(C83:S83)+T82</f>
        <v>715157508.3333336</v>
      </c>
      <c r="U83" s="517">
        <f>T83/(X83)</f>
        <v>0.7151575083</v>
      </c>
      <c r="V83" s="516">
        <f>T83-T82</f>
        <v>4171358.333333373</v>
      </c>
      <c r="W83" s="522">
        <f>U83-U82</f>
        <v>0.0041713583</v>
      </c>
      <c r="X83" s="520">
        <f>X82+S83</f>
        <v>1000000000.0</v>
      </c>
      <c r="Y83" s="521">
        <f>Y82+1</f>
        <v>55.0</v>
      </c>
      <c r="Z83" s="381" t="n"/>
      <c r="AA83" s="381" t="n"/>
      <c r="AB83" s="381" t="n"/>
      <c r="AC83" s="381" t="n"/>
      <c r="AD83" s="381" t="n"/>
      <c r="AE83" s="381" t="n"/>
      <c r="AF83" s="381" t="n"/>
      <c r="AG83" s="381" t="n"/>
      <c r="AH83" s="381" t="n"/>
      <c r="AI83" s="381" t="n"/>
      <c r="AJ83" s="381" t="n"/>
      <c r="AK83" s="381" t="n"/>
      <c r="AL83" s="381" t="n"/>
      <c r="AM83" s="381" t="n"/>
      <c r="AN83" s="381" t="n"/>
      <c r="AO83" s="381" t="n"/>
      <c r="AP83" s="381" t="n"/>
      <c r="AQ83" s="381" t="n"/>
      <c r="AR83" s="381" t="n"/>
    </row>
    <row r="84" ht="15.75" customHeight="1" s="375">
      <c r="A84" s="511" t="n">
        <v>48349</v>
      </c>
      <c r="B84" s="512" t="str">
        <f>"T+"&amp;(Y84*1)&amp;"M"</f>
        <v>T+56M</v>
      </c>
      <c r="C84" s="513" t="n">
        <v>215237.401375325</v>
      </c>
      <c r="D84" s="514" t="n">
        <v>568942.841881973</v>
      </c>
      <c r="E84" s="514" t="n">
        <v>341365.705129184</v>
      </c>
      <c r="F84" s="514" t="n">
        <v>227577.136752789</v>
      </c>
      <c r="G84" s="514" t="n">
        <v>227577.136752789</v>
      </c>
      <c r="H84" s="514" t="n">
        <v>227577.136752789</v>
      </c>
      <c r="I84" s="514" t="n">
        <v>227577.136752789</v>
      </c>
      <c r="J84" s="514" t="n">
        <v>47478.8379356934</v>
      </c>
      <c r="K84" s="514" t="n">
        <v>2088025</v>
      </c>
      <c r="L84" s="514" t="n"/>
      <c r="M84" s="514" t="n"/>
      <c r="N84" s="514" t="n"/>
      <c r="O84" s="514" t="n"/>
      <c r="P84" s="514" t="n"/>
      <c r="Q84" s="514" t="n"/>
      <c r="R84" s="514" t="n"/>
      <c r="S84" s="515" t="n"/>
      <c r="T84" s="516">
        <f>SUM(C84:S84)+T83</f>
        <v>719328866.666667</v>
      </c>
      <c r="U84" s="517">
        <f>T84/(X84)</f>
        <v>0.7193288667</v>
      </c>
      <c r="V84" s="516">
        <f>T84-T83</f>
        <v>4171358.333333373</v>
      </c>
      <c r="W84" s="522">
        <f>U84-U83</f>
        <v>0.0041713583</v>
      </c>
      <c r="X84" s="520">
        <f>X83+S84</f>
        <v>1000000000.0</v>
      </c>
      <c r="Y84" s="521">
        <f>Y83+1</f>
        <v>56.0</v>
      </c>
      <c r="Z84" s="381" t="n"/>
      <c r="AA84" s="381" t="n"/>
      <c r="AB84" s="381" t="n"/>
      <c r="AC84" s="381" t="n"/>
      <c r="AD84" s="381" t="n"/>
      <c r="AE84" s="381" t="n"/>
      <c r="AF84" s="381" t="n"/>
      <c r="AG84" s="381" t="n"/>
      <c r="AH84" s="381" t="n"/>
      <c r="AI84" s="381" t="n"/>
      <c r="AJ84" s="381" t="n"/>
      <c r="AK84" s="381" t="n"/>
      <c r="AL84" s="381" t="n"/>
      <c r="AM84" s="381" t="n"/>
      <c r="AN84" s="381" t="n"/>
      <c r="AO84" s="381" t="n"/>
      <c r="AP84" s="381" t="n"/>
      <c r="AQ84" s="381" t="n"/>
      <c r="AR84" s="381" t="n"/>
    </row>
    <row r="85" ht="15.75" customHeight="1" s="375">
      <c r="A85" s="511" t="n">
        <v>48380</v>
      </c>
      <c r="B85" s="512" t="str">
        <f>"T+"&amp;(Y85*1)&amp;"M"</f>
        <v>T+57M</v>
      </c>
      <c r="C85" s="513" t="n">
        <v>215237.401375325</v>
      </c>
      <c r="D85" s="514" t="n">
        <v>568942.841881973</v>
      </c>
      <c r="E85" s="514" t="n">
        <v>341365.705129184</v>
      </c>
      <c r="F85" s="514" t="n">
        <v>227577.136752789</v>
      </c>
      <c r="G85" s="514" t="n">
        <v>227577.136752789</v>
      </c>
      <c r="H85" s="514" t="n">
        <v>227577.136752789</v>
      </c>
      <c r="I85" s="514" t="n">
        <v>227577.136752789</v>
      </c>
      <c r="J85" s="514" t="n">
        <v>47478.8379356934</v>
      </c>
      <c r="K85" s="514" t="n">
        <v>2088025</v>
      </c>
      <c r="L85" s="514" t="n"/>
      <c r="M85" s="514" t="n"/>
      <c r="N85" s="514" t="n"/>
      <c r="O85" s="514" t="n"/>
      <c r="P85" s="514" t="n"/>
      <c r="Q85" s="514" t="n"/>
      <c r="R85" s="514" t="n"/>
      <c r="S85" s="515" t="n"/>
      <c r="T85" s="516">
        <f>SUM(C85:S85)+T84</f>
        <v>723500225.0000004</v>
      </c>
      <c r="U85" s="517">
        <f>T85/(X85)</f>
        <v>0.723500225</v>
      </c>
      <c r="V85" s="516">
        <f>T85-T84</f>
        <v>4171358.333333373</v>
      </c>
      <c r="W85" s="522">
        <f>U85-U84</f>
        <v>0.0041713583</v>
      </c>
      <c r="X85" s="520">
        <f>X84+S85</f>
        <v>1000000000.0</v>
      </c>
      <c r="Y85" s="521">
        <f>Y84+1</f>
        <v>57.0</v>
      </c>
      <c r="Z85" s="381" t="n"/>
      <c r="AA85" s="381" t="n"/>
      <c r="AB85" s="381" t="n"/>
      <c r="AC85" s="381" t="n"/>
      <c r="AD85" s="381" t="n"/>
      <c r="AE85" s="381" t="n"/>
      <c r="AF85" s="381" t="n"/>
      <c r="AG85" s="381" t="n"/>
      <c r="AH85" s="381" t="n"/>
      <c r="AI85" s="381" t="n"/>
      <c r="AJ85" s="381" t="n"/>
      <c r="AK85" s="381" t="n"/>
      <c r="AL85" s="381" t="n"/>
      <c r="AM85" s="381" t="n"/>
      <c r="AN85" s="381" t="n"/>
      <c r="AO85" s="381" t="n"/>
      <c r="AP85" s="381" t="n"/>
      <c r="AQ85" s="381" t="n"/>
      <c r="AR85" s="381" t="n"/>
    </row>
    <row r="86" ht="15.75" customHeight="1" s="375">
      <c r="A86" s="511" t="n">
        <v>48410</v>
      </c>
      <c r="B86" s="512" t="str">
        <f>"T+"&amp;(Y86*1)&amp;"M"</f>
        <v>T+58M</v>
      </c>
      <c r="C86" s="513" t="n">
        <v>215237.401375325</v>
      </c>
      <c r="D86" s="514" t="n">
        <v>568942.841881973</v>
      </c>
      <c r="E86" s="514" t="n">
        <v>341365.705129184</v>
      </c>
      <c r="F86" s="514" t="n">
        <v>227577.136752789</v>
      </c>
      <c r="G86" s="514" t="n">
        <v>227577.136752789</v>
      </c>
      <c r="H86" s="514" t="n">
        <v>227577.136752789</v>
      </c>
      <c r="I86" s="514" t="n">
        <v>227577.136752789</v>
      </c>
      <c r="J86" s="514" t="n">
        <v>47478.8379356934</v>
      </c>
      <c r="K86" s="514" t="n">
        <v>2088025</v>
      </c>
      <c r="L86" s="514" t="n"/>
      <c r="M86" s="514" t="n"/>
      <c r="N86" s="514" t="n"/>
      <c r="O86" s="514" t="n"/>
      <c r="P86" s="514" t="n"/>
      <c r="Q86" s="514" t="n"/>
      <c r="R86" s="514" t="n"/>
      <c r="S86" s="515" t="n"/>
      <c r="T86" s="516">
        <f>SUM(C86:S86)+T85</f>
        <v>727671583.3333337</v>
      </c>
      <c r="U86" s="517">
        <f>T86/(X86)</f>
        <v>0.7276715833</v>
      </c>
      <c r="V86" s="516">
        <f>T86-T85</f>
        <v>4171358.333333373</v>
      </c>
      <c r="W86" s="522">
        <f>U86-U85</f>
        <v>0.0041713583</v>
      </c>
      <c r="X86" s="520">
        <f>X85+S86</f>
        <v>1000000000.0</v>
      </c>
      <c r="Y86" s="521">
        <f>Y85+1</f>
        <v>58.0</v>
      </c>
      <c r="Z86" s="381" t="n"/>
      <c r="AA86" s="381" t="n"/>
      <c r="AB86" s="381" t="n"/>
      <c r="AC86" s="381" t="n"/>
      <c r="AD86" s="381" t="n"/>
      <c r="AE86" s="381" t="n"/>
      <c r="AF86" s="381" t="n"/>
      <c r="AG86" s="381" t="n"/>
      <c r="AH86" s="381" t="n"/>
      <c r="AI86" s="381" t="n"/>
      <c r="AJ86" s="381" t="n"/>
      <c r="AK86" s="381" t="n"/>
      <c r="AL86" s="381" t="n"/>
      <c r="AM86" s="381" t="n"/>
      <c r="AN86" s="381" t="n"/>
      <c r="AO86" s="381" t="n"/>
      <c r="AP86" s="381" t="n"/>
      <c r="AQ86" s="381" t="n"/>
      <c r="AR86" s="381" t="n"/>
    </row>
    <row r="87" ht="15.75" customHeight="1" s="375">
      <c r="A87" s="511" t="n">
        <v>48441</v>
      </c>
      <c r="B87" s="512" t="str">
        <f>"T+"&amp;(Y87*1)&amp;"M"</f>
        <v>T+59M</v>
      </c>
      <c r="C87" s="513" t="n">
        <v>215237.401375325</v>
      </c>
      <c r="D87" s="514" t="n">
        <v>568942.841881973</v>
      </c>
      <c r="E87" s="514" t="n">
        <v>341365.705129184</v>
      </c>
      <c r="F87" s="514" t="n">
        <v>227577.136752789</v>
      </c>
      <c r="G87" s="514" t="n">
        <v>227577.136752789</v>
      </c>
      <c r="H87" s="514" t="n">
        <v>227577.136752789</v>
      </c>
      <c r="I87" s="514" t="n">
        <v>227577.136752789</v>
      </c>
      <c r="J87" s="514" t="n">
        <v>47478.8379356934</v>
      </c>
      <c r="K87" s="514" t="n">
        <v>2088025</v>
      </c>
      <c r="L87" s="514" t="n"/>
      <c r="M87" s="514" t="n"/>
      <c r="N87" s="514" t="n"/>
      <c r="O87" s="514" t="n"/>
      <c r="P87" s="514" t="n"/>
      <c r="Q87" s="514" t="n"/>
      <c r="R87" s="514" t="n"/>
      <c r="S87" s="515" t="n"/>
      <c r="T87" s="516">
        <f>SUM(C87:S87)+T86</f>
        <v>731842941.6666671</v>
      </c>
      <c r="U87" s="517">
        <f>T87/(X87)</f>
        <v>0.7318429417</v>
      </c>
      <c r="V87" s="516">
        <f>T87-T86</f>
        <v>4171358.333333373</v>
      </c>
      <c r="W87" s="522">
        <f>U87-U86</f>
        <v>0.0041713583</v>
      </c>
      <c r="X87" s="520">
        <f>X86+S87</f>
        <v>1000000000.0</v>
      </c>
      <c r="Y87" s="521">
        <f>Y86+1</f>
        <v>59.0</v>
      </c>
      <c r="Z87" s="381" t="n"/>
      <c r="AA87" s="381" t="n"/>
      <c r="AB87" s="381" t="n"/>
      <c r="AC87" s="381" t="n"/>
      <c r="AD87" s="381" t="n"/>
      <c r="AE87" s="381" t="n"/>
      <c r="AF87" s="381" t="n"/>
      <c r="AG87" s="381" t="n"/>
      <c r="AH87" s="381" t="n"/>
      <c r="AI87" s="381" t="n"/>
      <c r="AJ87" s="381" t="n"/>
      <c r="AK87" s="381" t="n"/>
      <c r="AL87" s="381" t="n"/>
      <c r="AM87" s="381" t="n"/>
      <c r="AN87" s="381" t="n"/>
      <c r="AO87" s="381" t="n"/>
      <c r="AP87" s="381" t="n"/>
      <c r="AQ87" s="381" t="n"/>
      <c r="AR87" s="381" t="n"/>
    </row>
    <row r="88" ht="15.75" customHeight="1" s="375">
      <c r="A88" s="511" t="n">
        <v>48472</v>
      </c>
      <c r="B88" s="512" t="str">
        <f>"T+"&amp;(Y88*1)&amp;"M"</f>
        <v>T+60M</v>
      </c>
      <c r="C88" s="513" t="n">
        <v>215237.401375325</v>
      </c>
      <c r="D88" s="514" t="n">
        <v>568942.841881973</v>
      </c>
      <c r="E88" s="514" t="n">
        <v>341365.705129184</v>
      </c>
      <c r="F88" s="514" t="n">
        <v>227577.136752789</v>
      </c>
      <c r="G88" s="514" t="n">
        <v>227577.136752789</v>
      </c>
      <c r="H88" s="514" t="n">
        <v>227577.136752789</v>
      </c>
      <c r="I88" s="514" t="n">
        <v>227577.136752789</v>
      </c>
      <c r="J88" s="514" t="n">
        <v>47478.8379356934</v>
      </c>
      <c r="K88" s="514" t="n">
        <v>2088025</v>
      </c>
      <c r="L88" s="514" t="n"/>
      <c r="M88" s="514" t="n"/>
      <c r="N88" s="514" t="n"/>
      <c r="O88" s="514" t="n"/>
      <c r="P88" s="514" t="n"/>
      <c r="Q88" s="514" t="n"/>
      <c r="R88" s="514" t="n"/>
      <c r="S88" s="515" t="n"/>
      <c r="T88" s="516">
        <f>SUM(C88:S88)+T87</f>
        <v>736014300.0000005</v>
      </c>
      <c r="U88" s="517">
        <f>T88/(X88)</f>
        <v>0.7360143</v>
      </c>
      <c r="V88" s="516">
        <f>T88-T87</f>
        <v>4171358.333333373</v>
      </c>
      <c r="W88" s="522">
        <f>U88-U87</f>
        <v>0.0041713583</v>
      </c>
      <c r="X88" s="520">
        <f>X87+S88</f>
        <v>1000000000.0</v>
      </c>
      <c r="Y88" s="521">
        <f>Y87+1</f>
        <v>60.0</v>
      </c>
      <c r="Z88" s="381" t="n"/>
      <c r="AA88" s="381" t="n"/>
      <c r="AB88" s="381" t="n"/>
      <c r="AC88" s="381" t="n"/>
      <c r="AD88" s="381" t="n"/>
      <c r="AE88" s="381" t="n"/>
      <c r="AF88" s="381" t="n"/>
      <c r="AG88" s="381" t="n"/>
      <c r="AH88" s="381" t="n"/>
      <c r="AI88" s="381" t="n"/>
      <c r="AJ88" s="381" t="n"/>
      <c r="AK88" s="381" t="n"/>
      <c r="AL88" s="381" t="n"/>
      <c r="AM88" s="381" t="n"/>
      <c r="AN88" s="381" t="n"/>
      <c r="AO88" s="381" t="n"/>
      <c r="AP88" s="381" t="n"/>
      <c r="AQ88" s="381" t="n"/>
      <c r="AR88" s="381" t="n"/>
    </row>
    <row r="89" ht="15.75" customHeight="1" s="375">
      <c r="A89" s="511" t="n">
        <v>48502</v>
      </c>
      <c r="B89" s="512" t="str">
        <f>"T+"&amp;(Y89*1)&amp;"M"</f>
        <v>T+61M</v>
      </c>
      <c r="C89" s="513" t="n"/>
      <c r="D89" s="514" t="n"/>
      <c r="E89" s="514" t="n"/>
      <c r="F89" s="514" t="n"/>
      <c r="G89" s="514" t="n"/>
      <c r="H89" s="514" t="n"/>
      <c r="I89" s="514" t="n"/>
      <c r="J89" s="514" t="n"/>
      <c r="K89" s="514" t="n">
        <v>1774821.25</v>
      </c>
      <c r="L89" s="514" t="n"/>
      <c r="M89" s="514" t="n"/>
      <c r="N89" s="514" t="n"/>
      <c r="O89" s="514" t="n"/>
      <c r="P89" s="514" t="n"/>
      <c r="Q89" s="514" t="n"/>
      <c r="R89" s="514" t="n"/>
      <c r="S89" s="515" t="n"/>
      <c r="T89" s="516">
        <f>SUM(C89:S89)+T88</f>
        <v>737789121.2500005</v>
      </c>
      <c r="U89" s="517">
        <f>T89/(X89)</f>
        <v>0.7377891213</v>
      </c>
      <c r="V89" s="516">
        <f>T89-T88</f>
        <v>1774821.25</v>
      </c>
      <c r="W89" s="522">
        <f>U89-U88</f>
        <v>0.0017748213</v>
      </c>
      <c r="X89" s="520">
        <f>X88+S89</f>
        <v>1000000000.0</v>
      </c>
      <c r="Y89" s="521">
        <f>Y88+1</f>
        <v>61.0</v>
      </c>
      <c r="Z89" s="381" t="n"/>
      <c r="AA89" s="381" t="n"/>
      <c r="AB89" s="381" t="n"/>
      <c r="AC89" s="381" t="n"/>
      <c r="AD89" s="381" t="n"/>
      <c r="AE89" s="381" t="n"/>
      <c r="AF89" s="381" t="n"/>
      <c r="AG89" s="381" t="n"/>
      <c r="AH89" s="381" t="n"/>
      <c r="AI89" s="381" t="n"/>
      <c r="AJ89" s="381" t="n"/>
      <c r="AK89" s="381" t="n"/>
      <c r="AL89" s="381" t="n"/>
      <c r="AM89" s="381" t="n"/>
      <c r="AN89" s="381" t="n"/>
      <c r="AO89" s="381" t="n"/>
      <c r="AP89" s="381" t="n"/>
      <c r="AQ89" s="381" t="n"/>
      <c r="AR89" s="381" t="n"/>
    </row>
    <row r="90" ht="15.75" customHeight="1" s="375">
      <c r="A90" s="511" t="n">
        <v>48533</v>
      </c>
      <c r="B90" s="512" t="str">
        <f>"T+"&amp;(Y90*1)&amp;"M"</f>
        <v>T+62M</v>
      </c>
      <c r="C90" s="513" t="n"/>
      <c r="D90" s="514" t="n"/>
      <c r="E90" s="514" t="n"/>
      <c r="F90" s="514" t="n"/>
      <c r="G90" s="514" t="n"/>
      <c r="H90" s="514" t="n"/>
      <c r="I90" s="514" t="n"/>
      <c r="J90" s="514" t="n"/>
      <c r="K90" s="514" t="n">
        <v>1774821.25</v>
      </c>
      <c r="L90" s="514" t="n"/>
      <c r="M90" s="514" t="n"/>
      <c r="N90" s="514" t="n"/>
      <c r="O90" s="514" t="n"/>
      <c r="P90" s="514" t="n"/>
      <c r="Q90" s="514" t="n"/>
      <c r="R90" s="514" t="n"/>
      <c r="S90" s="515" t="n"/>
      <c r="T90" s="516">
        <f>SUM(C90:S90)+T89</f>
        <v>739563942.5000005</v>
      </c>
      <c r="U90" s="517">
        <f>T90/(X90)</f>
        <v>0.7395639425</v>
      </c>
      <c r="V90" s="516">
        <f>T90-T89</f>
        <v>1774821.25</v>
      </c>
      <c r="W90" s="522">
        <f>U90-U89</f>
        <v>0.0017748212</v>
      </c>
      <c r="X90" s="520">
        <f>X89+S90</f>
        <v>1000000000.0</v>
      </c>
      <c r="Y90" s="521">
        <f>Y89+1</f>
        <v>62.0</v>
      </c>
      <c r="Z90" s="381" t="n"/>
      <c r="AA90" s="381" t="n"/>
      <c r="AB90" s="381" t="n"/>
      <c r="AC90" s="381" t="n"/>
      <c r="AD90" s="381" t="n"/>
      <c r="AE90" s="381" t="n"/>
      <c r="AF90" s="381" t="n"/>
      <c r="AG90" s="381" t="n"/>
      <c r="AH90" s="381" t="n"/>
      <c r="AI90" s="381" t="n"/>
      <c r="AJ90" s="381" t="n"/>
      <c r="AK90" s="381" t="n"/>
      <c r="AL90" s="381" t="n"/>
      <c r="AM90" s="381" t="n"/>
      <c r="AN90" s="381" t="n"/>
      <c r="AO90" s="381" t="n"/>
      <c r="AP90" s="381" t="n"/>
      <c r="AQ90" s="381" t="n"/>
      <c r="AR90" s="381" t="n"/>
    </row>
    <row r="91" ht="15.75" customHeight="1" s="375">
      <c r="A91" s="511" t="n">
        <v>48563</v>
      </c>
      <c r="B91" s="512" t="str">
        <f>"T+"&amp;(Y91*1)&amp;"M"</f>
        <v>T+63M</v>
      </c>
      <c r="C91" s="513" t="n"/>
      <c r="D91" s="514" t="n"/>
      <c r="E91" s="514" t="n"/>
      <c r="F91" s="514" t="n"/>
      <c r="G91" s="514" t="n"/>
      <c r="H91" s="514" t="n"/>
      <c r="I91" s="514" t="n"/>
      <c r="J91" s="514" t="n"/>
      <c r="K91" s="514" t="n">
        <v>1774821.25</v>
      </c>
      <c r="L91" s="514" t="n"/>
      <c r="M91" s="514" t="n"/>
      <c r="N91" s="514" t="n"/>
      <c r="O91" s="514" t="n"/>
      <c r="P91" s="514" t="n"/>
      <c r="Q91" s="514" t="n"/>
      <c r="R91" s="514" t="n"/>
      <c r="S91" s="515" t="n"/>
      <c r="T91" s="516">
        <f>SUM(C91:S91)+T90</f>
        <v>741338763.7500005</v>
      </c>
      <c r="U91" s="517">
        <f>T91/(X91)</f>
        <v>0.7413387638</v>
      </c>
      <c r="V91" s="516">
        <f>T91-T90</f>
        <v>1774821.25</v>
      </c>
      <c r="W91" s="522">
        <f>U91-U90</f>
        <v>0.0017748213</v>
      </c>
      <c r="X91" s="520">
        <f>X90+S91</f>
        <v>1000000000.0</v>
      </c>
      <c r="Y91" s="521">
        <f>Y90+1</f>
        <v>63.0</v>
      </c>
      <c r="Z91" s="381" t="n"/>
      <c r="AA91" s="381" t="n"/>
      <c r="AB91" s="381" t="n"/>
      <c r="AC91" s="381" t="n"/>
      <c r="AD91" s="381" t="n"/>
      <c r="AE91" s="381" t="n"/>
      <c r="AF91" s="381" t="n"/>
      <c r="AG91" s="381" t="n"/>
      <c r="AH91" s="381" t="n"/>
      <c r="AI91" s="381" t="n"/>
      <c r="AJ91" s="381" t="n"/>
      <c r="AK91" s="381" t="n"/>
      <c r="AL91" s="381" t="n"/>
      <c r="AM91" s="381" t="n"/>
      <c r="AN91" s="381" t="n"/>
      <c r="AO91" s="381" t="n"/>
      <c r="AP91" s="381" t="n"/>
      <c r="AQ91" s="381" t="n"/>
      <c r="AR91" s="381" t="n"/>
    </row>
    <row r="92" ht="15.75" customHeight="1" s="375">
      <c r="A92" s="511" t="n">
        <v>48594</v>
      </c>
      <c r="B92" s="512" t="str">
        <f>"T+"&amp;(Y92*1)&amp;"M"</f>
        <v>T+64M</v>
      </c>
      <c r="C92" s="513" t="n"/>
      <c r="D92" s="514" t="n"/>
      <c r="E92" s="514" t="n"/>
      <c r="F92" s="514" t="n"/>
      <c r="G92" s="514" t="n"/>
      <c r="H92" s="514" t="n"/>
      <c r="I92" s="514" t="n"/>
      <c r="J92" s="514" t="n"/>
      <c r="K92" s="514" t="n">
        <v>1774821.25</v>
      </c>
      <c r="L92" s="514" t="n"/>
      <c r="M92" s="514" t="n"/>
      <c r="N92" s="514" t="n"/>
      <c r="O92" s="514" t="n"/>
      <c r="P92" s="514" t="n"/>
      <c r="Q92" s="514" t="n"/>
      <c r="R92" s="514" t="n"/>
      <c r="S92" s="515" t="n"/>
      <c r="T92" s="516">
        <f>SUM(C92:S92)+T91</f>
        <v>743113585.0000005</v>
      </c>
      <c r="U92" s="517">
        <f>T92/(X92)</f>
        <v>0.743113585</v>
      </c>
      <c r="V92" s="516">
        <f>T92-T91</f>
        <v>1774821.25</v>
      </c>
      <c r="W92" s="522">
        <f>U92-U91</f>
        <v>0.0017748212</v>
      </c>
      <c r="X92" s="520">
        <f>X91+S92</f>
        <v>1000000000.0</v>
      </c>
      <c r="Y92" s="521">
        <f>Y91+1</f>
        <v>64.0</v>
      </c>
      <c r="Z92" s="381" t="n"/>
      <c r="AA92" s="381" t="n"/>
      <c r="AB92" s="381" t="n"/>
      <c r="AC92" s="381" t="n"/>
      <c r="AD92" s="381" t="n"/>
      <c r="AE92" s="381" t="n"/>
      <c r="AF92" s="381" t="n"/>
      <c r="AG92" s="381" t="n"/>
      <c r="AH92" s="381" t="n"/>
      <c r="AI92" s="381" t="n"/>
      <c r="AJ92" s="381" t="n"/>
      <c r="AK92" s="381" t="n"/>
      <c r="AL92" s="381" t="n"/>
      <c r="AM92" s="381" t="n"/>
      <c r="AN92" s="381" t="n"/>
      <c r="AO92" s="381" t="n"/>
      <c r="AP92" s="381" t="n"/>
      <c r="AQ92" s="381" t="n"/>
      <c r="AR92" s="381" t="n"/>
    </row>
    <row r="93" ht="15.75" customHeight="1" s="375">
      <c r="A93" s="511" t="n">
        <v>48625</v>
      </c>
      <c r="B93" s="512" t="str">
        <f>"T+"&amp;(Y93*1)&amp;"M"</f>
        <v>T+65M</v>
      </c>
      <c r="C93" s="513" t="n"/>
      <c r="D93" s="514" t="n"/>
      <c r="E93" s="514" t="n"/>
      <c r="F93" s="514" t="n"/>
      <c r="G93" s="514" t="n"/>
      <c r="H93" s="514" t="n"/>
      <c r="I93" s="514" t="n"/>
      <c r="J93" s="514" t="n"/>
      <c r="K93" s="514" t="n">
        <v>1774821.25</v>
      </c>
      <c r="L93" s="514" t="n"/>
      <c r="M93" s="514" t="n"/>
      <c r="N93" s="514" t="n"/>
      <c r="O93" s="514" t="n"/>
      <c r="P93" s="514" t="n"/>
      <c r="Q93" s="514" t="n"/>
      <c r="R93" s="514" t="n"/>
      <c r="S93" s="515" t="n"/>
      <c r="T93" s="516">
        <f>SUM(C93:S93)+T92</f>
        <v>744888406.2500005</v>
      </c>
      <c r="U93" s="517">
        <f>T93/(X93)</f>
        <v>0.7448884063</v>
      </c>
      <c r="V93" s="516">
        <f>T93-T92</f>
        <v>1774821.25</v>
      </c>
      <c r="W93" s="522">
        <f>U93-U92</f>
        <v>0.0017748213</v>
      </c>
      <c r="X93" s="520">
        <f>X92+S93</f>
        <v>1000000000.0</v>
      </c>
      <c r="Y93" s="521">
        <f>Y92+1</f>
        <v>65.0</v>
      </c>
      <c r="Z93" s="381" t="n"/>
      <c r="AA93" s="381" t="n"/>
      <c r="AB93" s="381" t="n"/>
      <c r="AC93" s="381" t="n"/>
      <c r="AD93" s="381" t="n"/>
      <c r="AE93" s="381" t="n"/>
      <c r="AF93" s="381" t="n"/>
      <c r="AG93" s="381" t="n"/>
      <c r="AH93" s="381" t="n"/>
      <c r="AI93" s="381" t="n"/>
      <c r="AJ93" s="381" t="n"/>
      <c r="AK93" s="381" t="n"/>
      <c r="AL93" s="381" t="n"/>
      <c r="AM93" s="381" t="n"/>
      <c r="AN93" s="381" t="n"/>
      <c r="AO93" s="381" t="n"/>
      <c r="AP93" s="381" t="n"/>
      <c r="AQ93" s="381" t="n"/>
      <c r="AR93" s="381" t="n"/>
    </row>
    <row r="94" ht="15.75" customHeight="1" s="375">
      <c r="A94" s="511" t="n">
        <v>48653</v>
      </c>
      <c r="B94" s="512" t="str">
        <f>"T+"&amp;(Y94*1)&amp;"M"</f>
        <v>T+66M</v>
      </c>
      <c r="C94" s="513" t="n"/>
      <c r="D94" s="514" t="n"/>
      <c r="E94" s="514" t="n"/>
      <c r="F94" s="514" t="n"/>
      <c r="G94" s="514" t="n"/>
      <c r="H94" s="514" t="n"/>
      <c r="I94" s="514" t="n"/>
      <c r="J94" s="514" t="n"/>
      <c r="K94" s="514" t="n">
        <v>1774821.25</v>
      </c>
      <c r="L94" s="514" t="n"/>
      <c r="M94" s="514" t="n"/>
      <c r="N94" s="514" t="n"/>
      <c r="O94" s="514" t="n"/>
      <c r="P94" s="514" t="n"/>
      <c r="Q94" s="514" t="n"/>
      <c r="R94" s="514" t="n"/>
      <c r="S94" s="515" t="n"/>
      <c r="T94" s="516">
        <f>SUM(C94:S94)+T93</f>
        <v>746663227.5000005</v>
      </c>
      <c r="U94" s="517">
        <f>T94/(X94)</f>
        <v>0.7466632275</v>
      </c>
      <c r="V94" s="516">
        <f>T94-T93</f>
        <v>1774821.25</v>
      </c>
      <c r="W94" s="522">
        <f>U94-U93</f>
        <v>0.0017748212</v>
      </c>
      <c r="X94" s="520">
        <f>X93+S94</f>
        <v>1000000000.0</v>
      </c>
      <c r="Y94" s="521">
        <f>Y93+1</f>
        <v>66.0</v>
      </c>
      <c r="Z94" s="381" t="n"/>
      <c r="AA94" s="381" t="n"/>
      <c r="AB94" s="381" t="n"/>
      <c r="AC94" s="381" t="n"/>
      <c r="AD94" s="381" t="n"/>
      <c r="AE94" s="381" t="n"/>
      <c r="AF94" s="381" t="n"/>
      <c r="AG94" s="381" t="n"/>
      <c r="AH94" s="381" t="n"/>
      <c r="AI94" s="381" t="n"/>
      <c r="AJ94" s="381" t="n"/>
      <c r="AK94" s="381" t="n"/>
      <c r="AL94" s="381" t="n"/>
      <c r="AM94" s="381" t="n"/>
      <c r="AN94" s="381" t="n"/>
      <c r="AO94" s="381" t="n"/>
      <c r="AP94" s="381" t="n"/>
      <c r="AQ94" s="381" t="n"/>
      <c r="AR94" s="381" t="n"/>
    </row>
    <row r="95" ht="15.75" customHeight="1" s="375">
      <c r="A95" s="511" t="n">
        <v>48684</v>
      </c>
      <c r="B95" s="512" t="str">
        <f>"T+"&amp;(Y95*1)&amp;"M"</f>
        <v>T+67M</v>
      </c>
      <c r="C95" s="513" t="n"/>
      <c r="D95" s="514" t="n"/>
      <c r="E95" s="514" t="n"/>
      <c r="F95" s="514" t="n"/>
      <c r="G95" s="514" t="n"/>
      <c r="H95" s="514" t="n"/>
      <c r="I95" s="514" t="n"/>
      <c r="J95" s="514" t="n"/>
      <c r="K95" s="514" t="n">
        <v>1774821.25</v>
      </c>
      <c r="L95" s="514" t="n"/>
      <c r="M95" s="514" t="n"/>
      <c r="N95" s="514" t="n"/>
      <c r="O95" s="514" t="n"/>
      <c r="P95" s="514" t="n"/>
      <c r="Q95" s="514" t="n"/>
      <c r="R95" s="514" t="n"/>
      <c r="S95" s="515" t="n"/>
      <c r="T95" s="516">
        <f>SUM(C95:S95)+T94</f>
        <v>748438048.7500005</v>
      </c>
      <c r="U95" s="517">
        <f>T95/(X95)</f>
        <v>0.7484380488</v>
      </c>
      <c r="V95" s="516">
        <f>T95-T94</f>
        <v>1774821.25</v>
      </c>
      <c r="W95" s="522">
        <f>U95-U94</f>
        <v>0.0017748213</v>
      </c>
      <c r="X95" s="520">
        <f>X94+S95</f>
        <v>1000000000.0</v>
      </c>
      <c r="Y95" s="521">
        <f>Y94+1</f>
        <v>67.0</v>
      </c>
      <c r="Z95" s="381" t="n"/>
      <c r="AA95" s="381" t="n"/>
      <c r="AB95" s="381" t="n"/>
      <c r="AC95" s="381" t="n"/>
      <c r="AD95" s="381" t="n"/>
      <c r="AE95" s="381" t="n"/>
      <c r="AF95" s="381" t="n"/>
      <c r="AG95" s="381" t="n"/>
      <c r="AH95" s="381" t="n"/>
      <c r="AI95" s="381" t="n"/>
      <c r="AJ95" s="381" t="n"/>
      <c r="AK95" s="381" t="n"/>
      <c r="AL95" s="381" t="n"/>
      <c r="AM95" s="381" t="n"/>
      <c r="AN95" s="381" t="n"/>
      <c r="AO95" s="381" t="n"/>
      <c r="AP95" s="381" t="n"/>
      <c r="AQ95" s="381" t="n"/>
      <c r="AR95" s="381" t="n"/>
    </row>
    <row r="96" ht="15.75" customHeight="1" s="375">
      <c r="A96" s="511" t="n">
        <v>48714</v>
      </c>
      <c r="B96" s="512" t="str">
        <f>"T+"&amp;(Y96*1)&amp;"M"</f>
        <v>T+68M</v>
      </c>
      <c r="C96" s="513" t="n"/>
      <c r="D96" s="514" t="n"/>
      <c r="E96" s="514" t="n"/>
      <c r="F96" s="514" t="n"/>
      <c r="G96" s="514" t="n"/>
      <c r="H96" s="514" t="n"/>
      <c r="I96" s="514" t="n"/>
      <c r="J96" s="514" t="n"/>
      <c r="K96" s="514" t="n">
        <v>1774821.25</v>
      </c>
      <c r="L96" s="514" t="n"/>
      <c r="M96" s="514" t="n"/>
      <c r="N96" s="514" t="n"/>
      <c r="O96" s="514" t="n"/>
      <c r="P96" s="514" t="n"/>
      <c r="Q96" s="514" t="n"/>
      <c r="R96" s="514" t="n"/>
      <c r="S96" s="515" t="n"/>
      <c r="T96" s="516">
        <f>SUM(C96:S96)+T95</f>
        <v>750212870.0000005</v>
      </c>
      <c r="U96" s="517">
        <f>T96/(X96)</f>
        <v>0.75021287</v>
      </c>
      <c r="V96" s="516">
        <f>T96-T95</f>
        <v>1774821.25</v>
      </c>
      <c r="W96" s="522">
        <f>U96-U95</f>
        <v>0.0017748212</v>
      </c>
      <c r="X96" s="520">
        <f>X95+S96</f>
        <v>1000000000.0</v>
      </c>
      <c r="Y96" s="521">
        <f>Y95+1</f>
        <v>68.0</v>
      </c>
      <c r="Z96" s="381" t="n"/>
      <c r="AA96" s="381" t="n"/>
      <c r="AB96" s="381" t="n"/>
      <c r="AC96" s="381" t="n"/>
      <c r="AD96" s="381" t="n"/>
      <c r="AE96" s="381" t="n"/>
      <c r="AF96" s="381" t="n"/>
      <c r="AG96" s="381" t="n"/>
      <c r="AH96" s="381" t="n"/>
      <c r="AI96" s="381" t="n"/>
      <c r="AJ96" s="381" t="n"/>
      <c r="AK96" s="381" t="n"/>
      <c r="AL96" s="381" t="n"/>
      <c r="AM96" s="381" t="n"/>
      <c r="AN96" s="381" t="n"/>
      <c r="AO96" s="381" t="n"/>
      <c r="AP96" s="381" t="n"/>
      <c r="AQ96" s="381" t="n"/>
      <c r="AR96" s="381" t="n"/>
    </row>
    <row r="97" ht="15.75" customHeight="1" s="375">
      <c r="A97" s="511" t="n">
        <v>48745</v>
      </c>
      <c r="B97" s="512" t="str">
        <f>"T+"&amp;(Y97*1)&amp;"M"</f>
        <v>T+69M</v>
      </c>
      <c r="C97" s="513" t="n"/>
      <c r="D97" s="514" t="n"/>
      <c r="E97" s="514" t="n"/>
      <c r="F97" s="514" t="n"/>
      <c r="G97" s="514" t="n"/>
      <c r="H97" s="514" t="n"/>
      <c r="I97" s="514" t="n"/>
      <c r="J97" s="514" t="n"/>
      <c r="K97" s="514" t="n">
        <v>1774821.25</v>
      </c>
      <c r="L97" s="514" t="n"/>
      <c r="M97" s="514" t="n"/>
      <c r="N97" s="514" t="n"/>
      <c r="O97" s="514" t="n"/>
      <c r="P97" s="514" t="n"/>
      <c r="Q97" s="514" t="n"/>
      <c r="R97" s="514" t="n"/>
      <c r="S97" s="515" t="n"/>
      <c r="T97" s="516">
        <f>SUM(C97:S97)+T96</f>
        <v>751987691.2500005</v>
      </c>
      <c r="U97" s="517">
        <f>T97/(X97)</f>
        <v>0.7519876913</v>
      </c>
      <c r="V97" s="516">
        <f>T97-T96</f>
        <v>1774821.25</v>
      </c>
      <c r="W97" s="522">
        <f>U97-U96</f>
        <v>0.0017748212</v>
      </c>
      <c r="X97" s="520">
        <f>X96+S97</f>
        <v>1000000000.0</v>
      </c>
      <c r="Y97" s="521">
        <f>Y96+1</f>
        <v>69.0</v>
      </c>
      <c r="Z97" s="381" t="n"/>
      <c r="AA97" s="381" t="n"/>
      <c r="AB97" s="381" t="n"/>
      <c r="AC97" s="381" t="n"/>
      <c r="AD97" s="381" t="n"/>
      <c r="AE97" s="381" t="n"/>
      <c r="AF97" s="381" t="n"/>
      <c r="AG97" s="381" t="n"/>
      <c r="AH97" s="381" t="n"/>
      <c r="AI97" s="381" t="n"/>
      <c r="AJ97" s="381" t="n"/>
      <c r="AK97" s="381" t="n"/>
      <c r="AL97" s="381" t="n"/>
      <c r="AM97" s="381" t="n"/>
      <c r="AN97" s="381" t="n"/>
      <c r="AO97" s="381" t="n"/>
      <c r="AP97" s="381" t="n"/>
      <c r="AQ97" s="381" t="n"/>
      <c r="AR97" s="381" t="n"/>
    </row>
    <row r="98" ht="15.75" customHeight="1" s="375">
      <c r="A98" s="511" t="n">
        <v>48775</v>
      </c>
      <c r="B98" s="512" t="str">
        <f>"T+"&amp;(Y98*1)&amp;"M"</f>
        <v>T+70M</v>
      </c>
      <c r="C98" s="513" t="n"/>
      <c r="D98" s="514" t="n"/>
      <c r="E98" s="514" t="n"/>
      <c r="F98" s="514" t="n"/>
      <c r="G98" s="514" t="n"/>
      <c r="H98" s="514" t="n"/>
      <c r="I98" s="514" t="n"/>
      <c r="J98" s="514" t="n"/>
      <c r="K98" s="514" t="n">
        <v>1774821.25</v>
      </c>
      <c r="L98" s="514" t="n"/>
      <c r="M98" s="514" t="n"/>
      <c r="N98" s="514" t="n"/>
      <c r="O98" s="514" t="n"/>
      <c r="P98" s="514" t="n"/>
      <c r="Q98" s="514" t="n"/>
      <c r="R98" s="514" t="n"/>
      <c r="S98" s="515" t="n"/>
      <c r="T98" s="516">
        <f>SUM(C98:S98)+T97</f>
        <v>753762512.5000005</v>
      </c>
      <c r="U98" s="517">
        <f>T98/(X98)</f>
        <v>0.7537625125</v>
      </c>
      <c r="V98" s="516">
        <f>T98-T97</f>
        <v>1774821.25</v>
      </c>
      <c r="W98" s="522">
        <f>U98-U97</f>
        <v>0.0017748213</v>
      </c>
      <c r="X98" s="520">
        <f>X97+S98</f>
        <v>1000000000.0</v>
      </c>
      <c r="Y98" s="521">
        <f>Y97+1</f>
        <v>70.0</v>
      </c>
      <c r="Z98" s="381" t="n"/>
      <c r="AA98" s="381" t="n"/>
      <c r="AB98" s="381" t="n"/>
      <c r="AC98" s="381" t="n"/>
      <c r="AD98" s="381" t="n"/>
      <c r="AE98" s="381" t="n"/>
      <c r="AF98" s="381" t="n"/>
      <c r="AG98" s="381" t="n"/>
      <c r="AH98" s="381" t="n"/>
      <c r="AI98" s="381" t="n"/>
      <c r="AJ98" s="381" t="n"/>
      <c r="AK98" s="381" t="n"/>
      <c r="AL98" s="381" t="n"/>
      <c r="AM98" s="381" t="n"/>
      <c r="AN98" s="381" t="n"/>
      <c r="AO98" s="381" t="n"/>
      <c r="AP98" s="381" t="n"/>
      <c r="AQ98" s="381" t="n"/>
      <c r="AR98" s="381" t="n"/>
    </row>
    <row r="99" ht="15.75" customHeight="1" s="375">
      <c r="A99" s="511" t="n">
        <v>48806</v>
      </c>
      <c r="B99" s="512" t="str">
        <f>"T+"&amp;(Y99*1)&amp;"M"</f>
        <v>T+71M</v>
      </c>
      <c r="C99" s="513" t="n"/>
      <c r="D99" s="514" t="n"/>
      <c r="E99" s="514" t="n"/>
      <c r="F99" s="514" t="n"/>
      <c r="G99" s="514" t="n"/>
      <c r="H99" s="514" t="n"/>
      <c r="I99" s="514" t="n"/>
      <c r="J99" s="514" t="n"/>
      <c r="K99" s="514" t="n">
        <v>1774821.25</v>
      </c>
      <c r="L99" s="514" t="n"/>
      <c r="M99" s="514" t="n"/>
      <c r="N99" s="514" t="n"/>
      <c r="O99" s="514" t="n"/>
      <c r="P99" s="514" t="n"/>
      <c r="Q99" s="514" t="n"/>
      <c r="R99" s="514" t="n"/>
      <c r="S99" s="515" t="n"/>
      <c r="T99" s="516">
        <f>SUM(C99:S99)+T98</f>
        <v>755537333.7500005</v>
      </c>
      <c r="U99" s="517">
        <f>T99/(X99)</f>
        <v>0.7555373338</v>
      </c>
      <c r="V99" s="516">
        <f>T99-T98</f>
        <v>1774821.25</v>
      </c>
      <c r="W99" s="522">
        <f>U99-U98</f>
        <v>0.0017748212</v>
      </c>
      <c r="X99" s="520">
        <f>X98+S99</f>
        <v>1000000000.0</v>
      </c>
      <c r="Y99" s="521">
        <f>Y98+1</f>
        <v>71.0</v>
      </c>
      <c r="Z99" s="381" t="n"/>
      <c r="AA99" s="381" t="n"/>
      <c r="AB99" s="381" t="n"/>
      <c r="AC99" s="381" t="n"/>
      <c r="AD99" s="381" t="n"/>
      <c r="AE99" s="381" t="n"/>
      <c r="AF99" s="381" t="n"/>
      <c r="AG99" s="381" t="n"/>
      <c r="AH99" s="381" t="n"/>
      <c r="AI99" s="381" t="n"/>
      <c r="AJ99" s="381" t="n"/>
      <c r="AK99" s="381" t="n"/>
      <c r="AL99" s="381" t="n"/>
      <c r="AM99" s="381" t="n"/>
      <c r="AN99" s="381" t="n"/>
      <c r="AO99" s="381" t="n"/>
      <c r="AP99" s="381" t="n"/>
      <c r="AQ99" s="381" t="n"/>
      <c r="AR99" s="381" t="n"/>
    </row>
    <row r="100" ht="15.75" customHeight="1" s="375">
      <c r="A100" s="511" t="n">
        <v>48837</v>
      </c>
      <c r="B100" s="512" t="str">
        <f>"T+"&amp;(Y100*1)&amp;"M"</f>
        <v>T+72M</v>
      </c>
      <c r="C100" s="513" t="n"/>
      <c r="D100" s="514" t="n"/>
      <c r="E100" s="514" t="n"/>
      <c r="F100" s="514" t="n"/>
      <c r="G100" s="514" t="n"/>
      <c r="H100" s="514" t="n"/>
      <c r="I100" s="514" t="n"/>
      <c r="J100" s="514" t="n"/>
      <c r="K100" s="514" t="n">
        <v>1774821.25</v>
      </c>
      <c r="L100" s="514" t="n"/>
      <c r="M100" s="514" t="n"/>
      <c r="N100" s="514" t="n"/>
      <c r="O100" s="514" t="n"/>
      <c r="P100" s="514" t="n"/>
      <c r="Q100" s="514" t="n"/>
      <c r="R100" s="514" t="n"/>
      <c r="S100" s="515" t="n"/>
      <c r="T100" s="516">
        <f>SUM(C100:S100)+T99</f>
        <v>757312155.0000005</v>
      </c>
      <c r="U100" s="517">
        <f>T100/(X100)</f>
        <v>0.757312155</v>
      </c>
      <c r="V100" s="516">
        <f>T100-T99</f>
        <v>1774821.25</v>
      </c>
      <c r="W100" s="522">
        <f>U100-U99</f>
        <v>0.0017748213</v>
      </c>
      <c r="X100" s="520">
        <f>X99+S100</f>
        <v>1000000000.0</v>
      </c>
      <c r="Y100" s="521">
        <f>Y99+1</f>
        <v>72.0</v>
      </c>
      <c r="Z100" s="381" t="n"/>
      <c r="AA100" s="381" t="n"/>
      <c r="AB100" s="381" t="n"/>
      <c r="AC100" s="381" t="n"/>
      <c r="AD100" s="381" t="n"/>
      <c r="AE100" s="381" t="n"/>
      <c r="AF100" s="381" t="n"/>
      <c r="AG100" s="381" t="n"/>
      <c r="AH100" s="381" t="n"/>
      <c r="AI100" s="381" t="n"/>
      <c r="AJ100" s="381" t="n"/>
      <c r="AK100" s="381" t="n"/>
      <c r="AL100" s="381" t="n"/>
      <c r="AM100" s="381" t="n"/>
      <c r="AN100" s="381" t="n"/>
      <c r="AO100" s="381" t="n"/>
      <c r="AP100" s="381" t="n"/>
      <c r="AQ100" s="381" t="n"/>
      <c r="AR100" s="381" t="n"/>
    </row>
    <row r="101" ht="15.75" customHeight="1" s="375">
      <c r="A101" s="511" t="n">
        <v>48867</v>
      </c>
      <c r="B101" s="512" t="str">
        <f>"T+"&amp;(Y101*1)&amp;"M"</f>
        <v>T+73M</v>
      </c>
      <c r="C101" s="513" t="n"/>
      <c r="D101" s="514" t="n"/>
      <c r="E101" s="514" t="n"/>
      <c r="F101" s="514" t="n"/>
      <c r="G101" s="514" t="n"/>
      <c r="H101" s="514" t="n"/>
      <c r="I101" s="514" t="n"/>
      <c r="J101" s="514" t="n"/>
      <c r="K101" s="514" t="n">
        <v>1508598.0625</v>
      </c>
      <c r="L101" s="514" t="n"/>
      <c r="M101" s="514" t="n"/>
      <c r="N101" s="514" t="n"/>
      <c r="O101" s="514" t="n"/>
      <c r="P101" s="514" t="n"/>
      <c r="Q101" s="514" t="n"/>
      <c r="R101" s="514" t="n"/>
      <c r="S101" s="515" t="n"/>
      <c r="T101" s="516">
        <f>SUM(C101:S101)+T100</f>
        <v>758820753.0625005</v>
      </c>
      <c r="U101" s="517">
        <f>T101/(X101)</f>
        <v>0.7588207531</v>
      </c>
      <c r="V101" s="516">
        <f>T101-T100</f>
        <v>1508598.0625</v>
      </c>
      <c r="W101" s="522">
        <f>U101-U100</f>
        <v>0.0015085981</v>
      </c>
      <c r="X101" s="520">
        <f>X100+S101</f>
        <v>1000000000.0</v>
      </c>
      <c r="Y101" s="521">
        <f>Y100+1</f>
        <v>73.0</v>
      </c>
      <c r="Z101" s="381" t="n"/>
      <c r="AA101" s="381" t="n"/>
      <c r="AB101" s="381" t="n"/>
      <c r="AC101" s="381" t="n"/>
      <c r="AD101" s="381" t="n"/>
      <c r="AE101" s="381" t="n"/>
      <c r="AF101" s="381" t="n"/>
      <c r="AG101" s="381" t="n"/>
      <c r="AH101" s="381" t="n"/>
      <c r="AI101" s="381" t="n"/>
      <c r="AJ101" s="381" t="n"/>
      <c r="AK101" s="381" t="n"/>
      <c r="AL101" s="381" t="n"/>
      <c r="AM101" s="381" t="n"/>
      <c r="AN101" s="381" t="n"/>
      <c r="AO101" s="381" t="n"/>
      <c r="AP101" s="381" t="n"/>
      <c r="AQ101" s="381" t="n"/>
      <c r="AR101" s="381" t="n"/>
    </row>
    <row r="102" ht="15.75" customHeight="1" s="375">
      <c r="A102" s="511" t="n">
        <v>48898</v>
      </c>
      <c r="B102" s="512" t="str">
        <f>"T+"&amp;(Y102*1)&amp;"M"</f>
        <v>T+74M</v>
      </c>
      <c r="C102" s="513" t="n"/>
      <c r="D102" s="514" t="n"/>
      <c r="E102" s="514" t="n"/>
      <c r="F102" s="514" t="n"/>
      <c r="G102" s="514" t="n"/>
      <c r="H102" s="514" t="n"/>
      <c r="I102" s="514" t="n"/>
      <c r="J102" s="514" t="n"/>
      <c r="K102" s="514" t="n">
        <v>1508598.0625</v>
      </c>
      <c r="L102" s="514" t="n"/>
      <c r="M102" s="514" t="n"/>
      <c r="N102" s="514" t="n"/>
      <c r="O102" s="514" t="n"/>
      <c r="P102" s="514" t="n"/>
      <c r="Q102" s="514" t="n"/>
      <c r="R102" s="514" t="n"/>
      <c r="S102" s="515" t="n"/>
      <c r="T102" s="516">
        <f>SUM(C102:S102)+T101</f>
        <v>760329351.1250005</v>
      </c>
      <c r="U102" s="517">
        <f>T102/(X102)</f>
        <v>0.7603293511</v>
      </c>
      <c r="V102" s="516">
        <f>T102-T101</f>
        <v>1508598.0625</v>
      </c>
      <c r="W102" s="522">
        <f>U102-U101</f>
        <v>0.0015085981</v>
      </c>
      <c r="X102" s="520">
        <f>X101+S102</f>
        <v>1000000000.0</v>
      </c>
      <c r="Y102" s="521">
        <f>Y101+1</f>
        <v>74.0</v>
      </c>
      <c r="Z102" s="381" t="n"/>
      <c r="AA102" s="381" t="n"/>
      <c r="AB102" s="381" t="n"/>
      <c r="AC102" s="381" t="n"/>
      <c r="AD102" s="381" t="n"/>
      <c r="AE102" s="381" t="n"/>
      <c r="AF102" s="381" t="n"/>
      <c r="AG102" s="381" t="n"/>
      <c r="AH102" s="381" t="n"/>
      <c r="AI102" s="381" t="n"/>
      <c r="AJ102" s="381" t="n"/>
      <c r="AK102" s="381" t="n"/>
      <c r="AL102" s="381" t="n"/>
      <c r="AM102" s="381" t="n"/>
      <c r="AN102" s="381" t="n"/>
      <c r="AO102" s="381" t="n"/>
      <c r="AP102" s="381" t="n"/>
      <c r="AQ102" s="381" t="n"/>
      <c r="AR102" s="381" t="n"/>
    </row>
    <row r="103" ht="15.75" customHeight="1" s="375">
      <c r="A103" s="511" t="n">
        <v>48928</v>
      </c>
      <c r="B103" s="512" t="str">
        <f>"T+"&amp;(Y103*1)&amp;"M"</f>
        <v>T+75M</v>
      </c>
      <c r="C103" s="513" t="n"/>
      <c r="D103" s="514" t="n"/>
      <c r="E103" s="514" t="n"/>
      <c r="F103" s="514" t="n"/>
      <c r="G103" s="514" t="n"/>
      <c r="H103" s="514" t="n"/>
      <c r="I103" s="514" t="n"/>
      <c r="J103" s="514" t="n"/>
      <c r="K103" s="514" t="n">
        <v>1508598.0625</v>
      </c>
      <c r="L103" s="514" t="n"/>
      <c r="M103" s="514" t="n"/>
      <c r="N103" s="514" t="n"/>
      <c r="O103" s="514" t="n"/>
      <c r="P103" s="514" t="n"/>
      <c r="Q103" s="514" t="n"/>
      <c r="R103" s="514" t="n"/>
      <c r="S103" s="515" t="n"/>
      <c r="T103" s="516">
        <f>SUM(C103:S103)+T102</f>
        <v>761837949.1875005</v>
      </c>
      <c r="U103" s="517">
        <f>T103/(X103)</f>
        <v>0.7618379492</v>
      </c>
      <c r="V103" s="516">
        <f>T103-T102</f>
        <v>1508598.0625</v>
      </c>
      <c r="W103" s="522">
        <f>U103-U102</f>
        <v>0.0015085981</v>
      </c>
      <c r="X103" s="520">
        <f>X102+S103</f>
        <v>1000000000.0</v>
      </c>
      <c r="Y103" s="521">
        <f>Y102+1</f>
        <v>75.0</v>
      </c>
      <c r="Z103" s="381" t="n"/>
      <c r="AA103" s="381" t="n"/>
      <c r="AB103" s="381" t="n"/>
      <c r="AC103" s="381" t="n"/>
      <c r="AD103" s="381" t="n"/>
      <c r="AE103" s="381" t="n"/>
      <c r="AF103" s="381" t="n"/>
      <c r="AG103" s="381" t="n"/>
      <c r="AH103" s="381" t="n"/>
      <c r="AI103" s="381" t="n"/>
      <c r="AJ103" s="381" t="n"/>
      <c r="AK103" s="381" t="n"/>
      <c r="AL103" s="381" t="n"/>
      <c r="AM103" s="381" t="n"/>
      <c r="AN103" s="381" t="n"/>
      <c r="AO103" s="381" t="n"/>
      <c r="AP103" s="381" t="n"/>
      <c r="AQ103" s="381" t="n"/>
      <c r="AR103" s="381" t="n"/>
    </row>
    <row r="104" ht="15.75" customHeight="1" s="375">
      <c r="A104" s="511" t="n">
        <v>48959</v>
      </c>
      <c r="B104" s="512" t="str">
        <f>"T+"&amp;(Y104*1)&amp;"M"</f>
        <v>T+76M</v>
      </c>
      <c r="C104" s="513" t="n"/>
      <c r="D104" s="514" t="n"/>
      <c r="E104" s="514" t="n"/>
      <c r="F104" s="514" t="n"/>
      <c r="G104" s="514" t="n"/>
      <c r="H104" s="514" t="n"/>
      <c r="I104" s="514" t="n"/>
      <c r="J104" s="514" t="n"/>
      <c r="K104" s="514" t="n">
        <v>1508598.0625</v>
      </c>
      <c r="L104" s="514" t="n"/>
      <c r="M104" s="514" t="n"/>
      <c r="N104" s="514" t="n"/>
      <c r="O104" s="514" t="n"/>
      <c r="P104" s="514" t="n"/>
      <c r="Q104" s="514" t="n"/>
      <c r="R104" s="514" t="n"/>
      <c r="S104" s="515" t="n"/>
      <c r="T104" s="516">
        <f>SUM(C104:S104)+T103</f>
        <v>763346547.2500005</v>
      </c>
      <c r="U104" s="517">
        <f>T104/(X104)</f>
        <v>0.7633465473</v>
      </c>
      <c r="V104" s="516">
        <f>T104-T103</f>
        <v>1508598.0625</v>
      </c>
      <c r="W104" s="522">
        <f>U104-U103</f>
        <v>0.0015085981</v>
      </c>
      <c r="X104" s="520">
        <f>X103+S104</f>
        <v>1000000000.0</v>
      </c>
      <c r="Y104" s="521">
        <f>Y103+1</f>
        <v>76.0</v>
      </c>
      <c r="Z104" s="381" t="n"/>
      <c r="AA104" s="381" t="n"/>
      <c r="AB104" s="381" t="n"/>
      <c r="AC104" s="381" t="n"/>
      <c r="AD104" s="381" t="n"/>
      <c r="AE104" s="381" t="n"/>
      <c r="AF104" s="381" t="n"/>
      <c r="AG104" s="381" t="n"/>
      <c r="AH104" s="381" t="n"/>
      <c r="AI104" s="381" t="n"/>
      <c r="AJ104" s="381" t="n"/>
      <c r="AK104" s="381" t="n"/>
      <c r="AL104" s="381" t="n"/>
      <c r="AM104" s="381" t="n"/>
      <c r="AN104" s="381" t="n"/>
      <c r="AO104" s="381" t="n"/>
      <c r="AP104" s="381" t="n"/>
      <c r="AQ104" s="381" t="n"/>
      <c r="AR104" s="381" t="n"/>
    </row>
    <row r="105" ht="15.75" customHeight="1" s="375">
      <c r="A105" s="511" t="n">
        <v>48990</v>
      </c>
      <c r="B105" s="512" t="str">
        <f>"T+"&amp;(Y105*1)&amp;"M"</f>
        <v>T+77M</v>
      </c>
      <c r="C105" s="513" t="n"/>
      <c r="D105" s="514" t="n"/>
      <c r="E105" s="514" t="n"/>
      <c r="F105" s="514" t="n"/>
      <c r="G105" s="514" t="n"/>
      <c r="H105" s="514" t="n"/>
      <c r="I105" s="514" t="n"/>
      <c r="J105" s="514" t="n"/>
      <c r="K105" s="514" t="n">
        <v>1508598.0625</v>
      </c>
      <c r="L105" s="514" t="n"/>
      <c r="M105" s="514" t="n"/>
      <c r="N105" s="514" t="n"/>
      <c r="O105" s="514" t="n"/>
      <c r="P105" s="514" t="n"/>
      <c r="Q105" s="514" t="n"/>
      <c r="R105" s="514" t="n"/>
      <c r="S105" s="515" t="n"/>
      <c r="T105" s="516">
        <f>SUM(C105:S105)+T104</f>
        <v>764855145.3125005</v>
      </c>
      <c r="U105" s="517">
        <f>T105/(X105)</f>
        <v>0.7648551453</v>
      </c>
      <c r="V105" s="516">
        <f>T105-T104</f>
        <v>1508598.0625</v>
      </c>
      <c r="W105" s="522">
        <f>U105-U104</f>
        <v>0.0015085981</v>
      </c>
      <c r="X105" s="520">
        <f>X104+S105</f>
        <v>1000000000.0</v>
      </c>
      <c r="Y105" s="521">
        <f>Y104+1</f>
        <v>77.0</v>
      </c>
      <c r="Z105" s="381" t="n"/>
      <c r="AA105" s="381" t="n"/>
      <c r="AB105" s="381" t="n"/>
      <c r="AC105" s="381" t="n"/>
      <c r="AD105" s="381" t="n"/>
      <c r="AE105" s="381" t="n"/>
      <c r="AF105" s="381" t="n"/>
      <c r="AG105" s="381" t="n"/>
      <c r="AH105" s="381" t="n"/>
      <c r="AI105" s="381" t="n"/>
      <c r="AJ105" s="381" t="n"/>
      <c r="AK105" s="381" t="n"/>
      <c r="AL105" s="381" t="n"/>
      <c r="AM105" s="381" t="n"/>
      <c r="AN105" s="381" t="n"/>
      <c r="AO105" s="381" t="n"/>
      <c r="AP105" s="381" t="n"/>
      <c r="AQ105" s="381" t="n"/>
      <c r="AR105" s="381" t="n"/>
    </row>
    <row r="106" ht="15.75" customHeight="1" s="375">
      <c r="A106" s="511" t="n">
        <v>49018</v>
      </c>
      <c r="B106" s="512" t="str">
        <f>"T+"&amp;(Y106*1)&amp;"M"</f>
        <v>T+78M</v>
      </c>
      <c r="C106" s="513" t="n"/>
      <c r="D106" s="514" t="n"/>
      <c r="E106" s="514" t="n"/>
      <c r="F106" s="514" t="n"/>
      <c r="G106" s="514" t="n"/>
      <c r="H106" s="514" t="n"/>
      <c r="I106" s="514" t="n"/>
      <c r="J106" s="514" t="n"/>
      <c r="K106" s="514" t="n">
        <v>1508598.0625</v>
      </c>
      <c r="L106" s="514" t="n"/>
      <c r="M106" s="514" t="n"/>
      <c r="N106" s="514" t="n"/>
      <c r="O106" s="514" t="n"/>
      <c r="P106" s="514" t="n"/>
      <c r="Q106" s="514" t="n"/>
      <c r="R106" s="514" t="n"/>
      <c r="S106" s="515" t="n"/>
      <c r="T106" s="516">
        <f>SUM(C106:S106)+T105</f>
        <v>766363743.3750005</v>
      </c>
      <c r="U106" s="517">
        <f>T106/(X106)</f>
        <v>0.7663637434</v>
      </c>
      <c r="V106" s="516">
        <f>T106-T105</f>
        <v>1508598.0625</v>
      </c>
      <c r="W106" s="522">
        <f>U106-U105</f>
        <v>0.0015085981</v>
      </c>
      <c r="X106" s="520">
        <f>X105+S106</f>
        <v>1000000000.0</v>
      </c>
      <c r="Y106" s="521">
        <f>Y105+1</f>
        <v>78.0</v>
      </c>
      <c r="Z106" s="381" t="n"/>
      <c r="AA106" s="381" t="n"/>
      <c r="AB106" s="381" t="n"/>
      <c r="AC106" s="381" t="n"/>
      <c r="AD106" s="381" t="n"/>
      <c r="AE106" s="381" t="n"/>
      <c r="AF106" s="381" t="n"/>
      <c r="AG106" s="381" t="n"/>
      <c r="AH106" s="381" t="n"/>
      <c r="AI106" s="381" t="n"/>
      <c r="AJ106" s="381" t="n"/>
      <c r="AK106" s="381" t="n"/>
      <c r="AL106" s="381" t="n"/>
      <c r="AM106" s="381" t="n"/>
      <c r="AN106" s="381" t="n"/>
      <c r="AO106" s="381" t="n"/>
      <c r="AP106" s="381" t="n"/>
      <c r="AQ106" s="381" t="n"/>
      <c r="AR106" s="381" t="n"/>
    </row>
    <row r="107" ht="15.75" customHeight="1" s="375">
      <c r="A107" s="511" t="n">
        <v>49049</v>
      </c>
      <c r="B107" s="512" t="str">
        <f>"T+"&amp;(Y107*1)&amp;"M"</f>
        <v>T+79M</v>
      </c>
      <c r="C107" s="513" t="n"/>
      <c r="D107" s="514" t="n"/>
      <c r="E107" s="514" t="n"/>
      <c r="F107" s="514" t="n"/>
      <c r="G107" s="514" t="n"/>
      <c r="H107" s="514" t="n"/>
      <c r="I107" s="514" t="n"/>
      <c r="J107" s="514" t="n"/>
      <c r="K107" s="514" t="n">
        <v>1508598.0625</v>
      </c>
      <c r="L107" s="514" t="n"/>
      <c r="M107" s="514" t="n"/>
      <c r="N107" s="514" t="n"/>
      <c r="O107" s="514" t="n"/>
      <c r="P107" s="514" t="n"/>
      <c r="Q107" s="514" t="n"/>
      <c r="R107" s="514" t="n"/>
      <c r="S107" s="515" t="n"/>
      <c r="T107" s="516">
        <f>SUM(C107:S107)+T106</f>
        <v>767872341.4375005</v>
      </c>
      <c r="U107" s="517">
        <f>T107/(X107)</f>
        <v>0.7678723414</v>
      </c>
      <c r="V107" s="516">
        <f>T107-T106</f>
        <v>1508598.0625</v>
      </c>
      <c r="W107" s="522">
        <f>U107-U106</f>
        <v>0.0015085981</v>
      </c>
      <c r="X107" s="520">
        <f>X106+S107</f>
        <v>1000000000.0</v>
      </c>
      <c r="Y107" s="521">
        <f>Y106+1</f>
        <v>79.0</v>
      </c>
      <c r="Z107" s="381" t="n"/>
      <c r="AA107" s="381" t="n"/>
      <c r="AB107" s="381" t="n"/>
      <c r="AC107" s="381" t="n"/>
      <c r="AD107" s="381" t="n"/>
      <c r="AE107" s="381" t="n"/>
      <c r="AF107" s="381" t="n"/>
      <c r="AG107" s="381" t="n"/>
      <c r="AH107" s="381" t="n"/>
      <c r="AI107" s="381" t="n"/>
      <c r="AJ107" s="381" t="n"/>
      <c r="AK107" s="381" t="n"/>
      <c r="AL107" s="381" t="n"/>
      <c r="AM107" s="381" t="n"/>
      <c r="AN107" s="381" t="n"/>
      <c r="AO107" s="381" t="n"/>
      <c r="AP107" s="381" t="n"/>
      <c r="AQ107" s="381" t="n"/>
      <c r="AR107" s="381" t="n"/>
    </row>
    <row r="108" ht="15.75" customHeight="1" s="375">
      <c r="A108" s="511" t="n">
        <v>49079</v>
      </c>
      <c r="B108" s="512" t="str">
        <f>"T+"&amp;(Y108*1)&amp;"M"</f>
        <v>T+80M</v>
      </c>
      <c r="C108" s="513" t="n"/>
      <c r="D108" s="514" t="n"/>
      <c r="E108" s="514" t="n"/>
      <c r="F108" s="514" t="n"/>
      <c r="G108" s="514" t="n"/>
      <c r="H108" s="514" t="n"/>
      <c r="I108" s="514" t="n"/>
      <c r="J108" s="514" t="n"/>
      <c r="K108" s="514" t="n">
        <v>1508598.0625</v>
      </c>
      <c r="L108" s="514" t="n"/>
      <c r="M108" s="514" t="n"/>
      <c r="N108" s="514" t="n"/>
      <c r="O108" s="514" t="n"/>
      <c r="P108" s="514" t="n"/>
      <c r="Q108" s="514" t="n"/>
      <c r="R108" s="514" t="n"/>
      <c r="S108" s="515" t="n"/>
      <c r="T108" s="516">
        <f>SUM(C108:S108)+T107</f>
        <v>769380939.5000005</v>
      </c>
      <c r="U108" s="517">
        <f>T108/(X108)</f>
        <v>0.7693809395</v>
      </c>
      <c r="V108" s="516">
        <f>T108-T107</f>
        <v>1508598.0625</v>
      </c>
      <c r="W108" s="522">
        <f>U108-U107</f>
        <v>0.0015085981</v>
      </c>
      <c r="X108" s="520">
        <f>X107+S108</f>
        <v>1000000000.0</v>
      </c>
      <c r="Y108" s="521">
        <f>Y107+1</f>
        <v>80.0</v>
      </c>
      <c r="Z108" s="381" t="n"/>
      <c r="AA108" s="381" t="n"/>
      <c r="AB108" s="381" t="n"/>
      <c r="AC108" s="381" t="n"/>
      <c r="AD108" s="381" t="n"/>
      <c r="AE108" s="381" t="n"/>
      <c r="AF108" s="381" t="n"/>
      <c r="AG108" s="381" t="n"/>
      <c r="AH108" s="381" t="n"/>
      <c r="AI108" s="381" t="n"/>
      <c r="AJ108" s="381" t="n"/>
      <c r="AK108" s="381" t="n"/>
      <c r="AL108" s="381" t="n"/>
      <c r="AM108" s="381" t="n"/>
      <c r="AN108" s="381" t="n"/>
      <c r="AO108" s="381" t="n"/>
      <c r="AP108" s="381" t="n"/>
      <c r="AQ108" s="381" t="n"/>
      <c r="AR108" s="381" t="n"/>
    </row>
    <row r="109" ht="15.75" customHeight="1" s="375">
      <c r="A109" s="511" t="n">
        <v>49110</v>
      </c>
      <c r="B109" s="512" t="str">
        <f>"T+"&amp;(Y109*1)&amp;"M"</f>
        <v>T+81M</v>
      </c>
      <c r="C109" s="513" t="n"/>
      <c r="D109" s="514" t="n"/>
      <c r="E109" s="514" t="n"/>
      <c r="F109" s="514" t="n"/>
      <c r="G109" s="514" t="n"/>
      <c r="H109" s="514" t="n"/>
      <c r="I109" s="514" t="n"/>
      <c r="J109" s="514" t="n"/>
      <c r="K109" s="514" t="n">
        <v>1508598.0625</v>
      </c>
      <c r="L109" s="514" t="n"/>
      <c r="M109" s="514" t="n"/>
      <c r="N109" s="514" t="n"/>
      <c r="O109" s="514" t="n"/>
      <c r="P109" s="514" t="n"/>
      <c r="Q109" s="514" t="n"/>
      <c r="R109" s="514" t="n"/>
      <c r="S109" s="515" t="n"/>
      <c r="T109" s="516">
        <f>SUM(C109:S109)+T108</f>
        <v>770889537.5625005</v>
      </c>
      <c r="U109" s="517">
        <f>T109/(X109)</f>
        <v>0.7708895376</v>
      </c>
      <c r="V109" s="516">
        <f>T109-T108</f>
        <v>1508598.0625</v>
      </c>
      <c r="W109" s="522">
        <f>U109-U108</f>
        <v>0.0015085981</v>
      </c>
      <c r="X109" s="520">
        <f>X108+S109</f>
        <v>1000000000.0</v>
      </c>
      <c r="Y109" s="521">
        <f>Y108+1</f>
        <v>81.0</v>
      </c>
      <c r="Z109" s="381" t="n"/>
      <c r="AA109" s="381" t="n"/>
      <c r="AB109" s="381" t="n"/>
      <c r="AC109" s="381" t="n"/>
      <c r="AD109" s="381" t="n"/>
      <c r="AE109" s="381" t="n"/>
      <c r="AF109" s="381" t="n"/>
      <c r="AG109" s="381" t="n"/>
      <c r="AH109" s="381" t="n"/>
      <c r="AI109" s="381" t="n"/>
      <c r="AJ109" s="381" t="n"/>
      <c r="AK109" s="381" t="n"/>
      <c r="AL109" s="381" t="n"/>
      <c r="AM109" s="381" t="n"/>
      <c r="AN109" s="381" t="n"/>
      <c r="AO109" s="381" t="n"/>
      <c r="AP109" s="381" t="n"/>
      <c r="AQ109" s="381" t="n"/>
      <c r="AR109" s="381" t="n"/>
    </row>
    <row r="110" ht="15.75" customHeight="1" s="375">
      <c r="A110" s="511" t="n">
        <v>49140</v>
      </c>
      <c r="B110" s="512" t="str">
        <f>"T+"&amp;(Y110*1)&amp;"M"</f>
        <v>T+82M</v>
      </c>
      <c r="C110" s="513" t="n"/>
      <c r="D110" s="514" t="n"/>
      <c r="E110" s="514" t="n"/>
      <c r="F110" s="514" t="n"/>
      <c r="G110" s="514" t="n"/>
      <c r="H110" s="514" t="n"/>
      <c r="I110" s="514" t="n"/>
      <c r="J110" s="514" t="n"/>
      <c r="K110" s="514" t="n">
        <v>1508598.0625</v>
      </c>
      <c r="L110" s="514" t="n"/>
      <c r="M110" s="514" t="n"/>
      <c r="N110" s="514" t="n"/>
      <c r="O110" s="514" t="n"/>
      <c r="P110" s="514" t="n"/>
      <c r="Q110" s="514" t="n"/>
      <c r="R110" s="514" t="n"/>
      <c r="S110" s="515" t="n"/>
      <c r="T110" s="516">
        <f>SUM(C110:S110)+T109</f>
        <v>772398135.6250005</v>
      </c>
      <c r="U110" s="517">
        <f>T110/(X110)</f>
        <v>0.7723981356</v>
      </c>
      <c r="V110" s="516">
        <f>T110-T109</f>
        <v>1508598.0625</v>
      </c>
      <c r="W110" s="522">
        <f>U110-U109</f>
        <v>0.0015085981</v>
      </c>
      <c r="X110" s="520">
        <f>X109+S110</f>
        <v>1000000000.0</v>
      </c>
      <c r="Y110" s="521">
        <f>Y109+1</f>
        <v>82.0</v>
      </c>
      <c r="Z110" s="381" t="n"/>
      <c r="AA110" s="381" t="n"/>
      <c r="AB110" s="381" t="n"/>
      <c r="AC110" s="381" t="n"/>
      <c r="AD110" s="381" t="n"/>
      <c r="AE110" s="381" t="n"/>
      <c r="AF110" s="381" t="n"/>
      <c r="AG110" s="381" t="n"/>
      <c r="AH110" s="381" t="n"/>
      <c r="AI110" s="381" t="n"/>
      <c r="AJ110" s="381" t="n"/>
      <c r="AK110" s="381" t="n"/>
      <c r="AL110" s="381" t="n"/>
      <c r="AM110" s="381" t="n"/>
      <c r="AN110" s="381" t="n"/>
      <c r="AO110" s="381" t="n"/>
      <c r="AP110" s="381" t="n"/>
      <c r="AQ110" s="381" t="n"/>
      <c r="AR110" s="381" t="n"/>
    </row>
    <row r="111" ht="15.75" customHeight="1" s="375">
      <c r="A111" s="511" t="n">
        <v>49171</v>
      </c>
      <c r="B111" s="512" t="str">
        <f>"T+"&amp;(Y111*1)&amp;"M"</f>
        <v>T+83M</v>
      </c>
      <c r="C111" s="513" t="n"/>
      <c r="D111" s="514" t="n"/>
      <c r="E111" s="514" t="n"/>
      <c r="F111" s="514" t="n"/>
      <c r="G111" s="514" t="n"/>
      <c r="H111" s="514" t="n"/>
      <c r="I111" s="514" t="n"/>
      <c r="J111" s="514" t="n"/>
      <c r="K111" s="514" t="n">
        <v>1508598.0625</v>
      </c>
      <c r="L111" s="514" t="n"/>
      <c r="M111" s="514" t="n"/>
      <c r="N111" s="514" t="n"/>
      <c r="O111" s="514" t="n"/>
      <c r="P111" s="514" t="n"/>
      <c r="Q111" s="514" t="n"/>
      <c r="R111" s="514" t="n"/>
      <c r="S111" s="515" t="n"/>
      <c r="T111" s="516">
        <f>SUM(C111:S111)+T110</f>
        <v>773906733.6875005</v>
      </c>
      <c r="U111" s="517">
        <f>T111/(X111)</f>
        <v>0.7739067337</v>
      </c>
      <c r="V111" s="516">
        <f>T111-T110</f>
        <v>1508598.0625</v>
      </c>
      <c r="W111" s="522">
        <f>U111-U110</f>
        <v>0.0015085981</v>
      </c>
      <c r="X111" s="520">
        <f>X110+S111</f>
        <v>1000000000.0</v>
      </c>
      <c r="Y111" s="521">
        <f>Y110+1</f>
        <v>83.0</v>
      </c>
      <c r="Z111" s="381" t="n"/>
      <c r="AA111" s="381" t="n"/>
      <c r="AB111" s="381" t="n"/>
      <c r="AC111" s="381" t="n"/>
      <c r="AD111" s="381" t="n"/>
      <c r="AE111" s="381" t="n"/>
      <c r="AF111" s="381" t="n"/>
      <c r="AG111" s="381" t="n"/>
      <c r="AH111" s="381" t="n"/>
      <c r="AI111" s="381" t="n"/>
      <c r="AJ111" s="381" t="n"/>
      <c r="AK111" s="381" t="n"/>
      <c r="AL111" s="381" t="n"/>
      <c r="AM111" s="381" t="n"/>
      <c r="AN111" s="381" t="n"/>
      <c r="AO111" s="381" t="n"/>
      <c r="AP111" s="381" t="n"/>
      <c r="AQ111" s="381" t="n"/>
      <c r="AR111" s="381" t="n"/>
    </row>
    <row r="112" ht="15.75" customHeight="1" s="375">
      <c r="A112" s="511" t="n">
        <v>49202</v>
      </c>
      <c r="B112" s="512" t="str">
        <f>"T+"&amp;(Y112*1)&amp;"M"</f>
        <v>T+84M</v>
      </c>
      <c r="C112" s="513" t="n"/>
      <c r="D112" s="514" t="n"/>
      <c r="E112" s="514" t="n"/>
      <c r="F112" s="514" t="n"/>
      <c r="G112" s="514" t="n"/>
      <c r="H112" s="514" t="n"/>
      <c r="I112" s="514" t="n"/>
      <c r="J112" s="514" t="n"/>
      <c r="K112" s="514" t="n">
        <v>1508598.0625</v>
      </c>
      <c r="L112" s="514" t="n"/>
      <c r="M112" s="514" t="n"/>
      <c r="N112" s="514" t="n"/>
      <c r="O112" s="514" t="n"/>
      <c r="P112" s="514" t="n"/>
      <c r="Q112" s="514" t="n"/>
      <c r="R112" s="514" t="n"/>
      <c r="S112" s="515" t="n"/>
      <c r="T112" s="516">
        <f>SUM(C112:S112)+T111</f>
        <v>775415331.7500005</v>
      </c>
      <c r="U112" s="517">
        <f>T112/(X112)</f>
        <v>0.7754153318</v>
      </c>
      <c r="V112" s="516">
        <f>T112-T111</f>
        <v>1508598.0625</v>
      </c>
      <c r="W112" s="522">
        <f>U112-U111</f>
        <v>0.0015085981</v>
      </c>
      <c r="X112" s="520">
        <f>X111+S112</f>
        <v>1000000000.0</v>
      </c>
      <c r="Y112" s="521">
        <f>Y111+1</f>
        <v>84.0</v>
      </c>
      <c r="Z112" s="381" t="n"/>
      <c r="AA112" s="381" t="n"/>
      <c r="AB112" s="381" t="n"/>
      <c r="AC112" s="381" t="n"/>
      <c r="AD112" s="381" t="n"/>
      <c r="AE112" s="381" t="n"/>
      <c r="AF112" s="381" t="n"/>
      <c r="AG112" s="381" t="n"/>
      <c r="AH112" s="381" t="n"/>
      <c r="AI112" s="381" t="n"/>
      <c r="AJ112" s="381" t="n"/>
      <c r="AK112" s="381" t="n"/>
      <c r="AL112" s="381" t="n"/>
      <c r="AM112" s="381" t="n"/>
      <c r="AN112" s="381" t="n"/>
      <c r="AO112" s="381" t="n"/>
      <c r="AP112" s="381" t="n"/>
      <c r="AQ112" s="381" t="n"/>
      <c r="AR112" s="381" t="n"/>
    </row>
    <row r="113" ht="15.75" customHeight="1" s="375">
      <c r="A113" s="512" t="inlineStr">
        <is>
          <t>Thereafter</t>
        </is>
      </c>
      <c r="B113" s="512" t="str">
        <f>"T+"&amp;(Y113*1)&amp;"M"&amp;" and thereafter"</f>
        <v>T+85M and thereafter</v>
      </c>
      <c r="C113" s="513" t="n"/>
      <c r="D113" s="514" t="n"/>
      <c r="E113" s="514" t="n"/>
      <c r="F113" s="514" t="n"/>
      <c r="G113" s="514" t="n"/>
      <c r="H113" s="514" t="n"/>
      <c r="I113" s="514" t="n"/>
      <c r="J113" s="514" t="n"/>
      <c r="K113" s="514" t="n">
        <v>224584668.25</v>
      </c>
      <c r="L113" s="514" t="n"/>
      <c r="M113" s="514" t="n"/>
      <c r="N113" s="514" t="n"/>
      <c r="O113" s="514" t="n"/>
      <c r="P113" s="514" t="n"/>
      <c r="Q113" s="514" t="n"/>
      <c r="R113" s="514" t="n"/>
      <c r="S113" s="515" t="n"/>
      <c r="T113" s="524">
        <f>SUM(C113:S113)+T112</f>
        <v>1000000000.0000005</v>
      </c>
      <c r="U113" s="525">
        <f>T113/(X113)</f>
        <v>1.0</v>
      </c>
      <c r="V113" s="524">
        <f>T113-T112</f>
        <v>224584668.25</v>
      </c>
      <c r="W113" s="526">
        <f>U113-U112</f>
        <v>0.2245846683</v>
      </c>
      <c r="X113" s="527">
        <f>X112+S113</f>
        <v>1000000000.0</v>
      </c>
      <c r="Y113" s="521">
        <f>Y112+1</f>
        <v>85.0</v>
      </c>
      <c r="Z113" s="381" t="n"/>
      <c r="AA113" s="381" t="n"/>
      <c r="AB113" s="381" t="n"/>
      <c r="AC113" s="381" t="n"/>
      <c r="AD113" s="381" t="n"/>
      <c r="AE113" s="381" t="n"/>
      <c r="AF113" s="381" t="n"/>
      <c r="AG113" s="381" t="n"/>
      <c r="AH113" s="381" t="n"/>
      <c r="AI113" s="381" t="n"/>
      <c r="AJ113" s="381" t="n"/>
      <c r="AK113" s="381" t="n"/>
      <c r="AL113" s="381" t="n"/>
      <c r="AM113" s="381" t="n"/>
      <c r="AN113" s="381" t="n"/>
      <c r="AO113" s="381" t="n"/>
      <c r="AP113" s="381" t="n"/>
      <c r="AQ113" s="381" t="n"/>
      <c r="AR113" s="381" t="n"/>
    </row>
    <row r="114" ht="15.75" customHeight="1" s="375">
      <c r="A114" s="512" t="n"/>
      <c r="B114" s="512" t="inlineStr">
        <is>
          <t>Total</t>
        </is>
      </c>
      <c r="C114" s="528">
        <f>SUM(C28:C113)</f>
        <v>10331395.266015602</v>
      </c>
      <c r="D114" s="529">
        <f>SUM(D28:D113)</f>
        <v>27309256.410334695</v>
      </c>
      <c r="E114" s="529">
        <f>SUM(E28:E113)</f>
        <v>16385553.846200831</v>
      </c>
      <c r="F114" s="529">
        <f>SUM(F28:F113)</f>
        <v>10923702.564133877</v>
      </c>
      <c r="G114" s="529">
        <f>SUM(G28:G113)</f>
        <v>10923702.564133877</v>
      </c>
      <c r="H114" s="529">
        <f>SUM(H28:H113)</f>
        <v>10923702.564133877</v>
      </c>
      <c r="I114" s="529">
        <f>SUM(I28:I113)</f>
        <v>10923702.564133877</v>
      </c>
      <c r="J114" s="529">
        <f>SUM(J28:J113)</f>
        <v>2278984.2209132835</v>
      </c>
      <c r="K114" s="529">
        <f>SUM(K28:K113)</f>
        <v>430000000.0</v>
      </c>
      <c r="L114" s="529">
        <f>SUM(L28:L113)</f>
        <v>94999999.99999988</v>
      </c>
      <c r="M114" s="529">
        <f>SUM(M28:M113)</f>
        <v>49999999.999999896</v>
      </c>
      <c r="N114" s="529">
        <f>SUM(N28:N113)</f>
        <v>40000000.0</v>
      </c>
      <c r="O114" s="529">
        <f>SUM(O28:O113)</f>
        <v>50000000.0</v>
      </c>
      <c r="P114" s="529">
        <f>SUM(P28:P113)</f>
        <v>30000000.0</v>
      </c>
      <c r="Q114" s="529">
        <f>SUM(Q28:Q113)</f>
        <v>199999999.99999994</v>
      </c>
      <c r="R114" s="529">
        <f>SUM(R28:R113)</f>
        <v>5000000.0</v>
      </c>
      <c r="S114" s="529">
        <f>SUM(S28:S113)</f>
        <v>0.0</v>
      </c>
      <c r="T114" s="530">
        <f>SUM(C114:S114)</f>
        <v>999999999.9999995</v>
      </c>
      <c r="U114" s="531" t="n"/>
      <c r="V114" s="381" t="n"/>
      <c r="W114" s="381" t="n"/>
      <c r="X114" s="532" t="n"/>
      <c r="Y114" s="381" t="n"/>
      <c r="Z114" s="381" t="n"/>
      <c r="AA114" s="381" t="n"/>
      <c r="AB114" s="381" t="n"/>
      <c r="AC114" s="381" t="n"/>
      <c r="AD114" s="381" t="n"/>
      <c r="AE114" s="381" t="n"/>
      <c r="AF114" s="381" t="n"/>
      <c r="AG114" s="381" t="n"/>
      <c r="AH114" s="381" t="n"/>
      <c r="AI114" s="381" t="n"/>
      <c r="AJ114" s="381" t="n"/>
      <c r="AK114" s="381" t="n"/>
      <c r="AL114" s="381" t="n"/>
      <c r="AM114" s="381" t="n"/>
      <c r="AN114" s="381" t="n"/>
      <c r="AO114" s="381" t="n"/>
      <c r="AP114" s="381" t="n"/>
      <c r="AQ114" s="381" t="n"/>
      <c r="AR114" s="381" t="n"/>
    </row>
    <row r="115" ht="15.75" customHeight="1" s="375">
      <c r="A115" s="512" t="n"/>
      <c r="B115" s="512" t="inlineStr">
        <is>
          <t>% of Grand Total</t>
        </is>
      </c>
      <c r="C115" s="533">
        <f>IFERROR(C114/$T114,"")</f>
        <v>0.0103313953</v>
      </c>
      <c r="D115" s="534">
        <f>IFERROR(D114/$T114,"")</f>
        <v>0.0273092564</v>
      </c>
      <c r="E115" s="534">
        <f>IFERROR(E114/$T114,"")</f>
        <v>0.0163855538</v>
      </c>
      <c r="F115" s="534">
        <f>IFERROR(F114/$T114,"")</f>
        <v>0.0109237026</v>
      </c>
      <c r="G115" s="534">
        <f>IFERROR(G114/$T114,"")</f>
        <v>0.0109237026</v>
      </c>
      <c r="H115" s="534">
        <f>IFERROR(H114/$T114,"")</f>
        <v>0.0109237026</v>
      </c>
      <c r="I115" s="534">
        <f>IFERROR(I114/$T114,"")</f>
        <v>0.0109237026</v>
      </c>
      <c r="J115" s="534">
        <f>IFERROR(J114/$T114,"")</f>
        <v>0.0022789842</v>
      </c>
      <c r="K115" s="534">
        <f>IFERROR(K114/$T114,"")</f>
        <v>0.43</v>
      </c>
      <c r="L115" s="534">
        <f>IFERROR(L114/$T114,"")</f>
        <v>0.095</v>
      </c>
      <c r="M115" s="534">
        <f>IFERROR(M114/$T114,"")</f>
        <v>0.05</v>
      </c>
      <c r="N115" s="534">
        <f>IFERROR(N114/$T114,"")</f>
        <v>0.04</v>
      </c>
      <c r="O115" s="534">
        <f>IFERROR(O114/$T114,"")</f>
        <v>0.05</v>
      </c>
      <c r="P115" s="534">
        <f>IFERROR(P114/$T114,"")</f>
        <v>0.03</v>
      </c>
      <c r="Q115" s="534">
        <f>IFERROR(Q114/$T114,"")</f>
        <v>0.2</v>
      </c>
      <c r="R115" s="534">
        <f>IFERROR(R114/$T114,"")</f>
        <v>0.005</v>
      </c>
      <c r="S115" s="534">
        <f>IFERROR(S114/$T114,"")</f>
        <v>0.0</v>
      </c>
      <c r="T115" s="535">
        <f>IFERROR(T114/$T114,"")</f>
        <v>1.0</v>
      </c>
      <c r="U115" s="381" t="n"/>
      <c r="V115" s="381" t="n"/>
      <c r="W115" s="381" t="n"/>
      <c r="X115" s="381" t="n"/>
      <c r="Y115" s="381" t="n"/>
      <c r="Z115" s="381" t="n"/>
      <c r="AA115" s="381" t="n"/>
      <c r="AB115" s="381" t="n"/>
      <c r="AC115" s="381" t="n"/>
      <c r="AD115" s="381" t="n"/>
      <c r="AE115" s="381" t="n"/>
      <c r="AF115" s="381" t="n"/>
      <c r="AG115" s="381" t="n"/>
      <c r="AH115" s="381" t="n"/>
      <c r="AI115" s="381" t="n"/>
      <c r="AJ115" s="381" t="n"/>
      <c r="AK115" s="381" t="n"/>
      <c r="AL115" s="381" t="n"/>
      <c r="AM115" s="381" t="n"/>
      <c r="AN115" s="381" t="n"/>
      <c r="AO115" s="381" t="n"/>
      <c r="AP115" s="381" t="n"/>
      <c r="AQ115" s="381" t="n"/>
      <c r="AR115" s="381" t="n"/>
    </row>
    <row r="116" ht="15.75" customHeight="1" s="375">
      <c r="A116" s="381" t="n"/>
      <c r="B116" s="381" t="n"/>
      <c r="C116" s="536" t="n"/>
      <c r="D116" s="536" t="n"/>
      <c r="E116" s="536" t="n"/>
      <c r="F116" s="536" t="n"/>
      <c r="G116" s="536" t="n"/>
      <c r="H116" s="536" t="n"/>
      <c r="I116" s="536" t="n"/>
      <c r="J116" s="537" t="n"/>
      <c r="K116" s="537" t="n"/>
      <c r="L116" s="537" t="n"/>
      <c r="M116" s="537" t="n"/>
      <c r="N116" s="537" t="n"/>
      <c r="O116" s="537" t="n"/>
      <c r="P116" s="537" t="n"/>
      <c r="Q116" s="537" t="n"/>
      <c r="R116" s="537" t="n"/>
      <c r="S116" s="537" t="n"/>
      <c r="T116" s="538" t="n"/>
      <c r="U116" s="537" t="n"/>
      <c r="V116" s="381" t="n"/>
      <c r="W116" s="381" t="n"/>
      <c r="X116" s="381" t="n"/>
      <c r="Y116" s="381" t="n"/>
      <c r="Z116" s="381" t="n"/>
      <c r="AA116" s="381" t="n"/>
      <c r="AB116" s="381" t="n"/>
      <c r="AC116" s="381" t="n"/>
      <c r="AD116" s="381" t="n"/>
      <c r="AE116" s="381" t="n"/>
      <c r="AF116" s="381" t="n"/>
      <c r="AG116" s="381" t="n"/>
      <c r="AH116" s="381" t="n"/>
      <c r="AI116" s="381" t="n"/>
      <c r="AJ116" s="381" t="n"/>
      <c r="AK116" s="381" t="n"/>
      <c r="AL116" s="381" t="n"/>
      <c r="AM116" s="381" t="n"/>
      <c r="AN116" s="381" t="n"/>
      <c r="AO116" s="381" t="n"/>
      <c r="AP116" s="381" t="n"/>
      <c r="AQ116" s="381" t="n"/>
      <c r="AR116" s="381" t="n"/>
    </row>
    <row r="117" ht="15.75" customHeight="1" s="375">
      <c r="A117" s="537" t="n"/>
      <c r="B117" s="537" t="n"/>
      <c r="C117" s="537" t="n"/>
      <c r="D117" s="537" t="n"/>
      <c r="E117" s="537" t="n"/>
      <c r="F117" s="537" t="n"/>
      <c r="G117" s="537" t="n"/>
      <c r="H117" s="537" t="n"/>
      <c r="I117" s="537" t="n"/>
      <c r="J117" s="537" t="n"/>
      <c r="K117" s="537">
        <f>K17-K18</f>
        <v>0.0</v>
      </c>
      <c r="L117" s="539" t="n"/>
      <c r="M117" s="537" t="n"/>
      <c r="N117" s="537" t="n"/>
      <c r="O117" s="537" t="n"/>
      <c r="P117" s="537" t="n"/>
      <c r="Q117" s="537" t="n"/>
      <c r="R117" s="537" t="n"/>
      <c r="S117" s="537" t="n"/>
      <c r="T117" s="538" t="n"/>
      <c r="U117" s="537" t="n"/>
      <c r="V117" s="381" t="n"/>
      <c r="W117" s="381" t="n"/>
      <c r="X117" s="381" t="n"/>
      <c r="Y117" s="381" t="n"/>
      <c r="Z117" s="381" t="n"/>
      <c r="AA117" s="381" t="n"/>
      <c r="AB117" s="381" t="n"/>
      <c r="AC117" s="381" t="n"/>
      <c r="AD117" s="381" t="n"/>
      <c r="AE117" s="381" t="n"/>
      <c r="AF117" s="381" t="n"/>
      <c r="AG117" s="381" t="n"/>
      <c r="AH117" s="381" t="n"/>
      <c r="AI117" s="381" t="n"/>
      <c r="AJ117" s="381" t="n"/>
      <c r="AK117" s="381" t="n"/>
      <c r="AL117" s="381" t="n"/>
      <c r="AM117" s="381" t="n"/>
      <c r="AN117" s="381" t="n"/>
      <c r="AO117" s="381" t="n"/>
      <c r="AP117" s="381" t="n"/>
      <c r="AQ117" s="381" t="n"/>
      <c r="AR117" s="381" t="n"/>
    </row>
    <row r="118" ht="54" customHeight="1" s="375">
      <c r="A118" s="537" t="n"/>
      <c r="B118" s="540" t="n"/>
      <c r="C118" s="541" t="str">
        <f>C12</f>
        <v>Pre-seed (Brandon Torres Declet)</v>
      </c>
      <c r="D118" s="541" t="str">
        <f>D12</f>
        <v>Seed (LD Capital)</v>
      </c>
      <c r="E118" s="541" t="str">
        <f>E12</f>
        <v>Seed (Cogitent)</v>
      </c>
      <c r="F118" s="541" t="str">
        <f>F12</f>
        <v>Seed (Leland)</v>
      </c>
      <c r="G118" s="541" t="str">
        <f>G12</f>
        <v>Seed (M77)</v>
      </c>
      <c r="H118" s="541" t="str">
        <f>H12</f>
        <v>Seed (Block Maven)</v>
      </c>
      <c r="I118" s="541" t="str">
        <f>I12</f>
        <v>Seed (Covey)</v>
      </c>
      <c r="J118" s="541" t="str">
        <f>J12</f>
        <v>KOL round (T-Rex, K1, Nebula)</v>
      </c>
      <c r="K118" s="541" t="str">
        <f>K12</f>
        <v>Mining + Validator Emissions
Development</v>
      </c>
      <c r="L118" s="541" t="str">
        <f>L12</f>
        <v>Marketing</v>
      </c>
      <c r="M118" s="541" t="str">
        <f>M12</f>
        <v>Treasury and Reserves</v>
      </c>
      <c r="N118" s="541" t="str">
        <f>N12</f>
        <v>Foundation</v>
      </c>
      <c r="O118" s="541" t="str">
        <f>O12</f>
        <v>Team</v>
      </c>
      <c r="P118" s="541" t="str">
        <f>P12</f>
        <v>Liquidity / MM</v>
      </c>
      <c r="Q118" s="541" t="str">
        <f>Q12</f>
        <v>New Round</v>
      </c>
      <c r="R118" s="541" t="str">
        <f>R12</f>
        <v>Community Airdrop</v>
      </c>
      <c r="S118" s="381" t="n"/>
      <c r="T118" s="381" t="n"/>
      <c r="U118" s="381" t="n"/>
      <c r="V118" s="381" t="n"/>
      <c r="W118" s="381" t="n"/>
      <c r="X118" s="381" t="n"/>
      <c r="Y118" s="381" t="n"/>
      <c r="Z118" s="381" t="n"/>
      <c r="AA118" s="381" t="n"/>
      <c r="AB118" s="381" t="n"/>
      <c r="AC118" s="381" t="n"/>
      <c r="AD118" s="381" t="n"/>
      <c r="AE118" s="381" t="n"/>
      <c r="AF118" s="381" t="n"/>
      <c r="AG118" s="381" t="n"/>
      <c r="AH118" s="381" t="n"/>
      <c r="AI118" s="381" t="n"/>
      <c r="AJ118" s="381" t="n"/>
      <c r="AK118" s="381" t="n"/>
      <c r="AL118" s="381" t="n"/>
      <c r="AM118" s="381" t="n"/>
      <c r="AN118" s="381" t="n"/>
      <c r="AO118" s="381" t="n"/>
    </row>
    <row r="119" ht="15.75" customHeight="1" s="375">
      <c r="A119" s="537" t="n"/>
      <c r="B119" s="540" t="inlineStr">
        <is>
          <t>Token Allocation</t>
        </is>
      </c>
      <c r="C119" s="540">
        <f>C17</f>
        <v>10331395.2660156</v>
      </c>
      <c r="D119" s="540">
        <f>D17</f>
        <v>27309256.4103347</v>
      </c>
      <c r="E119" s="540">
        <f>E17</f>
        <v>16385553.8462008</v>
      </c>
      <c r="F119" s="540">
        <f>F17</f>
        <v>10923702.5641339</v>
      </c>
      <c r="G119" s="540">
        <f>G17</f>
        <v>10923702.5641339</v>
      </c>
      <c r="H119" s="540">
        <f>H17</f>
        <v>10923702.5641339</v>
      </c>
      <c r="I119" s="540">
        <f>I17</f>
        <v>10923702.5641339</v>
      </c>
      <c r="J119" s="540">
        <f>J17</f>
        <v>2278984.22091329</v>
      </c>
      <c r="K119" s="540">
        <f>K17</f>
        <v>430000000.0</v>
      </c>
      <c r="L119" s="540">
        <f>L17</f>
        <v>95000000.0</v>
      </c>
      <c r="M119" s="540">
        <f>M17</f>
        <v>50000000.0</v>
      </c>
      <c r="N119" s="540">
        <f>N17</f>
        <v>40000000.0</v>
      </c>
      <c r="O119" s="540">
        <f>O17</f>
        <v>50000000.0</v>
      </c>
      <c r="P119" s="540">
        <f>P17</f>
        <v>30000000.0</v>
      </c>
      <c r="Q119" s="540">
        <f>Q17</f>
        <v>200000000.0</v>
      </c>
      <c r="R119" s="540">
        <f>R17</f>
        <v>5000000.0</v>
      </c>
      <c r="S119" s="381" t="n"/>
      <c r="T119" s="381" t="n"/>
      <c r="U119" s="381" t="n"/>
      <c r="V119" s="381" t="n"/>
      <c r="W119" s="381" t="n"/>
      <c r="X119" s="381" t="n"/>
      <c r="Y119" s="381" t="n"/>
      <c r="Z119" s="381" t="n"/>
      <c r="AA119" s="381" t="n"/>
      <c r="AB119" s="381" t="n"/>
      <c r="AC119" s="381" t="n"/>
      <c r="AD119" s="381" t="n"/>
      <c r="AE119" s="381" t="n"/>
      <c r="AF119" s="381" t="n"/>
      <c r="AG119" s="381" t="n"/>
      <c r="AH119" s="381" t="n"/>
      <c r="AI119" s="381" t="n"/>
      <c r="AJ119" s="381" t="n"/>
      <c r="AK119" s="381" t="n"/>
      <c r="AL119" s="381" t="n"/>
      <c r="AM119" s="381" t="n"/>
      <c r="AN119" s="381" t="n"/>
      <c r="AO119" s="381" t="n"/>
    </row>
    <row r="120" ht="15.75" customHeight="1" s="375">
      <c r="A120" s="537" t="n"/>
      <c r="B120" s="540" t="inlineStr">
        <is>
          <t>% of Total Supply</t>
        </is>
      </c>
      <c r="C120" s="542">
        <f>C119/$C$9</f>
        <v>0.0103313953</v>
      </c>
      <c r="D120" s="542">
        <f>D119/$C$9</f>
        <v>0.0273092564</v>
      </c>
      <c r="E120" s="542">
        <f>E119/$C$9</f>
        <v>0.0163855538</v>
      </c>
      <c r="F120" s="542">
        <f>F119/$C$9</f>
        <v>0.0109237026</v>
      </c>
      <c r="G120" s="542">
        <f>G119/$C$9</f>
        <v>0.0109237026</v>
      </c>
      <c r="H120" s="542">
        <f>H119/$C$9</f>
        <v>0.0109237026</v>
      </c>
      <c r="I120" s="542">
        <f>I119/$C$9</f>
        <v>0.0109237026</v>
      </c>
      <c r="J120" s="542">
        <f>J119/$C$9</f>
        <v>0.0022789842</v>
      </c>
      <c r="K120" s="542">
        <f>K119/$C$9</f>
        <v>0.43</v>
      </c>
      <c r="L120" s="542">
        <f>L119/$C$9</f>
        <v>0.095</v>
      </c>
      <c r="M120" s="542">
        <f>M119/$C$9</f>
        <v>0.05</v>
      </c>
      <c r="N120" s="542">
        <f>N119/$C$9</f>
        <v>0.04</v>
      </c>
      <c r="O120" s="542">
        <f>O119/$C$9</f>
        <v>0.05</v>
      </c>
      <c r="P120" s="542">
        <f>P119/$C$9</f>
        <v>0.03</v>
      </c>
      <c r="Q120" s="542">
        <f>Q119/$C$9</f>
        <v>0.2</v>
      </c>
      <c r="R120" s="542">
        <f>R119/$C$9</f>
        <v>0.005</v>
      </c>
      <c r="S120" s="381" t="n"/>
      <c r="T120" s="381" t="n"/>
      <c r="U120" s="381" t="n"/>
      <c r="V120" s="381" t="n"/>
      <c r="W120" s="381" t="n"/>
      <c r="X120" s="381" t="n"/>
      <c r="Y120" s="381" t="n"/>
      <c r="Z120" s="381" t="n"/>
      <c r="AA120" s="381" t="n"/>
      <c r="AB120" s="381" t="n"/>
      <c r="AC120" s="381" t="n"/>
      <c r="AD120" s="381" t="n"/>
      <c r="AE120" s="381" t="n"/>
      <c r="AF120" s="381" t="n"/>
      <c r="AG120" s="381" t="n"/>
      <c r="AH120" s="381" t="n"/>
      <c r="AI120" s="381" t="n"/>
      <c r="AJ120" s="381" t="n"/>
      <c r="AK120" s="381" t="n"/>
      <c r="AL120" s="381" t="n"/>
      <c r="AM120" s="381" t="n"/>
      <c r="AN120" s="381" t="n"/>
      <c r="AO120" s="381" t="n"/>
    </row>
    <row r="121" ht="15.75" customHeight="1" s="375">
      <c r="A121" s="537" t="n"/>
      <c r="B121" s="540" t="inlineStr">
        <is>
          <t>TGE Circulation</t>
        </is>
      </c>
      <c r="C121" s="540">
        <f>C28</f>
        <v>0.0</v>
      </c>
      <c r="D121" s="540">
        <f>D28</f>
        <v>0.0</v>
      </c>
      <c r="E121" s="540">
        <f>E28</f>
        <v>0.0</v>
      </c>
      <c r="F121" s="540">
        <f>F28</f>
        <v>0.0</v>
      </c>
      <c r="G121" s="540">
        <f>G28</f>
        <v>0.0</v>
      </c>
      <c r="H121" s="540">
        <f>H28</f>
        <v>0.0</v>
      </c>
      <c r="I121" s="540">
        <f>I28</f>
        <v>0.0</v>
      </c>
      <c r="J121" s="540">
        <f>J28</f>
        <v>0.0</v>
      </c>
      <c r="K121" s="540">
        <f>K28</f>
        <v>0.0</v>
      </c>
      <c r="L121" s="540">
        <f>L28</f>
        <v>40000000.0</v>
      </c>
      <c r="M121" s="540">
        <f>M28</f>
        <v>1000000.0</v>
      </c>
      <c r="N121" s="540">
        <f>N28</f>
        <v>1000000.0</v>
      </c>
      <c r="O121" s="540">
        <f>O28</f>
        <v>0.0</v>
      </c>
      <c r="P121" s="540">
        <f>P28</f>
        <v>30000000.0</v>
      </c>
      <c r="Q121" s="540">
        <f>Q28</f>
        <v>0.0</v>
      </c>
      <c r="R121" s="540">
        <f>R28</f>
        <v>5000000.0</v>
      </c>
      <c r="S121" s="381" t="n"/>
      <c r="T121" s="381" t="n"/>
      <c r="U121" s="381" t="n"/>
      <c r="V121" s="381" t="n"/>
      <c r="W121" s="381" t="n"/>
      <c r="X121" s="381" t="n"/>
      <c r="Y121" s="381" t="n"/>
      <c r="Z121" s="381" t="n"/>
      <c r="AA121" s="381" t="n"/>
      <c r="AB121" s="381" t="n"/>
      <c r="AC121" s="381" t="n"/>
      <c r="AD121" s="381" t="n"/>
      <c r="AE121" s="381" t="n"/>
      <c r="AF121" s="381" t="n"/>
      <c r="AG121" s="381" t="n"/>
      <c r="AH121" s="381" t="n"/>
      <c r="AI121" s="381" t="n"/>
      <c r="AJ121" s="381" t="n"/>
      <c r="AK121" s="381" t="n"/>
      <c r="AL121" s="381" t="n"/>
      <c r="AM121" s="381" t="n"/>
      <c r="AN121" s="381" t="n"/>
      <c r="AO121" s="381" t="n"/>
    </row>
    <row r="122" ht="15.75" customHeight="1" s="375">
      <c r="A122" s="537" t="n"/>
      <c r="B122" s="540" t="inlineStr">
        <is>
          <t>% of Total Supply</t>
        </is>
      </c>
      <c r="C122" s="542">
        <f>C121/$C$9</f>
        <v>0.0</v>
      </c>
      <c r="D122" s="542">
        <f>D121/$C$9</f>
        <v>0.0</v>
      </c>
      <c r="E122" s="542">
        <f>E121/$C$9</f>
        <v>0.0</v>
      </c>
      <c r="F122" s="542">
        <f>F121/$C$9</f>
        <v>0.0</v>
      </c>
      <c r="G122" s="542">
        <f>G121/$C$9</f>
        <v>0.0</v>
      </c>
      <c r="H122" s="542">
        <f>H121/$C$9</f>
        <v>0.0</v>
      </c>
      <c r="I122" s="542">
        <f>I121/$C$9</f>
        <v>0.0</v>
      </c>
      <c r="J122" s="542">
        <f>J121/$C$9</f>
        <v>0.0</v>
      </c>
      <c r="K122" s="542">
        <f>K121/$C$9</f>
        <v>0.0</v>
      </c>
      <c r="L122" s="542">
        <f>L121/$C$9</f>
        <v>0.04</v>
      </c>
      <c r="M122" s="542">
        <f>M121/$C$9</f>
        <v>0.001</v>
      </c>
      <c r="N122" s="542">
        <f>N121/$C$9</f>
        <v>0.001</v>
      </c>
      <c r="O122" s="542">
        <f>O121/$C$9</f>
        <v>0.0</v>
      </c>
      <c r="P122" s="542">
        <f>P121/$C$9</f>
        <v>0.03</v>
      </c>
      <c r="Q122" s="542">
        <f>Q121/$C$9</f>
        <v>0.0</v>
      </c>
      <c r="R122" s="542">
        <f>R121/$C$9</f>
        <v>0.005</v>
      </c>
      <c r="S122" s="381" t="n"/>
      <c r="T122" s="381" t="n"/>
      <c r="U122" s="381" t="n"/>
      <c r="V122" s="381" t="n"/>
      <c r="W122" s="381" t="n"/>
      <c r="X122" s="381" t="n"/>
      <c r="Y122" s="381" t="n"/>
      <c r="Z122" s="381" t="n"/>
      <c r="AA122" s="381" t="n"/>
      <c r="AB122" s="381" t="n"/>
      <c r="AC122" s="381" t="n"/>
      <c r="AD122" s="381" t="n"/>
      <c r="AE122" s="381" t="n"/>
      <c r="AF122" s="381" t="n"/>
      <c r="AG122" s="381" t="n"/>
      <c r="AH122" s="381" t="n"/>
      <c r="AI122" s="381" t="n"/>
      <c r="AJ122" s="381" t="n"/>
      <c r="AK122" s="381" t="n"/>
      <c r="AL122" s="381" t="n"/>
      <c r="AM122" s="381" t="n"/>
      <c r="AN122" s="381" t="n"/>
      <c r="AO122" s="381" t="n"/>
    </row>
    <row r="123" ht="15.75" customHeight="1" s="375">
      <c r="A123" s="537" t="n"/>
      <c r="B123" s="540" t="inlineStr">
        <is>
          <t>TGE Real Float</t>
        </is>
      </c>
      <c r="C123" s="540">
        <f>C121</f>
        <v>0.0</v>
      </c>
      <c r="D123" s="540">
        <f>D121</f>
        <v>0.0</v>
      </c>
      <c r="E123" s="540">
        <f>E121</f>
        <v>0.0</v>
      </c>
      <c r="F123" s="540">
        <f>F121</f>
        <v>0.0</v>
      </c>
      <c r="G123" s="540">
        <f>G121</f>
        <v>0.0</v>
      </c>
      <c r="H123" s="540">
        <f>H121</f>
        <v>0.0</v>
      </c>
      <c r="I123" s="540">
        <f>I121</f>
        <v>0.0</v>
      </c>
      <c r="J123" s="540">
        <f>J121</f>
        <v>0.0</v>
      </c>
      <c r="K123" s="540">
        <f>K121</f>
        <v>0.0</v>
      </c>
      <c r="L123" s="540">
        <f>L121</f>
        <v>40000000.0</v>
      </c>
      <c r="M123" s="540" t="n">
        <v>0</v>
      </c>
      <c r="N123" s="540" t="n">
        <v>0</v>
      </c>
      <c r="O123" s="540">
        <f>O121</f>
        <v>0.0</v>
      </c>
      <c r="P123" s="540">
        <f>P121</f>
        <v>30000000.0</v>
      </c>
      <c r="Q123" s="540">
        <f>Q121</f>
        <v>0.0</v>
      </c>
      <c r="R123" s="540">
        <f>R121</f>
        <v>5000000.0</v>
      </c>
      <c r="S123" s="381" t="n"/>
      <c r="T123" s="381" t="n"/>
      <c r="U123" s="381" t="n"/>
      <c r="V123" s="381" t="n"/>
      <c r="W123" s="381" t="n"/>
      <c r="X123" s="381" t="n"/>
      <c r="Y123" s="381" t="n"/>
      <c r="Z123" s="381" t="n"/>
      <c r="AA123" s="381" t="n"/>
      <c r="AB123" s="381" t="n"/>
      <c r="AC123" s="381" t="n"/>
      <c r="AD123" s="381" t="n"/>
      <c r="AE123" s="381" t="n"/>
      <c r="AF123" s="381" t="n"/>
      <c r="AG123" s="381" t="n"/>
      <c r="AH123" s="381" t="n"/>
      <c r="AI123" s="381" t="n"/>
      <c r="AJ123" s="381" t="n"/>
      <c r="AK123" s="381" t="n"/>
      <c r="AL123" s="381" t="n"/>
      <c r="AM123" s="381" t="n"/>
      <c r="AN123" s="381" t="n"/>
      <c r="AO123" s="381" t="n"/>
    </row>
    <row r="124" ht="15.75" customHeight="1" s="375">
      <c r="A124" s="537" t="n"/>
      <c r="B124" s="540" t="inlineStr">
        <is>
          <t>% of Total Supply</t>
        </is>
      </c>
      <c r="C124" s="542">
        <f>C123/$C$9</f>
        <v>0.0</v>
      </c>
      <c r="D124" s="542">
        <f>D123/$C$9</f>
        <v>0.0</v>
      </c>
      <c r="E124" s="542">
        <f>E123/$C$9</f>
        <v>0.0</v>
      </c>
      <c r="F124" s="542">
        <f>F123/$C$9</f>
        <v>0.0</v>
      </c>
      <c r="G124" s="542">
        <f>G123/$C$9</f>
        <v>0.0</v>
      </c>
      <c r="H124" s="542">
        <f>H123/$C$9</f>
        <v>0.0</v>
      </c>
      <c r="I124" s="542">
        <f>I123/$C$9</f>
        <v>0.0</v>
      </c>
      <c r="J124" s="542">
        <f>J123/$C$9</f>
        <v>0.0</v>
      </c>
      <c r="K124" s="542">
        <f>K123/$C$9</f>
        <v>0.0</v>
      </c>
      <c r="L124" s="542">
        <f>L123/$C$9</f>
        <v>0.04</v>
      </c>
      <c r="M124" s="542">
        <f>M123/$C$9</f>
        <v>0.0</v>
      </c>
      <c r="N124" s="542">
        <f>N123/$C$9</f>
        <v>0.0</v>
      </c>
      <c r="O124" s="542">
        <f>O123/$C$9</f>
        <v>0.0</v>
      </c>
      <c r="P124" s="542">
        <f>P123/$C$9</f>
        <v>0.03</v>
      </c>
      <c r="Q124" s="542">
        <f>Q123/$C$9</f>
        <v>0.0</v>
      </c>
      <c r="R124" s="542">
        <f>R123/$C$9</f>
        <v>0.005</v>
      </c>
      <c r="S124" s="381" t="n"/>
      <c r="T124" s="381" t="n"/>
      <c r="U124" s="381" t="n"/>
      <c r="V124" s="381" t="n"/>
      <c r="W124" s="381" t="n"/>
      <c r="X124" s="381" t="n"/>
      <c r="Y124" s="381" t="n"/>
      <c r="Z124" s="381" t="n"/>
      <c r="AA124" s="381" t="n"/>
      <c r="AB124" s="381" t="n"/>
      <c r="AC124" s="381" t="n"/>
      <c r="AD124" s="381" t="n"/>
      <c r="AE124" s="381" t="n"/>
      <c r="AF124" s="381" t="n"/>
      <c r="AG124" s="381" t="n"/>
      <c r="AH124" s="381" t="n"/>
      <c r="AI124" s="381" t="n"/>
      <c r="AJ124" s="381" t="n"/>
      <c r="AK124" s="381" t="n"/>
      <c r="AL124" s="381" t="n"/>
      <c r="AM124" s="381" t="n"/>
      <c r="AN124" s="381" t="n"/>
      <c r="AO124" s="381" t="n"/>
    </row>
    <row r="125" ht="15.75" customHeight="1" s="375">
      <c r="A125" s="537" t="n"/>
      <c r="B125" s="540" t="inlineStr">
        <is>
          <t>Vesting Schedule</t>
        </is>
      </c>
      <c r="C125" s="540" t="str">
        <f>C24</f>
        <v>(1.03%): 0% TGE, 1Y cliff, 48M linear (T+13-T+60).</v>
      </c>
      <c r="D125" s="540" t="str">
        <f>D24</f>
        <v>(2.73%): 0% TGE, 1Y cliff, 48M linear (T+13-T+60).</v>
      </c>
      <c r="E125" s="540" t="str">
        <f>E24</f>
        <v>(1.64%): 0% TGE, 1Y cliff, 48M linear (T+13-T+60).</v>
      </c>
      <c r="F125" s="540" t="str">
        <f>F24</f>
        <v>(1.09%): 0% TGE, 1Y cliff, 48M linear (T+13-T+60).</v>
      </c>
      <c r="G125" s="540" t="str">
        <f>G24</f>
        <v>(1.09%): 0% TGE, 1Y cliff, 48M linear (T+13-T+60).</v>
      </c>
      <c r="H125" s="540" t="str">
        <f>H24</f>
        <v>(1.09%): 0% TGE, 1Y cliff, 48M linear (T+13-T+60).</v>
      </c>
      <c r="I125" s="540" t="str">
        <f>I24</f>
        <v>(1.09%): 0% TGE, 1Y cliff, 48M linear (T+13-T+60).</v>
      </c>
      <c r="J125" s="540" t="str">
        <f>J24</f>
        <v>(0.23%): 0% TGE, 1Y cliff, 48M linear (T+13-T+60).</v>
      </c>
      <c r="K125" s="540" t="str">
        <f>K24</f>
        <v>Declining annual cap: 48M in Yr1, stepping down 15%/yr; actual issuance = lesser of the cap and a usage-linked formula (KNX per verified attested task, halving annually). Starts T+4.</v>
      </c>
      <c r="L125" s="540" t="str">
        <f>L24</f>
        <v>(9.50%): 40M unlocked at TGE (itemised against listing &amp; liquidity obligations); 55M linear T+1-T+30.</v>
      </c>
      <c r="M125" s="540" t="str">
        <f>M24</f>
        <v>(5.00%): 2% TGE, 6M cliff on remainder, 2.5Y linear monthly vesting (M7–M36)</v>
      </c>
      <c r="N125" s="540" t="str">
        <f>N24</f>
        <v>(4.00%): 2.5% TGE, 1Y cliff on remainder, 2Y linear monthly vesting (M12–M36)</v>
      </c>
      <c r="O125" s="540" t="str">
        <f>O24</f>
        <v>(5.00%): 0% TGE, 1Y cliff on remainder, 2Y linear monthly vesting (M13–M38)</v>
      </c>
      <c r="P125" s="540" t="str">
        <f>P24</f>
        <v>(3.00%): Fully unlock at TGE - market-maker retainer inventory.</v>
      </c>
      <c r="Q125" s="540" t="str">
        <f>Q24</f>
        <v>(20.00%): 0% TGE, 1Y cliff, 24M linear (T+13-T+36).</v>
      </c>
      <c r="R125" s="540" t="str">
        <f>R24</f>
        <v>(0.50%): Fully unlock at TGE - retroactive, unconditional community airdrop.</v>
      </c>
      <c r="S125" s="381" t="n"/>
      <c r="T125" s="381" t="n"/>
      <c r="U125" s="381" t="n"/>
      <c r="V125" s="381" t="n"/>
      <c r="W125" s="381" t="n"/>
      <c r="X125" s="381" t="n"/>
      <c r="Y125" s="381" t="n"/>
      <c r="Z125" s="381" t="n"/>
      <c r="AA125" s="381" t="n"/>
      <c r="AB125" s="381" t="n"/>
      <c r="AC125" s="381" t="n"/>
      <c r="AD125" s="381" t="n"/>
      <c r="AE125" s="381" t="n"/>
      <c r="AF125" s="381" t="n"/>
      <c r="AG125" s="381" t="n"/>
      <c r="AH125" s="381" t="n"/>
      <c r="AI125" s="381" t="n"/>
      <c r="AJ125" s="381" t="n"/>
      <c r="AK125" s="381" t="n"/>
      <c r="AL125" s="381" t="n"/>
      <c r="AM125" s="381" t="n"/>
      <c r="AN125" s="381" t="n"/>
      <c r="AO125" s="381" t="n"/>
    </row>
    <row r="126" ht="15.75" customHeight="1" s="375">
      <c r="A126" s="537" t="n"/>
      <c r="B126" s="537" t="n"/>
      <c r="C126" s="537" t="n"/>
      <c r="D126" s="537" t="n"/>
      <c r="E126" s="537" t="n"/>
      <c r="F126" s="537" t="n"/>
      <c r="G126" s="537" t="n"/>
      <c r="H126" s="537" t="n"/>
      <c r="I126" s="537" t="n"/>
      <c r="J126" s="537" t="n"/>
      <c r="K126" s="537" t="n"/>
      <c r="L126" s="537" t="n"/>
      <c r="M126" s="537" t="n"/>
      <c r="N126" s="537" t="n"/>
      <c r="O126" s="537" t="n"/>
      <c r="P126" s="537" t="n"/>
      <c r="Q126" s="537" t="n"/>
      <c r="R126" s="537" t="n"/>
      <c r="S126" s="537" t="n"/>
      <c r="T126" s="538" t="n"/>
      <c r="U126" s="537" t="n"/>
      <c r="V126" s="381" t="n"/>
      <c r="W126" s="381" t="n"/>
      <c r="X126" s="381" t="n"/>
      <c r="Y126" s="381" t="n"/>
      <c r="Z126" s="381" t="n"/>
      <c r="AA126" s="381" t="n"/>
      <c r="AB126" s="381" t="n"/>
      <c r="AC126" s="381" t="n"/>
      <c r="AD126" s="381" t="n"/>
      <c r="AE126" s="381" t="n"/>
      <c r="AF126" s="381" t="n"/>
      <c r="AG126" s="381" t="n"/>
      <c r="AH126" s="381" t="n"/>
      <c r="AI126" s="381" t="n"/>
      <c r="AJ126" s="381" t="n"/>
      <c r="AK126" s="381" t="n"/>
      <c r="AL126" s="381" t="n"/>
      <c r="AM126" s="381" t="n"/>
      <c r="AN126" s="381" t="n"/>
      <c r="AO126" s="381" t="n"/>
      <c r="AP126" s="381" t="n"/>
      <c r="AQ126" s="381" t="n"/>
      <c r="AR126" s="381" t="n"/>
    </row>
    <row r="127" ht="15.75" customHeight="1" s="375">
      <c r="A127" s="537" t="n"/>
      <c r="B127" s="537" t="n"/>
      <c r="C127" s="537" t="n"/>
      <c r="D127" s="537" t="n"/>
      <c r="E127" s="537" t="n"/>
      <c r="F127" s="537" t="n"/>
      <c r="G127" s="537" t="n"/>
      <c r="H127" s="537" t="n"/>
      <c r="I127" s="537" t="n"/>
      <c r="J127" s="537" t="n"/>
      <c r="K127" s="537" t="n"/>
      <c r="L127" s="537" t="n"/>
      <c r="M127" s="537" t="n"/>
      <c r="N127" s="537" t="n"/>
      <c r="O127" s="537" t="n"/>
      <c r="P127" s="537" t="n"/>
      <c r="Q127" s="537" t="n"/>
      <c r="R127" s="537" t="n"/>
      <c r="S127" s="537" t="n"/>
      <c r="T127" s="538" t="n"/>
      <c r="U127" s="537" t="n"/>
      <c r="V127" s="381" t="n"/>
      <c r="W127" s="381" t="n"/>
      <c r="X127" s="381" t="n"/>
      <c r="Y127" s="381" t="n"/>
      <c r="Z127" s="381" t="n"/>
      <c r="AA127" s="381" t="n"/>
      <c r="AB127" s="381" t="n"/>
      <c r="AC127" s="381" t="n"/>
      <c r="AD127" s="381" t="n"/>
      <c r="AE127" s="381" t="n"/>
      <c r="AF127" s="381" t="n"/>
      <c r="AG127" s="381" t="n"/>
      <c r="AH127" s="381" t="n"/>
      <c r="AI127" s="381" t="n"/>
      <c r="AJ127" s="381" t="n"/>
      <c r="AK127" s="381" t="n"/>
      <c r="AL127" s="381" t="n"/>
      <c r="AM127" s="381" t="n"/>
      <c r="AN127" s="381" t="n"/>
      <c r="AO127" s="381" t="n"/>
      <c r="AP127" s="381" t="n"/>
      <c r="AQ127" s="381" t="n"/>
      <c r="AR127" s="381" t="n"/>
    </row>
    <row r="128" ht="15.75" customHeight="1" s="375">
      <c r="A128" s="537" t="n"/>
      <c r="B128" s="537" t="n"/>
      <c r="C128" s="537" t="n"/>
      <c r="D128" s="537" t="n"/>
      <c r="E128" s="537" t="n"/>
      <c r="F128" s="537" t="n"/>
      <c r="G128" s="537" t="n"/>
      <c r="H128" s="537" t="n"/>
      <c r="I128" s="537" t="n"/>
      <c r="J128" s="537" t="n"/>
      <c r="K128" s="537" t="n"/>
      <c r="L128" s="537" t="n"/>
      <c r="M128" s="537" t="n"/>
      <c r="N128" s="537" t="n"/>
      <c r="O128" s="537" t="n"/>
      <c r="P128" s="537" t="n"/>
      <c r="Q128" s="537" t="n"/>
      <c r="R128" s="537" t="n"/>
      <c r="S128" s="537" t="n"/>
      <c r="T128" s="538" t="n"/>
      <c r="U128" s="537" t="n"/>
      <c r="V128" s="381" t="n"/>
      <c r="W128" s="381" t="n"/>
      <c r="X128" s="381" t="n"/>
      <c r="Y128" s="381" t="n"/>
      <c r="Z128" s="381" t="n"/>
      <c r="AA128" s="381" t="n"/>
      <c r="AB128" s="381" t="n"/>
      <c r="AC128" s="381" t="n"/>
      <c r="AD128" s="381" t="n"/>
      <c r="AE128" s="381" t="n"/>
      <c r="AF128" s="381" t="n"/>
      <c r="AG128" s="381" t="n"/>
      <c r="AH128" s="381" t="n"/>
      <c r="AI128" s="381" t="n"/>
      <c r="AJ128" s="381" t="n"/>
      <c r="AK128" s="381" t="n"/>
      <c r="AL128" s="381" t="n"/>
      <c r="AM128" s="381" t="n"/>
      <c r="AN128" s="381" t="n"/>
      <c r="AO128" s="381" t="n"/>
      <c r="AP128" s="381" t="n"/>
      <c r="AQ128" s="381" t="n"/>
      <c r="AR128" s="381" t="n"/>
    </row>
    <row r="129" ht="15.75" customHeight="1" s="375">
      <c r="A129" s="537" t="n"/>
      <c r="B129" s="537" t="n"/>
      <c r="C129" s="537" t="n"/>
      <c r="D129" s="537" t="n"/>
      <c r="E129" s="537" t="n"/>
      <c r="F129" s="537" t="n"/>
      <c r="G129" s="537" t="n"/>
      <c r="H129" s="537" t="n"/>
      <c r="I129" s="537" t="n"/>
      <c r="J129" s="537" t="n"/>
      <c r="K129" s="537" t="n"/>
      <c r="L129" s="537" t="n"/>
      <c r="M129" s="537" t="n"/>
      <c r="N129" s="537" t="n"/>
      <c r="O129" s="537" t="n"/>
      <c r="P129" s="537" t="n"/>
      <c r="Q129" s="537" t="n"/>
      <c r="R129" s="537" t="n"/>
      <c r="S129" s="537" t="n"/>
      <c r="T129" s="538" t="n"/>
      <c r="U129" s="537" t="n"/>
      <c r="V129" s="381" t="n"/>
      <c r="W129" s="381" t="n"/>
      <c r="X129" s="381" t="n"/>
      <c r="Y129" s="381" t="n"/>
      <c r="Z129" s="381" t="n"/>
      <c r="AA129" s="381" t="n"/>
      <c r="AB129" s="381" t="n"/>
      <c r="AC129" s="381" t="n"/>
      <c r="AD129" s="381" t="n"/>
      <c r="AE129" s="381" t="n"/>
      <c r="AF129" s="381" t="n"/>
      <c r="AG129" s="381" t="n"/>
      <c r="AH129" s="381" t="n"/>
      <c r="AI129" s="381" t="n"/>
      <c r="AJ129" s="381" t="n"/>
      <c r="AK129" s="381" t="n"/>
      <c r="AL129" s="381" t="n"/>
      <c r="AM129" s="381" t="n"/>
      <c r="AN129" s="381" t="n"/>
      <c r="AO129" s="381" t="n"/>
      <c r="AP129" s="381" t="n"/>
      <c r="AQ129" s="381" t="n"/>
      <c r="AR129" s="381" t="n"/>
    </row>
    <row r="130" ht="15.75" customHeight="1" s="375">
      <c r="A130" s="537" t="n"/>
      <c r="B130" s="537" t="n"/>
      <c r="C130" s="537" t="n"/>
      <c r="D130" s="537" t="n"/>
      <c r="E130" s="537" t="n"/>
      <c r="F130" s="537" t="n"/>
      <c r="G130" s="537" t="n"/>
      <c r="H130" s="537" t="n"/>
      <c r="I130" s="537" t="n"/>
      <c r="J130" s="537" t="n"/>
      <c r="K130" s="537" t="n"/>
      <c r="L130" s="537" t="n"/>
      <c r="M130" s="537" t="n"/>
      <c r="N130" s="537" t="n"/>
      <c r="O130" s="537" t="n"/>
      <c r="P130" s="537" t="n"/>
      <c r="Q130" s="537" t="n"/>
      <c r="R130" s="537" t="n"/>
      <c r="S130" s="537" t="n"/>
      <c r="T130" s="538" t="n"/>
      <c r="U130" s="537" t="n"/>
      <c r="V130" s="381" t="n"/>
      <c r="W130" s="381" t="n"/>
      <c r="X130" s="381" t="n"/>
      <c r="Y130" s="381" t="n"/>
      <c r="Z130" s="381" t="n"/>
      <c r="AA130" s="381" t="n"/>
      <c r="AB130" s="381" t="n"/>
      <c r="AC130" s="381" t="n"/>
      <c r="AD130" s="381" t="n"/>
      <c r="AE130" s="381" t="n"/>
      <c r="AF130" s="381" t="n"/>
      <c r="AG130" s="381" t="n"/>
      <c r="AH130" s="381" t="n"/>
      <c r="AI130" s="381" t="n"/>
      <c r="AJ130" s="381" t="n"/>
      <c r="AK130" s="381" t="n"/>
      <c r="AL130" s="381" t="n"/>
      <c r="AM130" s="381" t="n"/>
      <c r="AN130" s="381" t="n"/>
      <c r="AO130" s="381" t="n"/>
      <c r="AP130" s="381" t="n"/>
      <c r="AQ130" s="381" t="n"/>
      <c r="AR130" s="381" t="n"/>
    </row>
    <row r="131" ht="15.75" customHeight="1" s="375">
      <c r="A131" s="537" t="n"/>
      <c r="B131" s="537" t="n"/>
      <c r="C131" s="537" t="n"/>
      <c r="D131" s="537" t="n"/>
      <c r="E131" s="537" t="n"/>
      <c r="F131" s="537" t="n"/>
      <c r="G131" s="537" t="n"/>
      <c r="H131" s="537" t="n"/>
      <c r="I131" s="537" t="n"/>
      <c r="J131" s="537" t="n"/>
      <c r="K131" s="537" t="n"/>
      <c r="L131" s="537" t="n"/>
      <c r="M131" s="537" t="n"/>
      <c r="N131" s="537" t="n"/>
      <c r="O131" s="537" t="n"/>
      <c r="P131" s="537" t="n"/>
      <c r="Q131" s="537" t="n"/>
      <c r="R131" s="537" t="n"/>
      <c r="S131" s="537" t="n"/>
      <c r="T131" s="538" t="n"/>
      <c r="U131" s="537" t="n"/>
      <c r="V131" s="381" t="n"/>
      <c r="W131" s="381" t="n"/>
      <c r="X131" s="381" t="n"/>
      <c r="Y131" s="381" t="n"/>
      <c r="Z131" s="381" t="n"/>
      <c r="AA131" s="381" t="n"/>
      <c r="AB131" s="381" t="n"/>
      <c r="AC131" s="381" t="n"/>
      <c r="AD131" s="381" t="n"/>
      <c r="AE131" s="381" t="n"/>
      <c r="AF131" s="381" t="n"/>
      <c r="AG131" s="381" t="n"/>
      <c r="AH131" s="381" t="n"/>
      <c r="AI131" s="381" t="n"/>
      <c r="AJ131" s="381" t="n"/>
      <c r="AK131" s="381" t="n"/>
      <c r="AL131" s="381" t="n"/>
      <c r="AM131" s="381" t="n"/>
      <c r="AN131" s="381" t="n"/>
      <c r="AO131" s="381" t="n"/>
      <c r="AP131" s="381" t="n"/>
      <c r="AQ131" s="381" t="n"/>
      <c r="AR131" s="381" t="n"/>
    </row>
    <row r="132" ht="15.75" customHeight="1" s="375">
      <c r="A132" s="537" t="n"/>
      <c r="B132" s="537" t="n"/>
      <c r="C132" s="537" t="n"/>
      <c r="D132" s="537" t="n"/>
      <c r="E132" s="537" t="n"/>
      <c r="F132" s="537" t="n"/>
      <c r="G132" s="537" t="n"/>
      <c r="H132" s="537" t="n"/>
      <c r="I132" s="537" t="n"/>
      <c r="J132" s="537" t="n"/>
      <c r="K132" s="537" t="n"/>
      <c r="L132" s="537" t="n"/>
      <c r="M132" s="537" t="n"/>
      <c r="N132" s="537" t="n"/>
      <c r="O132" s="537" t="n"/>
      <c r="P132" s="537" t="n"/>
      <c r="Q132" s="537" t="n"/>
      <c r="R132" s="537" t="n"/>
      <c r="S132" s="537" t="n"/>
      <c r="T132" s="538" t="n"/>
      <c r="U132" s="537" t="n"/>
      <c r="V132" s="381" t="n"/>
      <c r="W132" s="381" t="n"/>
      <c r="X132" s="381" t="n"/>
      <c r="Y132" s="381" t="n"/>
      <c r="Z132" s="381" t="n"/>
      <c r="AA132" s="381" t="n"/>
      <c r="AB132" s="381" t="n"/>
      <c r="AC132" s="381" t="n"/>
      <c r="AD132" s="381" t="n"/>
      <c r="AE132" s="381" t="n"/>
      <c r="AF132" s="381" t="n"/>
      <c r="AG132" s="381" t="n"/>
      <c r="AH132" s="381" t="n"/>
      <c r="AI132" s="381" t="n"/>
      <c r="AJ132" s="381" t="n"/>
      <c r="AK132" s="381" t="n"/>
      <c r="AL132" s="381" t="n"/>
      <c r="AM132" s="381" t="n"/>
      <c r="AN132" s="381" t="n"/>
      <c r="AO132" s="381" t="n"/>
      <c r="AP132" s="381" t="n"/>
      <c r="AQ132" s="381" t="n"/>
      <c r="AR132" s="381" t="n"/>
    </row>
    <row r="133" ht="15.75" customHeight="1" s="375">
      <c r="A133" s="381" t="n"/>
      <c r="B133" s="381" t="n"/>
      <c r="C133" s="381" t="n"/>
      <c r="D133" s="381" t="n"/>
      <c r="E133" s="381" t="n"/>
      <c r="F133" s="381" t="n"/>
      <c r="G133" s="381" t="n"/>
      <c r="H133" s="381" t="n"/>
      <c r="I133" s="381" t="n"/>
      <c r="J133" s="543" t="n"/>
      <c r="K133" s="543" t="n"/>
      <c r="L133" s="418" t="n"/>
      <c r="M133" s="381" t="n"/>
      <c r="N133" s="381" t="n"/>
      <c r="O133" s="381" t="n"/>
      <c r="P133" s="381" t="n"/>
      <c r="Q133" s="381" t="n"/>
      <c r="R133" s="381" t="n"/>
      <c r="S133" s="381" t="n"/>
      <c r="T133" s="544" t="n"/>
      <c r="U133" s="381" t="n"/>
      <c r="V133" s="381" t="n"/>
      <c r="W133" s="381" t="n"/>
      <c r="X133" s="381" t="n"/>
      <c r="Y133" s="381" t="n"/>
      <c r="Z133" s="381" t="n"/>
      <c r="AA133" s="381" t="n"/>
      <c r="AB133" s="381" t="n"/>
      <c r="AC133" s="381" t="n"/>
      <c r="AD133" s="381" t="n"/>
      <c r="AE133" s="381" t="n"/>
      <c r="AF133" s="381" t="n"/>
      <c r="AG133" s="381" t="n"/>
      <c r="AH133" s="381" t="n"/>
      <c r="AI133" s="381" t="n"/>
      <c r="AJ133" s="381" t="n"/>
      <c r="AK133" s="381" t="n"/>
      <c r="AL133" s="381" t="n"/>
      <c r="AM133" s="381" t="n"/>
      <c r="AN133" s="381" t="n"/>
      <c r="AO133" s="381" t="n"/>
      <c r="AP133" s="381" t="n"/>
      <c r="AQ133" s="381" t="n"/>
      <c r="AR133" s="381" t="n"/>
    </row>
    <row r="134" ht="15.75" customHeight="1" s="375">
      <c r="A134" s="381" t="n"/>
      <c r="B134" s="381" t="n"/>
      <c r="C134" s="381" t="n"/>
      <c r="D134" s="381" t="n"/>
      <c r="E134" s="381" t="n"/>
      <c r="F134" s="381" t="n"/>
      <c r="G134" s="381" t="n"/>
      <c r="H134" s="381" t="n"/>
      <c r="I134" s="381" t="n"/>
      <c r="J134" s="418" t="n"/>
      <c r="K134" s="418" t="n"/>
      <c r="L134" s="381" t="n"/>
      <c r="M134" s="381" t="n"/>
      <c r="N134" s="381" t="n"/>
      <c r="O134" s="381" t="n"/>
      <c r="P134" s="381" t="n"/>
      <c r="Q134" s="381" t="n"/>
      <c r="R134" s="381" t="n"/>
      <c r="S134" s="381" t="n"/>
      <c r="T134" s="544" t="n"/>
      <c r="U134" s="381" t="n"/>
      <c r="V134" s="381" t="n"/>
      <c r="W134" s="381" t="n"/>
      <c r="X134" s="381" t="n"/>
      <c r="Y134" s="381" t="n"/>
      <c r="Z134" s="381" t="n"/>
      <c r="AA134" s="381" t="n"/>
      <c r="AB134" s="381" t="n"/>
      <c r="AC134" s="381" t="n"/>
      <c r="AD134" s="381" t="n"/>
      <c r="AE134" s="381" t="n"/>
      <c r="AF134" s="381" t="n"/>
      <c r="AG134" s="381" t="n"/>
      <c r="AH134" s="381" t="n"/>
      <c r="AI134" s="381" t="n"/>
      <c r="AJ134" s="381" t="n"/>
      <c r="AK134" s="381" t="n"/>
      <c r="AL134" s="381" t="n"/>
      <c r="AM134" s="381" t="n"/>
      <c r="AN134" s="381" t="n"/>
      <c r="AO134" s="381" t="n"/>
      <c r="AP134" s="381" t="n"/>
      <c r="AQ134" s="381" t="n"/>
      <c r="AR134" s="381" t="n"/>
    </row>
    <row r="135" ht="15.75" customHeight="1" s="375">
      <c r="A135" s="381" t="n"/>
      <c r="B135" s="381" t="n"/>
      <c r="C135" s="381" t="n"/>
      <c r="D135" s="381" t="n"/>
      <c r="E135" s="381" t="n"/>
      <c r="F135" s="381" t="n"/>
      <c r="G135" s="381" t="n"/>
      <c r="H135" s="381" t="n"/>
      <c r="I135" s="381" t="n"/>
      <c r="J135" s="543" t="n"/>
      <c r="K135" s="418" t="n"/>
      <c r="L135" s="381" t="n"/>
      <c r="M135" s="381" t="n"/>
      <c r="N135" s="381" t="n"/>
      <c r="O135" s="381" t="n"/>
      <c r="P135" s="381" t="n"/>
      <c r="Q135" s="381" t="n"/>
      <c r="R135" s="381" t="n"/>
      <c r="S135" s="381" t="n"/>
      <c r="T135" s="544" t="n"/>
      <c r="U135" s="381" t="n"/>
      <c r="V135" s="381" t="n"/>
      <c r="W135" s="381" t="n"/>
      <c r="X135" s="381" t="n"/>
      <c r="Y135" s="381" t="n"/>
      <c r="Z135" s="381" t="n"/>
      <c r="AA135" s="381" t="n"/>
      <c r="AB135" s="381" t="n"/>
      <c r="AC135" s="381" t="n"/>
      <c r="AD135" s="381" t="n"/>
      <c r="AE135" s="381" t="n"/>
      <c r="AF135" s="381" t="n"/>
      <c r="AG135" s="381" t="n"/>
      <c r="AH135" s="381" t="n"/>
      <c r="AI135" s="381" t="n"/>
      <c r="AJ135" s="381" t="n"/>
      <c r="AK135" s="381" t="n"/>
      <c r="AL135" s="381" t="n"/>
      <c r="AM135" s="381" t="n"/>
      <c r="AN135" s="381" t="n"/>
      <c r="AO135" s="381" t="n"/>
      <c r="AP135" s="381" t="n"/>
      <c r="AQ135" s="381" t="n"/>
      <c r="AR135" s="381" t="n"/>
    </row>
    <row r="136" ht="15.75" customHeight="1" s="375">
      <c r="A136" s="381" t="n"/>
      <c r="B136" s="381" t="n"/>
      <c r="C136" s="381" t="n"/>
      <c r="D136" s="381" t="n"/>
      <c r="E136" s="381" t="n"/>
      <c r="F136" s="381" t="n"/>
      <c r="G136" s="381" t="n"/>
      <c r="H136" s="381" t="n"/>
      <c r="I136" s="381" t="n"/>
      <c r="J136" s="381" t="n"/>
      <c r="K136" s="381" t="n"/>
      <c r="L136" s="381" t="n"/>
      <c r="M136" s="381" t="n"/>
      <c r="N136" s="381" t="n"/>
      <c r="O136" s="381" t="n"/>
      <c r="P136" s="381" t="n"/>
      <c r="Q136" s="381" t="n"/>
      <c r="R136" s="381" t="n"/>
      <c r="S136" s="381" t="n"/>
      <c r="T136" s="544" t="n"/>
      <c r="U136" s="381" t="n"/>
      <c r="V136" s="381" t="n"/>
      <c r="W136" s="381" t="n"/>
      <c r="X136" s="381" t="n"/>
      <c r="Y136" s="381" t="n"/>
      <c r="Z136" s="381" t="n"/>
      <c r="AA136" s="381" t="n"/>
      <c r="AB136" s="381" t="n"/>
      <c r="AC136" s="381" t="n"/>
      <c r="AD136" s="381" t="n"/>
      <c r="AE136" s="381" t="n"/>
      <c r="AF136" s="381" t="n"/>
      <c r="AG136" s="381" t="n"/>
      <c r="AH136" s="381" t="n"/>
      <c r="AI136" s="381" t="n"/>
      <c r="AJ136" s="381" t="n"/>
      <c r="AK136" s="381" t="n"/>
      <c r="AL136" s="381" t="n"/>
      <c r="AM136" s="381" t="n"/>
      <c r="AN136" s="381" t="n"/>
      <c r="AO136" s="381" t="n"/>
      <c r="AP136" s="381" t="n"/>
      <c r="AQ136" s="381" t="n"/>
      <c r="AR136" s="381" t="n"/>
    </row>
    <row r="137" ht="15.75" customHeight="1" s="375">
      <c r="A137" s="381" t="n"/>
      <c r="B137" s="381" t="n"/>
      <c r="C137" s="381" t="n"/>
      <c r="D137" s="381" t="n"/>
      <c r="E137" s="381" t="n"/>
      <c r="F137" s="381" t="n"/>
      <c r="G137" s="381" t="n"/>
      <c r="H137" s="381" t="n"/>
      <c r="I137" s="381" t="n"/>
      <c r="J137" s="381" t="n"/>
      <c r="K137" s="381" t="n"/>
      <c r="L137" s="381" t="n"/>
      <c r="M137" s="381" t="n"/>
      <c r="N137" s="381" t="n"/>
      <c r="O137" s="381" t="n"/>
      <c r="P137" s="381" t="n"/>
      <c r="Q137" s="381" t="n"/>
      <c r="R137" s="381" t="n"/>
      <c r="S137" s="381" t="n"/>
      <c r="T137" s="544" t="n"/>
      <c r="U137" s="381" t="n"/>
      <c r="V137" s="381" t="n"/>
      <c r="W137" s="381" t="n"/>
      <c r="X137" s="381" t="n"/>
      <c r="Y137" s="381" t="n"/>
      <c r="Z137" s="381" t="n"/>
      <c r="AA137" s="381" t="n"/>
      <c r="AB137" s="381" t="n"/>
      <c r="AC137" s="381" t="n"/>
      <c r="AD137" s="381" t="n"/>
      <c r="AE137" s="381" t="n"/>
      <c r="AF137" s="381" t="n"/>
      <c r="AG137" s="381" t="n"/>
      <c r="AH137" s="381" t="n"/>
      <c r="AI137" s="381" t="n"/>
      <c r="AJ137" s="381" t="n"/>
      <c r="AK137" s="381" t="n"/>
      <c r="AL137" s="381" t="n"/>
      <c r="AM137" s="381" t="n"/>
      <c r="AN137" s="381" t="n"/>
      <c r="AO137" s="381" t="n"/>
      <c r="AP137" s="381" t="n"/>
      <c r="AQ137" s="381" t="n"/>
      <c r="AR137" s="381" t="n"/>
    </row>
    <row r="138" ht="15.75" customHeight="1" s="375">
      <c r="A138" s="381" t="n"/>
      <c r="B138" s="381" t="n"/>
      <c r="C138" s="381" t="n"/>
      <c r="D138" s="381" t="n"/>
      <c r="E138" s="381" t="n"/>
      <c r="F138" s="381" t="n"/>
      <c r="G138" s="381" t="n"/>
      <c r="H138" s="381" t="n"/>
      <c r="I138" s="381" t="n"/>
      <c r="J138" s="381" t="n"/>
      <c r="K138" s="381" t="n"/>
      <c r="L138" s="381" t="n"/>
      <c r="M138" s="381" t="n"/>
      <c r="N138" s="381" t="n"/>
      <c r="O138" s="381" t="n"/>
      <c r="P138" s="381" t="n"/>
      <c r="Q138" s="381" t="n"/>
      <c r="R138" s="381" t="n"/>
      <c r="S138" s="381" t="n"/>
      <c r="T138" s="544" t="n"/>
      <c r="U138" s="381" t="n"/>
      <c r="V138" s="381" t="n"/>
      <c r="W138" s="381" t="n"/>
      <c r="X138" s="381" t="n"/>
      <c r="Y138" s="381" t="n"/>
      <c r="Z138" s="381" t="n"/>
      <c r="AA138" s="381" t="n"/>
      <c r="AB138" s="381" t="n"/>
      <c r="AC138" s="381" t="n"/>
      <c r="AD138" s="381" t="n"/>
      <c r="AE138" s="381" t="n"/>
      <c r="AF138" s="381" t="n"/>
      <c r="AG138" s="381" t="n"/>
      <c r="AH138" s="381" t="n"/>
      <c r="AI138" s="381" t="n"/>
      <c r="AJ138" s="381" t="n"/>
      <c r="AK138" s="381" t="n"/>
      <c r="AL138" s="381" t="n"/>
      <c r="AM138" s="381" t="n"/>
      <c r="AN138" s="381" t="n"/>
      <c r="AO138" s="381" t="n"/>
      <c r="AP138" s="381" t="n"/>
      <c r="AQ138" s="381" t="n"/>
      <c r="AR138" s="381" t="n"/>
    </row>
    <row r="139" ht="15.75" customHeight="1" s="375">
      <c r="A139" s="381" t="n"/>
      <c r="B139" s="381" t="n"/>
      <c r="C139" s="381" t="n"/>
      <c r="D139" s="381" t="n"/>
      <c r="E139" s="381" t="n"/>
      <c r="F139" s="381" t="n"/>
      <c r="G139" s="381" t="n"/>
      <c r="H139" s="381" t="n"/>
      <c r="I139" s="381" t="n"/>
      <c r="J139" s="381" t="n"/>
      <c r="K139" s="381" t="n"/>
      <c r="L139" s="381" t="n"/>
      <c r="M139" s="381" t="n"/>
      <c r="N139" s="381" t="n"/>
      <c r="O139" s="381" t="n"/>
      <c r="P139" s="381" t="n"/>
      <c r="Q139" s="381" t="n"/>
      <c r="R139" s="381" t="n"/>
      <c r="S139" s="381" t="n"/>
      <c r="T139" s="544" t="n"/>
      <c r="U139" s="381" t="n"/>
      <c r="V139" s="381" t="n"/>
      <c r="W139" s="381" t="n"/>
      <c r="X139" s="381" t="n"/>
      <c r="Y139" s="381" t="n"/>
      <c r="Z139" s="381" t="n"/>
      <c r="AA139" s="381" t="n"/>
      <c r="AB139" s="381" t="n"/>
      <c r="AC139" s="381" t="n"/>
      <c r="AD139" s="381" t="n"/>
      <c r="AE139" s="381" t="n"/>
      <c r="AF139" s="381" t="n"/>
      <c r="AG139" s="381" t="n"/>
      <c r="AH139" s="381" t="n"/>
      <c r="AI139" s="381" t="n"/>
      <c r="AJ139" s="381" t="n"/>
      <c r="AK139" s="381" t="n"/>
      <c r="AL139" s="381" t="n"/>
      <c r="AM139" s="381" t="n"/>
      <c r="AN139" s="381" t="n"/>
      <c r="AO139" s="381" t="n"/>
      <c r="AP139" s="381" t="n"/>
      <c r="AQ139" s="381" t="n"/>
      <c r="AR139" s="381" t="n"/>
    </row>
    <row r="140" ht="15.75" customHeight="1" s="375">
      <c r="A140" s="381" t="n"/>
      <c r="B140" s="381" t="n"/>
      <c r="C140" s="381" t="n"/>
      <c r="D140" s="381" t="n"/>
      <c r="E140" s="381" t="n"/>
      <c r="F140" s="381" t="n"/>
      <c r="G140" s="381" t="n"/>
      <c r="H140" s="381" t="n"/>
      <c r="I140" s="381" t="n"/>
      <c r="J140" s="381" t="n"/>
      <c r="K140" s="381" t="n"/>
      <c r="L140" s="381" t="n"/>
      <c r="M140" s="381" t="n"/>
      <c r="N140" s="381" t="n"/>
      <c r="O140" s="381" t="n"/>
      <c r="P140" s="381" t="n"/>
      <c r="Q140" s="381" t="n"/>
      <c r="R140" s="381" t="n"/>
      <c r="S140" s="381" t="n"/>
      <c r="T140" s="544" t="n"/>
      <c r="U140" s="381" t="n"/>
      <c r="V140" s="381" t="n"/>
      <c r="W140" s="381" t="n"/>
      <c r="X140" s="381" t="n"/>
      <c r="Y140" s="381" t="n"/>
      <c r="Z140" s="381" t="n"/>
      <c r="AA140" s="381" t="n"/>
      <c r="AB140" s="381" t="n"/>
      <c r="AC140" s="381" t="n"/>
      <c r="AD140" s="381" t="n"/>
      <c r="AE140" s="381" t="n"/>
      <c r="AF140" s="381" t="n"/>
      <c r="AG140" s="381" t="n"/>
      <c r="AH140" s="381" t="n"/>
      <c r="AI140" s="381" t="n"/>
      <c r="AJ140" s="381" t="n"/>
      <c r="AK140" s="381" t="n"/>
      <c r="AL140" s="381" t="n"/>
      <c r="AM140" s="381" t="n"/>
      <c r="AN140" s="381" t="n"/>
      <c r="AO140" s="381" t="n"/>
      <c r="AP140" s="381" t="n"/>
      <c r="AQ140" s="381" t="n"/>
      <c r="AR140" s="381" t="n"/>
    </row>
    <row r="141" ht="15.75" customHeight="1" s="375">
      <c r="A141" s="381" t="n"/>
      <c r="B141" s="381" t="n"/>
      <c r="C141" s="381" t="n"/>
      <c r="D141" s="381" t="n"/>
      <c r="E141" s="381" t="n"/>
      <c r="F141" s="381" t="n"/>
      <c r="G141" s="381" t="n"/>
      <c r="H141" s="381" t="n"/>
      <c r="I141" s="381" t="n"/>
      <c r="J141" s="381" t="n"/>
      <c r="K141" s="381" t="n"/>
      <c r="L141" s="381" t="n"/>
      <c r="M141" s="381" t="n"/>
      <c r="N141" s="381" t="n"/>
      <c r="O141" s="381" t="n"/>
      <c r="P141" s="381" t="n"/>
      <c r="Q141" s="381" t="n"/>
      <c r="R141" s="381" t="n"/>
      <c r="S141" s="381" t="n"/>
      <c r="T141" s="544" t="n"/>
      <c r="U141" s="381" t="n"/>
      <c r="V141" s="381" t="n"/>
      <c r="W141" s="381" t="n"/>
      <c r="X141" s="381" t="n"/>
      <c r="Y141" s="381" t="n"/>
      <c r="Z141" s="381" t="n"/>
      <c r="AA141" s="381" t="n"/>
      <c r="AB141" s="381" t="n"/>
      <c r="AC141" s="381" t="n"/>
      <c r="AD141" s="381" t="n"/>
      <c r="AE141" s="381" t="n"/>
      <c r="AF141" s="381" t="n"/>
      <c r="AG141" s="381" t="n"/>
      <c r="AH141" s="381" t="n"/>
      <c r="AI141" s="381" t="n"/>
      <c r="AJ141" s="381" t="n"/>
      <c r="AK141" s="381" t="n"/>
      <c r="AL141" s="381" t="n"/>
      <c r="AM141" s="381" t="n"/>
      <c r="AN141" s="381" t="n"/>
      <c r="AO141" s="381" t="n"/>
      <c r="AP141" s="381" t="n"/>
      <c r="AQ141" s="381" t="n"/>
      <c r="AR141" s="381" t="n"/>
    </row>
    <row r="142" ht="15.75" customHeight="1" s="375">
      <c r="A142" s="381" t="n"/>
      <c r="B142" s="381" t="n"/>
      <c r="C142" s="381" t="n"/>
      <c r="D142" s="381" t="n"/>
      <c r="E142" s="381" t="n"/>
      <c r="F142" s="381" t="n"/>
      <c r="G142" s="381" t="n"/>
      <c r="H142" s="381" t="n"/>
      <c r="I142" s="381" t="n"/>
      <c r="J142" s="381" t="n"/>
      <c r="K142" s="381" t="n"/>
      <c r="L142" s="381" t="n"/>
      <c r="M142" s="381" t="n"/>
      <c r="N142" s="381" t="n"/>
      <c r="O142" s="381" t="n"/>
      <c r="P142" s="381" t="n"/>
      <c r="Q142" s="381" t="n"/>
      <c r="R142" s="381" t="n"/>
      <c r="S142" s="381" t="n"/>
      <c r="T142" s="544" t="n"/>
      <c r="U142" s="381" t="n"/>
      <c r="V142" s="381" t="n"/>
      <c r="W142" s="381" t="n"/>
      <c r="X142" s="381" t="n"/>
      <c r="Y142" s="381" t="n"/>
      <c r="Z142" s="381" t="n"/>
      <c r="AA142" s="381" t="n"/>
      <c r="AB142" s="381" t="n"/>
      <c r="AC142" s="381" t="n"/>
      <c r="AD142" s="381" t="n"/>
      <c r="AE142" s="381" t="n"/>
      <c r="AF142" s="381" t="n"/>
      <c r="AG142" s="381" t="n"/>
      <c r="AH142" s="381" t="n"/>
      <c r="AI142" s="381" t="n"/>
      <c r="AJ142" s="381" t="n"/>
      <c r="AK142" s="381" t="n"/>
      <c r="AL142" s="381" t="n"/>
      <c r="AM142" s="381" t="n"/>
      <c r="AN142" s="381" t="n"/>
      <c r="AO142" s="381" t="n"/>
      <c r="AP142" s="381" t="n"/>
      <c r="AQ142" s="381" t="n"/>
      <c r="AR142" s="381" t="n"/>
    </row>
    <row r="143" ht="15.75" customHeight="1" s="375">
      <c r="A143" s="381" t="n"/>
      <c r="B143" s="381" t="n"/>
      <c r="C143" s="381" t="n"/>
      <c r="D143" s="381" t="n"/>
      <c r="E143" s="381" t="n"/>
      <c r="F143" s="381" t="n"/>
      <c r="G143" s="381" t="n"/>
      <c r="H143" s="381" t="n"/>
      <c r="I143" s="381" t="n"/>
      <c r="J143" s="381" t="n"/>
      <c r="K143" s="381" t="n"/>
      <c r="L143" s="381" t="n"/>
      <c r="M143" s="381" t="n"/>
      <c r="N143" s="381" t="n"/>
      <c r="O143" s="381" t="n"/>
      <c r="P143" s="381" t="n"/>
      <c r="Q143" s="381" t="n"/>
      <c r="R143" s="381" t="n"/>
      <c r="S143" s="381" t="n"/>
      <c r="T143" s="544" t="n"/>
      <c r="U143" s="381" t="n"/>
      <c r="V143" s="381" t="n"/>
      <c r="W143" s="381" t="n"/>
      <c r="X143" s="381" t="n"/>
      <c r="Y143" s="381" t="n"/>
      <c r="Z143" s="381" t="n"/>
      <c r="AA143" s="381" t="n"/>
      <c r="AB143" s="381" t="n"/>
      <c r="AC143" s="381" t="n"/>
      <c r="AD143" s="381" t="n"/>
      <c r="AE143" s="381" t="n"/>
      <c r="AF143" s="381" t="n"/>
      <c r="AG143" s="381" t="n"/>
      <c r="AH143" s="381" t="n"/>
      <c r="AI143" s="381" t="n"/>
      <c r="AJ143" s="381" t="n"/>
      <c r="AK143" s="381" t="n"/>
      <c r="AL143" s="381" t="n"/>
      <c r="AM143" s="381" t="n"/>
      <c r="AN143" s="381" t="n"/>
      <c r="AO143" s="381" t="n"/>
      <c r="AP143" s="381" t="n"/>
      <c r="AQ143" s="381" t="n"/>
      <c r="AR143" s="381" t="n"/>
    </row>
    <row r="144" ht="15.75" customHeight="1" s="375">
      <c r="A144" s="381" t="n"/>
      <c r="B144" s="381" t="n"/>
      <c r="C144" s="381" t="n"/>
      <c r="D144" s="381" t="n"/>
      <c r="E144" s="381" t="n"/>
      <c r="F144" s="381" t="n"/>
      <c r="G144" s="381" t="n"/>
      <c r="H144" s="381" t="n"/>
      <c r="I144" s="381" t="n"/>
      <c r="J144" s="381" t="n"/>
      <c r="K144" s="381" t="n"/>
      <c r="L144" s="381" t="n"/>
      <c r="M144" s="381" t="n"/>
      <c r="N144" s="381" t="n"/>
      <c r="O144" s="381" t="n"/>
      <c r="P144" s="381" t="n"/>
      <c r="Q144" s="381" t="n"/>
      <c r="R144" s="381" t="n"/>
      <c r="S144" s="381" t="n"/>
      <c r="T144" s="544" t="n"/>
      <c r="U144" s="381" t="n"/>
      <c r="V144" s="381" t="n"/>
      <c r="W144" s="381" t="n"/>
      <c r="X144" s="381" t="n"/>
      <c r="Y144" s="381" t="n"/>
      <c r="Z144" s="381" t="n"/>
      <c r="AA144" s="381" t="n"/>
      <c r="AB144" s="381" t="n"/>
      <c r="AC144" s="381" t="n"/>
      <c r="AD144" s="381" t="n"/>
      <c r="AE144" s="381" t="n"/>
      <c r="AF144" s="381" t="n"/>
      <c r="AG144" s="381" t="n"/>
      <c r="AH144" s="381" t="n"/>
      <c r="AI144" s="381" t="n"/>
      <c r="AJ144" s="381" t="n"/>
      <c r="AK144" s="381" t="n"/>
      <c r="AL144" s="381" t="n"/>
      <c r="AM144" s="381" t="n"/>
      <c r="AN144" s="381" t="n"/>
      <c r="AO144" s="381" t="n"/>
      <c r="AP144" s="381" t="n"/>
      <c r="AQ144" s="381" t="n"/>
      <c r="AR144" s="381" t="n"/>
    </row>
    <row r="145" ht="15.75" customHeight="1" s="375">
      <c r="A145" s="381" t="n"/>
      <c r="B145" s="381" t="n"/>
      <c r="C145" s="381" t="n"/>
      <c r="D145" s="381" t="n"/>
      <c r="E145" s="381" t="n"/>
      <c r="F145" s="381" t="n"/>
      <c r="G145" s="381" t="n"/>
      <c r="H145" s="381" t="n"/>
      <c r="I145" s="381" t="n"/>
      <c r="J145" s="381" t="n"/>
      <c r="K145" s="381" t="n"/>
      <c r="L145" s="381" t="n"/>
      <c r="M145" s="381" t="n"/>
      <c r="N145" s="381" t="n"/>
      <c r="O145" s="381" t="n"/>
      <c r="P145" s="381" t="n"/>
      <c r="Q145" s="381" t="n"/>
      <c r="R145" s="381" t="n"/>
      <c r="S145" s="381" t="n"/>
      <c r="T145" s="544" t="n"/>
      <c r="U145" s="381" t="n"/>
      <c r="V145" s="381" t="n"/>
      <c r="W145" s="381" t="n"/>
      <c r="X145" s="381" t="n"/>
      <c r="Y145" s="381" t="n"/>
      <c r="Z145" s="381" t="n"/>
      <c r="AA145" s="381" t="n"/>
      <c r="AB145" s="381" t="n"/>
      <c r="AC145" s="381" t="n"/>
      <c r="AD145" s="381" t="n"/>
      <c r="AE145" s="381" t="n"/>
      <c r="AF145" s="381" t="n"/>
      <c r="AG145" s="381" t="n"/>
      <c r="AH145" s="381" t="n"/>
      <c r="AI145" s="381" t="n"/>
      <c r="AJ145" s="381" t="n"/>
      <c r="AK145" s="381" t="n"/>
      <c r="AL145" s="381" t="n"/>
      <c r="AM145" s="381" t="n"/>
      <c r="AN145" s="381" t="n"/>
      <c r="AO145" s="381" t="n"/>
      <c r="AP145" s="381" t="n"/>
      <c r="AQ145" s="381" t="n"/>
      <c r="AR145" s="381" t="n"/>
    </row>
    <row r="146" ht="15.75" customHeight="1" s="375">
      <c r="A146" s="381" t="n"/>
      <c r="B146" s="381" t="n"/>
      <c r="C146" s="381" t="n"/>
      <c r="D146" s="381" t="n"/>
      <c r="E146" s="381" t="n"/>
      <c r="F146" s="381" t="n"/>
      <c r="G146" s="381" t="n"/>
      <c r="H146" s="381" t="n"/>
      <c r="I146" s="381" t="n"/>
      <c r="J146" s="381" t="n"/>
      <c r="K146" s="381" t="n"/>
      <c r="L146" s="381" t="n"/>
      <c r="M146" s="381" t="n"/>
      <c r="N146" s="381" t="n"/>
      <c r="O146" s="381" t="n"/>
      <c r="P146" s="381" t="n"/>
      <c r="Q146" s="381" t="n"/>
      <c r="R146" s="381" t="n"/>
      <c r="S146" s="381" t="n"/>
      <c r="T146" s="544" t="n"/>
      <c r="U146" s="381" t="n"/>
      <c r="V146" s="381" t="n"/>
      <c r="W146" s="381" t="n"/>
      <c r="X146" s="381" t="n"/>
      <c r="Y146" s="381" t="n"/>
      <c r="Z146" s="381" t="n"/>
      <c r="AA146" s="381" t="n"/>
      <c r="AB146" s="381" t="n"/>
      <c r="AC146" s="381" t="n"/>
      <c r="AD146" s="381" t="n"/>
      <c r="AE146" s="381" t="n"/>
      <c r="AF146" s="381" t="n"/>
      <c r="AG146" s="381" t="n"/>
      <c r="AH146" s="381" t="n"/>
      <c r="AI146" s="381" t="n"/>
      <c r="AJ146" s="381" t="n"/>
      <c r="AK146" s="381" t="n"/>
      <c r="AL146" s="381" t="n"/>
      <c r="AM146" s="381" t="n"/>
      <c r="AN146" s="381" t="n"/>
      <c r="AO146" s="381" t="n"/>
      <c r="AP146" s="381" t="n"/>
      <c r="AQ146" s="381" t="n"/>
      <c r="AR146" s="381" t="n"/>
    </row>
    <row r="147" ht="15.75" customHeight="1" s="375">
      <c r="A147" s="381" t="n"/>
      <c r="B147" s="381" t="n"/>
      <c r="C147" s="381" t="n"/>
      <c r="D147" s="381" t="n"/>
      <c r="E147" s="381" t="n"/>
      <c r="F147" s="381" t="n"/>
      <c r="G147" s="381" t="n"/>
      <c r="H147" s="381" t="n"/>
      <c r="I147" s="381" t="n"/>
      <c r="J147" s="381" t="n"/>
      <c r="K147" s="381" t="n"/>
      <c r="L147" s="381" t="n"/>
      <c r="M147" s="381" t="n"/>
      <c r="N147" s="381" t="n"/>
      <c r="O147" s="381" t="n"/>
      <c r="P147" s="381" t="n"/>
      <c r="Q147" s="381" t="n"/>
      <c r="R147" s="381" t="n"/>
      <c r="S147" s="381" t="n"/>
      <c r="T147" s="544" t="n"/>
      <c r="U147" s="381" t="n"/>
      <c r="V147" s="381" t="n"/>
      <c r="W147" s="381" t="n"/>
      <c r="X147" s="381" t="n"/>
      <c r="Y147" s="381" t="n"/>
      <c r="Z147" s="381" t="n"/>
      <c r="AA147" s="381" t="n"/>
      <c r="AB147" s="381" t="n"/>
      <c r="AC147" s="381" t="n"/>
      <c r="AD147" s="381" t="n"/>
      <c r="AE147" s="381" t="n"/>
      <c r="AF147" s="381" t="n"/>
      <c r="AG147" s="381" t="n"/>
      <c r="AH147" s="381" t="n"/>
      <c r="AI147" s="381" t="n"/>
      <c r="AJ147" s="381" t="n"/>
      <c r="AK147" s="381" t="n"/>
      <c r="AL147" s="381" t="n"/>
      <c r="AM147" s="381" t="n"/>
      <c r="AN147" s="381" t="n"/>
      <c r="AO147" s="381" t="n"/>
      <c r="AP147" s="381" t="n"/>
      <c r="AQ147" s="381" t="n"/>
      <c r="AR147" s="381" t="n"/>
    </row>
    <row r="148" ht="15.75" customHeight="1" s="375">
      <c r="A148" s="381" t="n"/>
      <c r="B148" s="381" t="n"/>
      <c r="C148" s="381" t="n"/>
      <c r="D148" s="381" t="n"/>
      <c r="E148" s="381" t="n"/>
      <c r="F148" s="381" t="n"/>
      <c r="G148" s="381" t="n"/>
      <c r="H148" s="381" t="n"/>
      <c r="I148" s="381" t="n"/>
      <c r="J148" s="381" t="n"/>
      <c r="K148" s="381" t="n"/>
      <c r="L148" s="381" t="n"/>
      <c r="M148" s="381" t="n"/>
      <c r="N148" s="381" t="n"/>
      <c r="O148" s="381" t="n"/>
      <c r="P148" s="381" t="n"/>
      <c r="Q148" s="381" t="n"/>
      <c r="R148" s="381" t="n"/>
      <c r="S148" s="381" t="n"/>
      <c r="T148" s="544" t="n"/>
      <c r="U148" s="381" t="n"/>
      <c r="V148" s="381" t="n"/>
      <c r="W148" s="381" t="n"/>
      <c r="X148" s="381" t="n"/>
      <c r="Y148" s="381" t="n"/>
      <c r="Z148" s="381" t="n"/>
      <c r="AA148" s="381" t="n"/>
      <c r="AB148" s="381" t="n"/>
      <c r="AC148" s="381" t="n"/>
      <c r="AD148" s="381" t="n"/>
      <c r="AE148" s="381" t="n"/>
      <c r="AF148" s="381" t="n"/>
      <c r="AG148" s="381" t="n"/>
      <c r="AH148" s="381" t="n"/>
      <c r="AI148" s="381" t="n"/>
      <c r="AJ148" s="381" t="n"/>
      <c r="AK148" s="381" t="n"/>
      <c r="AL148" s="381" t="n"/>
      <c r="AM148" s="381" t="n"/>
      <c r="AN148" s="381" t="n"/>
      <c r="AO148" s="381" t="n"/>
      <c r="AP148" s="381" t="n"/>
      <c r="AQ148" s="381" t="n"/>
      <c r="AR148" s="381" t="n"/>
    </row>
    <row r="149" ht="15.75" customHeight="1" s="375">
      <c r="A149" s="381" t="n"/>
      <c r="B149" s="381" t="n"/>
      <c r="C149" s="381" t="n"/>
      <c r="D149" s="381" t="n"/>
      <c r="E149" s="381" t="n"/>
      <c r="F149" s="381" t="n"/>
      <c r="G149" s="381" t="n"/>
      <c r="H149" s="381" t="n"/>
      <c r="I149" s="381" t="n"/>
      <c r="J149" s="381" t="n"/>
      <c r="K149" s="381" t="n"/>
      <c r="L149" s="381" t="n"/>
      <c r="M149" s="381" t="n"/>
      <c r="N149" s="381" t="n"/>
      <c r="O149" s="381" t="n"/>
      <c r="P149" s="381" t="n"/>
      <c r="Q149" s="381" t="n"/>
      <c r="R149" s="381" t="n"/>
      <c r="S149" s="381" t="n"/>
      <c r="T149" s="544" t="n"/>
      <c r="U149" s="381" t="n"/>
      <c r="V149" s="381" t="n"/>
      <c r="W149" s="381" t="n"/>
      <c r="X149" s="381" t="n"/>
      <c r="Y149" s="381" t="n"/>
      <c r="Z149" s="381" t="n"/>
      <c r="AA149" s="381" t="n"/>
      <c r="AB149" s="381" t="n"/>
      <c r="AC149" s="381" t="n"/>
      <c r="AD149" s="381" t="n"/>
      <c r="AE149" s="381" t="n"/>
      <c r="AF149" s="381" t="n"/>
      <c r="AG149" s="381" t="n"/>
      <c r="AH149" s="381" t="n"/>
      <c r="AI149" s="381" t="n"/>
      <c r="AJ149" s="381" t="n"/>
      <c r="AK149" s="381" t="n"/>
      <c r="AL149" s="381" t="n"/>
      <c r="AM149" s="381" t="n"/>
      <c r="AN149" s="381" t="n"/>
      <c r="AO149" s="381" t="n"/>
      <c r="AP149" s="381" t="n"/>
      <c r="AQ149" s="381" t="n"/>
      <c r="AR149" s="381" t="n"/>
    </row>
    <row r="150" ht="15.75" customHeight="1" s="375">
      <c r="A150" s="381" t="n"/>
      <c r="B150" s="381" t="n"/>
      <c r="C150" s="381" t="n"/>
      <c r="D150" s="381" t="n"/>
      <c r="E150" s="381" t="n"/>
      <c r="F150" s="381" t="n"/>
      <c r="G150" s="381" t="n"/>
      <c r="H150" s="381" t="n"/>
      <c r="I150" s="381" t="n"/>
      <c r="J150" s="381" t="n"/>
      <c r="K150" s="381" t="n"/>
      <c r="L150" s="381" t="n"/>
      <c r="M150" s="381" t="n"/>
      <c r="N150" s="381" t="n"/>
      <c r="O150" s="381" t="n"/>
      <c r="P150" s="381" t="n"/>
      <c r="Q150" s="381" t="n"/>
      <c r="R150" s="381" t="n"/>
      <c r="S150" s="381" t="n"/>
      <c r="T150" s="544" t="n"/>
      <c r="U150" s="381" t="n"/>
      <c r="V150" s="381" t="n"/>
      <c r="W150" s="381" t="n"/>
      <c r="X150" s="381" t="n"/>
      <c r="Y150" s="381" t="n"/>
      <c r="Z150" s="381" t="n"/>
      <c r="AA150" s="381" t="n"/>
      <c r="AB150" s="381" t="n"/>
      <c r="AC150" s="381" t="n"/>
      <c r="AD150" s="381" t="n"/>
      <c r="AE150" s="381" t="n"/>
      <c r="AF150" s="381" t="n"/>
      <c r="AG150" s="381" t="n"/>
      <c r="AH150" s="381" t="n"/>
      <c r="AI150" s="381" t="n"/>
      <c r="AJ150" s="381" t="n"/>
      <c r="AK150" s="381" t="n"/>
      <c r="AL150" s="381" t="n"/>
      <c r="AM150" s="381" t="n"/>
      <c r="AN150" s="381" t="n"/>
      <c r="AO150" s="381" t="n"/>
      <c r="AP150" s="381" t="n"/>
      <c r="AQ150" s="381" t="n"/>
      <c r="AR150" s="381" t="n"/>
    </row>
    <row r="151" ht="15.75" customHeight="1" s="375">
      <c r="A151" s="381" t="n"/>
      <c r="B151" s="381" t="n"/>
      <c r="C151" s="381" t="n"/>
      <c r="D151" s="381" t="n"/>
      <c r="E151" s="381" t="n"/>
      <c r="F151" s="381" t="n"/>
      <c r="G151" s="381" t="n"/>
      <c r="H151" s="381" t="n"/>
      <c r="I151" s="381" t="n"/>
      <c r="J151" s="381" t="n"/>
      <c r="K151" s="381" t="n"/>
      <c r="L151" s="381" t="n"/>
      <c r="M151" s="381" t="n"/>
      <c r="N151" s="381" t="n"/>
      <c r="O151" s="381" t="n"/>
      <c r="P151" s="381" t="n"/>
      <c r="Q151" s="381" t="n"/>
      <c r="R151" s="381" t="n"/>
      <c r="S151" s="381" t="n"/>
      <c r="T151" s="544" t="n"/>
      <c r="U151" s="381" t="n"/>
      <c r="V151" s="381" t="n"/>
      <c r="W151" s="381" t="n"/>
      <c r="X151" s="381" t="n"/>
      <c r="Y151" s="381" t="n"/>
      <c r="Z151" s="381" t="n"/>
      <c r="AA151" s="381" t="n"/>
      <c r="AB151" s="381" t="n"/>
      <c r="AC151" s="381" t="n"/>
      <c r="AD151" s="381" t="n"/>
      <c r="AE151" s="381" t="n"/>
      <c r="AF151" s="381" t="n"/>
      <c r="AG151" s="381" t="n"/>
      <c r="AH151" s="381" t="n"/>
      <c r="AI151" s="381" t="n"/>
      <c r="AJ151" s="381" t="n"/>
      <c r="AK151" s="381" t="n"/>
      <c r="AL151" s="381" t="n"/>
      <c r="AM151" s="381" t="n"/>
      <c r="AN151" s="381" t="n"/>
      <c r="AO151" s="381" t="n"/>
      <c r="AP151" s="381" t="n"/>
      <c r="AQ151" s="381" t="n"/>
      <c r="AR151" s="381" t="n"/>
    </row>
    <row r="152" ht="15.75" customHeight="1" s="375">
      <c r="A152" s="381" t="n"/>
      <c r="B152" s="381" t="n"/>
      <c r="C152" s="381" t="n"/>
      <c r="D152" s="381" t="n"/>
      <c r="E152" s="381" t="n"/>
      <c r="F152" s="381" t="n"/>
      <c r="G152" s="381" t="n"/>
      <c r="H152" s="381" t="n"/>
      <c r="I152" s="381" t="n"/>
      <c r="J152" s="381" t="n"/>
      <c r="K152" s="381" t="n"/>
      <c r="L152" s="381" t="n"/>
      <c r="M152" s="381" t="n"/>
      <c r="N152" s="381" t="n"/>
      <c r="O152" s="381" t="n"/>
      <c r="P152" s="381" t="n"/>
      <c r="Q152" s="381" t="n"/>
      <c r="R152" s="381" t="n"/>
      <c r="S152" s="381" t="n"/>
      <c r="T152" s="544" t="n"/>
      <c r="U152" s="381" t="n"/>
      <c r="V152" s="381" t="n"/>
      <c r="W152" s="381" t="n"/>
      <c r="X152" s="381" t="n"/>
      <c r="Y152" s="381" t="n"/>
      <c r="Z152" s="381" t="n"/>
      <c r="AA152" s="381" t="n"/>
      <c r="AB152" s="381" t="n"/>
      <c r="AC152" s="381" t="n"/>
      <c r="AD152" s="381" t="n"/>
      <c r="AE152" s="381" t="n"/>
      <c r="AF152" s="381" t="n"/>
      <c r="AG152" s="381" t="n"/>
      <c r="AH152" s="381" t="n"/>
      <c r="AI152" s="381" t="n"/>
      <c r="AJ152" s="381" t="n"/>
      <c r="AK152" s="381" t="n"/>
      <c r="AL152" s="381" t="n"/>
      <c r="AM152" s="381" t="n"/>
      <c r="AN152" s="381" t="n"/>
      <c r="AO152" s="381" t="n"/>
      <c r="AP152" s="381" t="n"/>
      <c r="AQ152" s="381" t="n"/>
      <c r="AR152" s="381" t="n"/>
    </row>
    <row r="153" ht="15.75" customHeight="1" s="375">
      <c r="A153" s="381" t="n"/>
      <c r="B153" s="381" t="n"/>
      <c r="C153" s="381" t="n"/>
      <c r="D153" s="381" t="n"/>
      <c r="E153" s="381" t="n"/>
      <c r="F153" s="381" t="n"/>
      <c r="G153" s="381" t="n"/>
      <c r="H153" s="381" t="n"/>
      <c r="I153" s="381" t="n"/>
      <c r="J153" s="381" t="n"/>
      <c r="K153" s="381" t="n"/>
      <c r="L153" s="381" t="n"/>
      <c r="M153" s="381" t="n"/>
      <c r="N153" s="381" t="n"/>
      <c r="O153" s="381" t="n"/>
      <c r="P153" s="381" t="n"/>
      <c r="Q153" s="381" t="n"/>
      <c r="R153" s="381" t="n"/>
      <c r="S153" s="381" t="n"/>
      <c r="T153" s="544" t="n"/>
      <c r="U153" s="381" t="n"/>
      <c r="V153" s="381" t="n"/>
      <c r="W153" s="381" t="n"/>
      <c r="X153" s="381" t="n"/>
      <c r="Y153" s="381" t="n"/>
      <c r="Z153" s="381" t="n"/>
      <c r="AA153" s="381" t="n"/>
      <c r="AB153" s="381" t="n"/>
      <c r="AC153" s="381" t="n"/>
      <c r="AD153" s="381" t="n"/>
      <c r="AE153" s="381" t="n"/>
      <c r="AF153" s="381" t="n"/>
      <c r="AG153" s="381" t="n"/>
      <c r="AH153" s="381" t="n"/>
      <c r="AI153" s="381" t="n"/>
      <c r="AJ153" s="381" t="n"/>
      <c r="AK153" s="381" t="n"/>
      <c r="AL153" s="381" t="n"/>
      <c r="AM153" s="381" t="n"/>
      <c r="AN153" s="381" t="n"/>
      <c r="AO153" s="381" t="n"/>
      <c r="AP153" s="381" t="n"/>
      <c r="AQ153" s="381" t="n"/>
      <c r="AR153" s="381" t="n"/>
    </row>
    <row r="154" ht="15.75" customHeight="1" s="375">
      <c r="A154" s="381" t="n"/>
      <c r="B154" s="381" t="n"/>
      <c r="C154" s="381" t="n"/>
      <c r="D154" s="381" t="n"/>
      <c r="E154" s="381" t="n"/>
      <c r="F154" s="381" t="n"/>
      <c r="G154" s="381" t="n"/>
      <c r="H154" s="381" t="n"/>
      <c r="I154" s="381" t="n"/>
      <c r="J154" s="381" t="n"/>
      <c r="K154" s="381" t="n"/>
      <c r="L154" s="381" t="n"/>
      <c r="M154" s="381" t="n"/>
      <c r="N154" s="381" t="n"/>
      <c r="O154" s="381" t="n"/>
      <c r="P154" s="381" t="n"/>
      <c r="Q154" s="381" t="n"/>
      <c r="R154" s="381" t="n"/>
      <c r="S154" s="381" t="n"/>
      <c r="T154" s="544" t="n"/>
      <c r="U154" s="381" t="n"/>
      <c r="V154" s="381" t="n"/>
      <c r="W154" s="381" t="n"/>
      <c r="X154" s="381" t="n"/>
      <c r="Y154" s="381" t="n"/>
      <c r="Z154" s="381" t="n"/>
      <c r="AA154" s="381" t="n"/>
      <c r="AB154" s="381" t="n"/>
      <c r="AC154" s="381" t="n"/>
      <c r="AD154" s="381" t="n"/>
      <c r="AE154" s="381" t="n"/>
      <c r="AF154" s="381" t="n"/>
      <c r="AG154" s="381" t="n"/>
      <c r="AH154" s="381" t="n"/>
      <c r="AI154" s="381" t="n"/>
      <c r="AJ154" s="381" t="n"/>
      <c r="AK154" s="381" t="n"/>
      <c r="AL154" s="381" t="n"/>
      <c r="AM154" s="381" t="n"/>
      <c r="AN154" s="381" t="n"/>
      <c r="AO154" s="381" t="n"/>
      <c r="AP154" s="381" t="n"/>
      <c r="AQ154" s="381" t="n"/>
      <c r="AR154" s="381" t="n"/>
    </row>
    <row r="155" ht="15.75" customHeight="1" s="375">
      <c r="A155" s="381" t="n"/>
      <c r="B155" s="381" t="n"/>
      <c r="C155" s="381" t="n"/>
      <c r="D155" s="381" t="n"/>
      <c r="E155" s="381" t="n"/>
      <c r="F155" s="381" t="n"/>
      <c r="G155" s="381" t="n"/>
      <c r="H155" s="381" t="n"/>
      <c r="I155" s="381" t="n"/>
      <c r="J155" s="381" t="n"/>
      <c r="K155" s="381" t="n"/>
      <c r="L155" s="381" t="n"/>
      <c r="M155" s="381" t="n"/>
      <c r="N155" s="381" t="n"/>
      <c r="O155" s="381" t="n"/>
      <c r="P155" s="381" t="n"/>
      <c r="Q155" s="381" t="n"/>
      <c r="R155" s="381" t="n"/>
      <c r="S155" s="381" t="n"/>
      <c r="T155" s="544" t="n"/>
      <c r="U155" s="381" t="n"/>
      <c r="V155" s="381" t="n"/>
      <c r="W155" s="381" t="n"/>
      <c r="X155" s="381" t="n"/>
      <c r="Y155" s="381" t="n"/>
      <c r="Z155" s="381" t="n"/>
      <c r="AA155" s="381" t="n"/>
      <c r="AB155" s="381" t="n"/>
      <c r="AC155" s="381" t="n"/>
      <c r="AD155" s="381" t="n"/>
      <c r="AE155" s="381" t="n"/>
      <c r="AF155" s="381" t="n"/>
      <c r="AG155" s="381" t="n"/>
      <c r="AH155" s="381" t="n"/>
      <c r="AI155" s="381" t="n"/>
      <c r="AJ155" s="381" t="n"/>
      <c r="AK155" s="381" t="n"/>
      <c r="AL155" s="381" t="n"/>
      <c r="AM155" s="381" t="n"/>
      <c r="AN155" s="381" t="n"/>
      <c r="AO155" s="381" t="n"/>
      <c r="AP155" s="381" t="n"/>
      <c r="AQ155" s="381" t="n"/>
      <c r="AR155" s="381" t="n"/>
    </row>
    <row r="156" ht="15.75" customHeight="1" s="375">
      <c r="A156" s="381" t="n"/>
      <c r="B156" s="381" t="n"/>
      <c r="C156" s="381" t="n"/>
      <c r="D156" s="381" t="n"/>
      <c r="E156" s="381" t="n"/>
      <c r="F156" s="381" t="n"/>
      <c r="G156" s="381" t="n"/>
      <c r="H156" s="381" t="n"/>
      <c r="I156" s="381" t="n"/>
      <c r="J156" s="381" t="n"/>
      <c r="K156" s="381" t="n"/>
      <c r="L156" s="381" t="n"/>
      <c r="M156" s="381" t="n"/>
      <c r="N156" s="381" t="n"/>
      <c r="O156" s="381" t="n"/>
      <c r="P156" s="381" t="n"/>
      <c r="Q156" s="381" t="n"/>
      <c r="R156" s="381" t="n"/>
      <c r="S156" s="381" t="n"/>
      <c r="T156" s="544" t="n"/>
      <c r="U156" s="381" t="n"/>
      <c r="V156" s="381" t="n"/>
      <c r="W156" s="381" t="n"/>
      <c r="X156" s="381" t="n"/>
      <c r="Y156" s="381" t="n"/>
      <c r="Z156" s="381" t="n"/>
      <c r="AA156" s="381" t="n"/>
      <c r="AB156" s="381" t="n"/>
      <c r="AC156" s="381" t="n"/>
      <c r="AD156" s="381" t="n"/>
      <c r="AE156" s="381" t="n"/>
      <c r="AF156" s="381" t="n"/>
      <c r="AG156" s="381" t="n"/>
      <c r="AH156" s="381" t="n"/>
      <c r="AI156" s="381" t="n"/>
      <c r="AJ156" s="381" t="n"/>
      <c r="AK156" s="381" t="n"/>
      <c r="AL156" s="381" t="n"/>
      <c r="AM156" s="381" t="n"/>
      <c r="AN156" s="381" t="n"/>
      <c r="AO156" s="381" t="n"/>
      <c r="AP156" s="381" t="n"/>
      <c r="AQ156" s="381" t="n"/>
      <c r="AR156" s="381" t="n"/>
    </row>
    <row r="157" ht="15.75" customHeight="1" s="375">
      <c r="A157" s="381" t="n"/>
      <c r="B157" s="381" t="n"/>
      <c r="C157" s="381" t="n"/>
      <c r="D157" s="381" t="n"/>
      <c r="E157" s="381" t="n"/>
      <c r="F157" s="381" t="n"/>
      <c r="G157" s="381" t="n"/>
      <c r="H157" s="381" t="n"/>
      <c r="I157" s="381" t="n"/>
      <c r="J157" s="381" t="n"/>
      <c r="K157" s="381" t="n"/>
      <c r="L157" s="381" t="n"/>
      <c r="M157" s="381" t="n"/>
      <c r="N157" s="381" t="n"/>
      <c r="O157" s="381" t="n"/>
      <c r="P157" s="381" t="n"/>
      <c r="Q157" s="381" t="n"/>
      <c r="R157" s="381" t="n"/>
      <c r="S157" s="381" t="n"/>
      <c r="T157" s="544" t="n"/>
      <c r="U157" s="381" t="n"/>
      <c r="V157" s="381" t="n"/>
      <c r="W157" s="381" t="n"/>
      <c r="X157" s="381" t="n"/>
      <c r="Y157" s="381" t="n"/>
      <c r="Z157" s="381" t="n"/>
      <c r="AA157" s="381" t="n"/>
      <c r="AB157" s="381" t="n"/>
      <c r="AC157" s="381" t="n"/>
      <c r="AD157" s="381" t="n"/>
      <c r="AE157" s="381" t="n"/>
      <c r="AF157" s="381" t="n"/>
      <c r="AG157" s="381" t="n"/>
      <c r="AH157" s="381" t="n"/>
      <c r="AI157" s="381" t="n"/>
      <c r="AJ157" s="381" t="n"/>
      <c r="AK157" s="381" t="n"/>
      <c r="AL157" s="381" t="n"/>
      <c r="AM157" s="381" t="n"/>
      <c r="AN157" s="381" t="n"/>
      <c r="AO157" s="381" t="n"/>
      <c r="AP157" s="381" t="n"/>
      <c r="AQ157" s="381" t="n"/>
      <c r="AR157" s="381" t="n"/>
    </row>
    <row r="158" ht="15.75" customHeight="1" s="375">
      <c r="A158" s="381" t="n"/>
      <c r="B158" s="381" t="n"/>
      <c r="C158" s="381" t="n"/>
      <c r="D158" s="381" t="n"/>
      <c r="E158" s="381" t="n"/>
      <c r="F158" s="381" t="n"/>
      <c r="G158" s="381" t="n"/>
      <c r="H158" s="381" t="n"/>
      <c r="I158" s="381" t="n"/>
      <c r="J158" s="381" t="n"/>
      <c r="K158" s="381" t="n"/>
      <c r="L158" s="381" t="n"/>
      <c r="M158" s="381" t="n"/>
      <c r="N158" s="381" t="n"/>
      <c r="O158" s="381" t="n"/>
      <c r="P158" s="381" t="n"/>
      <c r="Q158" s="381" t="n"/>
      <c r="R158" s="381" t="n"/>
      <c r="S158" s="381" t="n"/>
      <c r="T158" s="544" t="n"/>
      <c r="U158" s="381" t="n"/>
      <c r="V158" s="381" t="n"/>
      <c r="W158" s="381" t="n"/>
      <c r="X158" s="381" t="n"/>
      <c r="Y158" s="381" t="n"/>
      <c r="Z158" s="381" t="n"/>
      <c r="AA158" s="381" t="n"/>
      <c r="AB158" s="381" t="n"/>
      <c r="AC158" s="381" t="n"/>
      <c r="AD158" s="381" t="n"/>
      <c r="AE158" s="381" t="n"/>
      <c r="AF158" s="381" t="n"/>
      <c r="AG158" s="381" t="n"/>
      <c r="AH158" s="381" t="n"/>
      <c r="AI158" s="381" t="n"/>
      <c r="AJ158" s="381" t="n"/>
      <c r="AK158" s="381" t="n"/>
      <c r="AL158" s="381" t="n"/>
      <c r="AM158" s="381" t="n"/>
      <c r="AN158" s="381" t="n"/>
      <c r="AO158" s="381" t="n"/>
      <c r="AP158" s="381" t="n"/>
      <c r="AQ158" s="381" t="n"/>
      <c r="AR158" s="381" t="n"/>
    </row>
    <row r="159" ht="15.75" customHeight="1" s="375">
      <c r="A159" s="381" t="n"/>
      <c r="B159" s="381" t="n"/>
      <c r="C159" s="381" t="n"/>
      <c r="D159" s="381" t="n"/>
      <c r="E159" s="381" t="n"/>
      <c r="F159" s="381" t="n"/>
      <c r="G159" s="381" t="n"/>
      <c r="H159" s="381" t="n"/>
      <c r="I159" s="381" t="n"/>
      <c r="J159" s="381" t="n"/>
      <c r="K159" s="381" t="n"/>
      <c r="L159" s="381" t="n"/>
      <c r="M159" s="381" t="n"/>
      <c r="N159" s="381" t="n"/>
      <c r="O159" s="381" t="n"/>
      <c r="P159" s="381" t="n"/>
      <c r="Q159" s="381" t="n"/>
      <c r="R159" s="381" t="n"/>
      <c r="S159" s="381" t="n"/>
      <c r="T159" s="544" t="n"/>
      <c r="U159" s="381" t="n"/>
      <c r="V159" s="381" t="n"/>
      <c r="W159" s="381" t="n"/>
      <c r="X159" s="381" t="n"/>
      <c r="Y159" s="381" t="n"/>
      <c r="Z159" s="381" t="n"/>
      <c r="AA159" s="381" t="n"/>
      <c r="AB159" s="381" t="n"/>
      <c r="AC159" s="381" t="n"/>
      <c r="AD159" s="381" t="n"/>
      <c r="AE159" s="381" t="n"/>
      <c r="AF159" s="381" t="n"/>
      <c r="AG159" s="381" t="n"/>
      <c r="AH159" s="381" t="n"/>
      <c r="AI159" s="381" t="n"/>
      <c r="AJ159" s="381" t="n"/>
      <c r="AK159" s="381" t="n"/>
      <c r="AL159" s="381" t="n"/>
      <c r="AM159" s="381" t="n"/>
      <c r="AN159" s="381" t="n"/>
      <c r="AO159" s="381" t="n"/>
      <c r="AP159" s="381" t="n"/>
      <c r="AQ159" s="381" t="n"/>
      <c r="AR159" s="381" t="n"/>
    </row>
    <row r="160" ht="15.75" customHeight="1" s="375">
      <c r="A160" s="381" t="n"/>
      <c r="B160" s="381" t="n"/>
      <c r="C160" s="381" t="n"/>
      <c r="D160" s="381" t="n"/>
      <c r="E160" s="381" t="n"/>
      <c r="F160" s="381" t="n"/>
      <c r="G160" s="381" t="n"/>
      <c r="H160" s="381" t="n"/>
      <c r="I160" s="381" t="n"/>
      <c r="J160" s="381" t="n"/>
      <c r="K160" s="381" t="n"/>
      <c r="L160" s="381" t="n"/>
      <c r="M160" s="381" t="n"/>
      <c r="N160" s="381" t="n"/>
      <c r="O160" s="381" t="n"/>
      <c r="P160" s="381" t="n"/>
      <c r="Q160" s="381" t="n"/>
      <c r="R160" s="381" t="n"/>
      <c r="S160" s="381" t="n"/>
      <c r="T160" s="544" t="n"/>
      <c r="U160" s="381" t="n"/>
      <c r="V160" s="381" t="n"/>
      <c r="W160" s="381" t="n"/>
      <c r="X160" s="381" t="n"/>
      <c r="Y160" s="381" t="n"/>
      <c r="Z160" s="381" t="n"/>
      <c r="AA160" s="381" t="n"/>
      <c r="AB160" s="381" t="n"/>
      <c r="AC160" s="381" t="n"/>
      <c r="AD160" s="381" t="n"/>
      <c r="AE160" s="381" t="n"/>
      <c r="AF160" s="381" t="n"/>
      <c r="AG160" s="381" t="n"/>
      <c r="AH160" s="381" t="n"/>
      <c r="AI160" s="381" t="n"/>
      <c r="AJ160" s="381" t="n"/>
      <c r="AK160" s="381" t="n"/>
      <c r="AL160" s="381" t="n"/>
      <c r="AM160" s="381" t="n"/>
      <c r="AN160" s="381" t="n"/>
      <c r="AO160" s="381" t="n"/>
      <c r="AP160" s="381" t="n"/>
      <c r="AQ160" s="381" t="n"/>
      <c r="AR160" s="381" t="n"/>
    </row>
    <row r="161" ht="15.75" customHeight="1" s="375">
      <c r="A161" s="381" t="n"/>
      <c r="B161" s="381" t="n"/>
      <c r="C161" s="381" t="n"/>
      <c r="D161" s="381" t="n"/>
      <c r="E161" s="381" t="n"/>
      <c r="F161" s="381" t="n"/>
      <c r="G161" s="381" t="n"/>
      <c r="H161" s="381" t="n"/>
      <c r="I161" s="381" t="n"/>
      <c r="J161" s="381" t="n"/>
      <c r="K161" s="381" t="n"/>
      <c r="L161" s="381" t="n"/>
      <c r="M161" s="381" t="n"/>
      <c r="N161" s="381" t="n"/>
      <c r="O161" s="381" t="n"/>
      <c r="P161" s="381" t="n"/>
      <c r="Q161" s="381" t="n"/>
      <c r="R161" s="381" t="n"/>
      <c r="S161" s="381" t="n"/>
      <c r="T161" s="544" t="n"/>
      <c r="U161" s="381" t="n"/>
      <c r="V161" s="381" t="n"/>
      <c r="W161" s="381" t="n"/>
      <c r="X161" s="381" t="n"/>
      <c r="Y161" s="381" t="n"/>
      <c r="Z161" s="381" t="n"/>
      <c r="AA161" s="381" t="n"/>
      <c r="AB161" s="381" t="n"/>
      <c r="AC161" s="381" t="n"/>
      <c r="AD161" s="381" t="n"/>
      <c r="AE161" s="381" t="n"/>
      <c r="AF161" s="381" t="n"/>
      <c r="AG161" s="381" t="n"/>
      <c r="AH161" s="381" t="n"/>
      <c r="AI161" s="381" t="n"/>
      <c r="AJ161" s="381" t="n"/>
      <c r="AK161" s="381" t="n"/>
      <c r="AL161" s="381" t="n"/>
      <c r="AM161" s="381" t="n"/>
      <c r="AN161" s="381" t="n"/>
      <c r="AO161" s="381" t="n"/>
      <c r="AP161" s="381" t="n"/>
      <c r="AQ161" s="381" t="n"/>
      <c r="AR161" s="381" t="n"/>
    </row>
    <row r="162" ht="15.75" customHeight="1" s="375">
      <c r="A162" s="381" t="n"/>
      <c r="B162" s="381" t="n"/>
      <c r="C162" s="381" t="n"/>
      <c r="D162" s="381" t="n"/>
      <c r="E162" s="381" t="n"/>
      <c r="F162" s="381" t="n"/>
      <c r="G162" s="381" t="n"/>
      <c r="H162" s="381" t="n"/>
      <c r="I162" s="381" t="n"/>
      <c r="J162" s="381" t="n"/>
      <c r="K162" s="381" t="n"/>
      <c r="L162" s="381" t="n"/>
      <c r="M162" s="381" t="n"/>
      <c r="N162" s="381" t="n"/>
      <c r="O162" s="381" t="n"/>
      <c r="P162" s="381" t="n"/>
      <c r="Q162" s="381" t="n"/>
      <c r="R162" s="381" t="n"/>
      <c r="S162" s="381" t="n"/>
      <c r="T162" s="544" t="n"/>
      <c r="U162" s="381" t="n"/>
      <c r="V162" s="381" t="n"/>
      <c r="W162" s="381" t="n"/>
      <c r="X162" s="381" t="n"/>
      <c r="Y162" s="381" t="n"/>
      <c r="Z162" s="381" t="n"/>
      <c r="AA162" s="381" t="n"/>
      <c r="AB162" s="381" t="n"/>
      <c r="AC162" s="381" t="n"/>
      <c r="AD162" s="381" t="n"/>
      <c r="AE162" s="381" t="n"/>
      <c r="AF162" s="381" t="n"/>
      <c r="AG162" s="381" t="n"/>
      <c r="AH162" s="381" t="n"/>
      <c r="AI162" s="381" t="n"/>
      <c r="AJ162" s="381" t="n"/>
      <c r="AK162" s="381" t="n"/>
      <c r="AL162" s="381" t="n"/>
      <c r="AM162" s="381" t="n"/>
      <c r="AN162" s="381" t="n"/>
      <c r="AO162" s="381" t="n"/>
      <c r="AP162" s="381" t="n"/>
      <c r="AQ162" s="381" t="n"/>
      <c r="AR162" s="381" t="n"/>
    </row>
    <row r="163" ht="15.75" customHeight="1" s="375">
      <c r="A163" s="381" t="n"/>
      <c r="B163" s="381" t="n"/>
      <c r="C163" s="381" t="n"/>
      <c r="D163" s="381" t="n"/>
      <c r="E163" s="381" t="n"/>
      <c r="F163" s="381" t="n"/>
      <c r="G163" s="381" t="n"/>
      <c r="H163" s="381" t="n"/>
      <c r="I163" s="381" t="n"/>
      <c r="J163" s="381" t="n"/>
      <c r="K163" s="381" t="n"/>
      <c r="L163" s="381" t="n"/>
      <c r="M163" s="381" t="n"/>
      <c r="N163" s="381" t="n"/>
      <c r="O163" s="381" t="n"/>
      <c r="P163" s="381" t="n"/>
      <c r="Q163" s="381" t="n"/>
      <c r="R163" s="381" t="n"/>
      <c r="S163" s="381" t="n"/>
      <c r="T163" s="544" t="n"/>
      <c r="U163" s="381" t="n"/>
      <c r="V163" s="381" t="n"/>
      <c r="W163" s="381" t="n"/>
      <c r="X163" s="381" t="n"/>
      <c r="Y163" s="381" t="n"/>
      <c r="Z163" s="381" t="n"/>
      <c r="AA163" s="381" t="n"/>
      <c r="AB163" s="381" t="n"/>
      <c r="AC163" s="381" t="n"/>
      <c r="AD163" s="381" t="n"/>
      <c r="AE163" s="381" t="n"/>
      <c r="AF163" s="381" t="n"/>
      <c r="AG163" s="381" t="n"/>
      <c r="AH163" s="381" t="n"/>
      <c r="AI163" s="381" t="n"/>
      <c r="AJ163" s="381" t="n"/>
      <c r="AK163" s="381" t="n"/>
      <c r="AL163" s="381" t="n"/>
      <c r="AM163" s="381" t="n"/>
      <c r="AN163" s="381" t="n"/>
      <c r="AO163" s="381" t="n"/>
      <c r="AP163" s="381" t="n"/>
      <c r="AQ163" s="381" t="n"/>
      <c r="AR163" s="381" t="n"/>
    </row>
    <row r="164" ht="15.75" customHeight="1" s="375">
      <c r="A164" s="381" t="n"/>
      <c r="B164" s="381" t="n"/>
      <c r="C164" s="381" t="n"/>
      <c r="D164" s="381" t="n"/>
      <c r="E164" s="381" t="n"/>
      <c r="F164" s="381" t="n"/>
      <c r="G164" s="381" t="n"/>
      <c r="H164" s="381" t="n"/>
      <c r="I164" s="381" t="n"/>
      <c r="J164" s="381" t="n"/>
      <c r="K164" s="381" t="n"/>
      <c r="L164" s="381" t="n"/>
      <c r="M164" s="381" t="n"/>
      <c r="N164" s="381" t="n"/>
      <c r="O164" s="381" t="n"/>
      <c r="P164" s="381" t="n"/>
      <c r="Q164" s="381" t="n"/>
      <c r="R164" s="381" t="n"/>
      <c r="S164" s="381" t="n"/>
      <c r="T164" s="544" t="n"/>
      <c r="U164" s="381" t="n"/>
      <c r="V164" s="381" t="n"/>
      <c r="W164" s="381" t="n"/>
      <c r="X164" s="381" t="n"/>
      <c r="Y164" s="381" t="n"/>
      <c r="Z164" s="381" t="n"/>
      <c r="AA164" s="381" t="n"/>
      <c r="AB164" s="381" t="n"/>
      <c r="AC164" s="381" t="n"/>
      <c r="AD164" s="381" t="n"/>
      <c r="AE164" s="381" t="n"/>
      <c r="AF164" s="381" t="n"/>
      <c r="AG164" s="381" t="n"/>
      <c r="AH164" s="381" t="n"/>
      <c r="AI164" s="381" t="n"/>
      <c r="AJ164" s="381" t="n"/>
      <c r="AK164" s="381" t="n"/>
      <c r="AL164" s="381" t="n"/>
      <c r="AM164" s="381" t="n"/>
      <c r="AN164" s="381" t="n"/>
      <c r="AO164" s="381" t="n"/>
      <c r="AP164" s="381" t="n"/>
      <c r="AQ164" s="381" t="n"/>
      <c r="AR164" s="381" t="n"/>
    </row>
    <row r="165" ht="15.75" customHeight="1" s="375">
      <c r="A165" s="381" t="n"/>
      <c r="B165" s="381" t="n"/>
      <c r="C165" s="381" t="n"/>
      <c r="D165" s="381" t="n"/>
      <c r="E165" s="381" t="n"/>
      <c r="F165" s="381" t="n"/>
      <c r="G165" s="381" t="n"/>
      <c r="H165" s="381" t="n"/>
      <c r="I165" s="381" t="n"/>
      <c r="J165" s="381" t="n"/>
      <c r="K165" s="381" t="n"/>
      <c r="L165" s="381" t="n"/>
      <c r="M165" s="381" t="n"/>
      <c r="N165" s="381" t="n"/>
      <c r="O165" s="381" t="n"/>
      <c r="P165" s="381" t="n"/>
      <c r="Q165" s="381" t="n"/>
      <c r="R165" s="381" t="n"/>
      <c r="S165" s="381" t="n"/>
      <c r="T165" s="544" t="n"/>
      <c r="U165" s="381" t="n"/>
      <c r="V165" s="381" t="n"/>
      <c r="W165" s="381" t="n"/>
      <c r="X165" s="381" t="n"/>
      <c r="Y165" s="381" t="n"/>
      <c r="Z165" s="381" t="n"/>
      <c r="AA165" s="381" t="n"/>
      <c r="AB165" s="381" t="n"/>
      <c r="AC165" s="381" t="n"/>
      <c r="AD165" s="381" t="n"/>
      <c r="AE165" s="381" t="n"/>
      <c r="AF165" s="381" t="n"/>
      <c r="AG165" s="381" t="n"/>
      <c r="AH165" s="381" t="n"/>
      <c r="AI165" s="381" t="n"/>
      <c r="AJ165" s="381" t="n"/>
      <c r="AK165" s="381" t="n"/>
      <c r="AL165" s="381" t="n"/>
      <c r="AM165" s="381" t="n"/>
      <c r="AN165" s="381" t="n"/>
      <c r="AO165" s="381" t="n"/>
      <c r="AP165" s="381" t="n"/>
      <c r="AQ165" s="381" t="n"/>
      <c r="AR165" s="381" t="n"/>
    </row>
    <row r="166" ht="15.75" customHeight="1" s="375">
      <c r="A166" s="381" t="n"/>
      <c r="B166" s="381" t="n"/>
      <c r="C166" s="381" t="n"/>
      <c r="D166" s="381" t="n"/>
      <c r="E166" s="381" t="n"/>
      <c r="F166" s="381" t="n"/>
      <c r="G166" s="381" t="n"/>
      <c r="H166" s="381" t="n"/>
      <c r="I166" s="381" t="n"/>
      <c r="J166" s="381" t="n"/>
      <c r="K166" s="381" t="n"/>
      <c r="L166" s="381" t="n"/>
      <c r="M166" s="381" t="n"/>
      <c r="N166" s="381" t="n"/>
      <c r="O166" s="381" t="n"/>
      <c r="P166" s="381" t="n"/>
      <c r="Q166" s="381" t="n"/>
      <c r="R166" s="381" t="n"/>
      <c r="S166" s="381" t="n"/>
      <c r="T166" s="544" t="n"/>
      <c r="U166" s="381" t="n"/>
      <c r="V166" s="381" t="n"/>
      <c r="W166" s="381" t="n"/>
      <c r="X166" s="381" t="n"/>
      <c r="Y166" s="381" t="n"/>
      <c r="Z166" s="381" t="n"/>
      <c r="AA166" s="381" t="n"/>
      <c r="AB166" s="381" t="n"/>
      <c r="AC166" s="381" t="n"/>
      <c r="AD166" s="381" t="n"/>
      <c r="AE166" s="381" t="n"/>
      <c r="AF166" s="381" t="n"/>
      <c r="AG166" s="381" t="n"/>
      <c r="AH166" s="381" t="n"/>
      <c r="AI166" s="381" t="n"/>
      <c r="AJ166" s="381" t="n"/>
      <c r="AK166" s="381" t="n"/>
      <c r="AL166" s="381" t="n"/>
      <c r="AM166" s="381" t="n"/>
      <c r="AN166" s="381" t="n"/>
      <c r="AO166" s="381" t="n"/>
      <c r="AP166" s="381" t="n"/>
      <c r="AQ166" s="381" t="n"/>
      <c r="AR166" s="381" t="n"/>
    </row>
    <row r="167" ht="15.75" customHeight="1" s="375">
      <c r="A167" s="381" t="n"/>
      <c r="B167" s="381" t="n"/>
      <c r="C167" s="381" t="n"/>
      <c r="D167" s="381" t="n"/>
      <c r="E167" s="381" t="n"/>
      <c r="F167" s="381" t="n"/>
      <c r="G167" s="381" t="n"/>
      <c r="H167" s="381" t="n"/>
      <c r="I167" s="381" t="n"/>
      <c r="J167" s="381" t="n"/>
      <c r="K167" s="381" t="n"/>
      <c r="L167" s="381" t="n"/>
      <c r="M167" s="381" t="n"/>
      <c r="N167" s="381" t="n"/>
      <c r="O167" s="381" t="n"/>
      <c r="P167" s="381" t="n"/>
      <c r="Q167" s="381" t="n"/>
      <c r="R167" s="381" t="n"/>
      <c r="S167" s="381" t="n"/>
      <c r="T167" s="544" t="n"/>
      <c r="U167" s="381" t="n"/>
      <c r="V167" s="381" t="n"/>
      <c r="W167" s="381" t="n"/>
      <c r="X167" s="381" t="n"/>
      <c r="Y167" s="381" t="n"/>
      <c r="Z167" s="381" t="n"/>
      <c r="AA167" s="381" t="n"/>
      <c r="AB167" s="381" t="n"/>
      <c r="AC167" s="381" t="n"/>
      <c r="AD167" s="381" t="n"/>
      <c r="AE167" s="381" t="n"/>
      <c r="AF167" s="381" t="n"/>
      <c r="AG167" s="381" t="n"/>
      <c r="AH167" s="381" t="n"/>
      <c r="AI167" s="381" t="n"/>
      <c r="AJ167" s="381" t="n"/>
      <c r="AK167" s="381" t="n"/>
      <c r="AL167" s="381" t="n"/>
      <c r="AM167" s="381" t="n"/>
      <c r="AN167" s="381" t="n"/>
      <c r="AO167" s="381" t="n"/>
      <c r="AP167" s="381" t="n"/>
      <c r="AQ167" s="381" t="n"/>
      <c r="AR167" s="381" t="n"/>
    </row>
    <row r="168" ht="15.75" customHeight="1" s="375">
      <c r="A168" s="381" t="n"/>
      <c r="B168" s="381" t="n"/>
      <c r="C168" s="381" t="n"/>
      <c r="D168" s="381" t="n"/>
      <c r="E168" s="381" t="n"/>
      <c r="F168" s="381" t="n"/>
      <c r="G168" s="381" t="n"/>
      <c r="H168" s="381" t="n"/>
      <c r="I168" s="381" t="n"/>
      <c r="J168" s="381" t="n"/>
      <c r="K168" s="381" t="n"/>
      <c r="L168" s="381" t="n"/>
      <c r="M168" s="381" t="n"/>
      <c r="N168" s="381" t="n"/>
      <c r="O168" s="381" t="n"/>
      <c r="P168" s="381" t="n"/>
      <c r="Q168" s="381" t="n"/>
      <c r="R168" s="381" t="n"/>
      <c r="S168" s="381" t="n"/>
      <c r="T168" s="544" t="n"/>
      <c r="U168" s="381" t="n"/>
      <c r="V168" s="381" t="n"/>
      <c r="W168" s="381" t="n"/>
      <c r="X168" s="381" t="n"/>
      <c r="Y168" s="381" t="n"/>
      <c r="Z168" s="381" t="n"/>
      <c r="AA168" s="381" t="n"/>
      <c r="AB168" s="381" t="n"/>
      <c r="AC168" s="381" t="n"/>
      <c r="AD168" s="381" t="n"/>
      <c r="AE168" s="381" t="n"/>
      <c r="AF168" s="381" t="n"/>
      <c r="AG168" s="381" t="n"/>
      <c r="AH168" s="381" t="n"/>
      <c r="AI168" s="381" t="n"/>
      <c r="AJ168" s="381" t="n"/>
      <c r="AK168" s="381" t="n"/>
      <c r="AL168" s="381" t="n"/>
      <c r="AM168" s="381" t="n"/>
      <c r="AN168" s="381" t="n"/>
      <c r="AO168" s="381" t="n"/>
      <c r="AP168" s="381" t="n"/>
      <c r="AQ168" s="381" t="n"/>
      <c r="AR168" s="381" t="n"/>
    </row>
    <row r="169" ht="15.75" customHeight="1" s="375">
      <c r="A169" s="381" t="n"/>
      <c r="B169" s="381" t="n"/>
      <c r="C169" s="381" t="n"/>
      <c r="D169" s="381" t="n"/>
      <c r="E169" s="381" t="n"/>
      <c r="F169" s="381" t="n"/>
      <c r="G169" s="381" t="n"/>
      <c r="H169" s="381" t="n"/>
      <c r="I169" s="381" t="n"/>
      <c r="J169" s="381" t="n"/>
      <c r="K169" s="381" t="n"/>
      <c r="L169" s="381" t="n"/>
      <c r="M169" s="381" t="n"/>
      <c r="N169" s="381" t="n"/>
      <c r="O169" s="381" t="n"/>
      <c r="P169" s="381" t="n"/>
      <c r="Q169" s="381" t="n"/>
      <c r="R169" s="381" t="n"/>
      <c r="S169" s="381" t="n"/>
      <c r="T169" s="544" t="n"/>
      <c r="U169" s="381" t="n"/>
      <c r="V169" s="381" t="n"/>
      <c r="W169" s="381" t="n"/>
      <c r="X169" s="381" t="n"/>
      <c r="Y169" s="381" t="n"/>
      <c r="Z169" s="381" t="n"/>
      <c r="AA169" s="381" t="n"/>
      <c r="AB169" s="381" t="n"/>
      <c r="AC169" s="381" t="n"/>
      <c r="AD169" s="381" t="n"/>
      <c r="AE169" s="381" t="n"/>
      <c r="AF169" s="381" t="n"/>
      <c r="AG169" s="381" t="n"/>
      <c r="AH169" s="381" t="n"/>
      <c r="AI169" s="381" t="n"/>
      <c r="AJ169" s="381" t="n"/>
      <c r="AK169" s="381" t="n"/>
      <c r="AL169" s="381" t="n"/>
      <c r="AM169" s="381" t="n"/>
      <c r="AN169" s="381" t="n"/>
      <c r="AO169" s="381" t="n"/>
      <c r="AP169" s="381" t="n"/>
      <c r="AQ169" s="381" t="n"/>
      <c r="AR169" s="381" t="n"/>
    </row>
    <row r="170" ht="15.75" customHeight="1" s="375">
      <c r="A170" s="381" t="n"/>
      <c r="B170" s="381" t="n"/>
      <c r="C170" s="381" t="n"/>
      <c r="D170" s="381" t="n"/>
      <c r="E170" s="381" t="n"/>
      <c r="F170" s="381" t="n"/>
      <c r="G170" s="381" t="n"/>
      <c r="H170" s="381" t="n"/>
      <c r="I170" s="381" t="n"/>
      <c r="J170" s="381" t="n"/>
      <c r="K170" s="381" t="n"/>
      <c r="L170" s="381" t="n"/>
      <c r="M170" s="381" t="n"/>
      <c r="N170" s="381" t="n"/>
      <c r="O170" s="381" t="n"/>
      <c r="P170" s="381" t="n"/>
      <c r="Q170" s="381" t="n"/>
      <c r="R170" s="381" t="n"/>
      <c r="S170" s="381" t="n"/>
      <c r="T170" s="544" t="n"/>
      <c r="U170" s="381" t="n"/>
      <c r="V170" s="381" t="n"/>
      <c r="W170" s="381" t="n"/>
      <c r="X170" s="381" t="n"/>
      <c r="Y170" s="381" t="n"/>
      <c r="Z170" s="381" t="n"/>
      <c r="AA170" s="381" t="n"/>
      <c r="AB170" s="381" t="n"/>
      <c r="AC170" s="381" t="n"/>
      <c r="AD170" s="381" t="n"/>
      <c r="AE170" s="381" t="n"/>
      <c r="AF170" s="381" t="n"/>
      <c r="AG170" s="381" t="n"/>
      <c r="AH170" s="381" t="n"/>
      <c r="AI170" s="381" t="n"/>
      <c r="AJ170" s="381" t="n"/>
      <c r="AK170" s="381" t="n"/>
      <c r="AL170" s="381" t="n"/>
      <c r="AM170" s="381" t="n"/>
      <c r="AN170" s="381" t="n"/>
      <c r="AO170" s="381" t="n"/>
      <c r="AP170" s="381" t="n"/>
      <c r="AQ170" s="381" t="n"/>
      <c r="AR170" s="381" t="n"/>
    </row>
    <row r="171" ht="15.75" customHeight="1" s="375">
      <c r="A171" s="381" t="n"/>
      <c r="B171" s="381" t="n"/>
      <c r="C171" s="381" t="n"/>
      <c r="D171" s="381" t="n"/>
      <c r="E171" s="381" t="n"/>
      <c r="F171" s="381" t="n"/>
      <c r="G171" s="381" t="n"/>
      <c r="H171" s="381" t="n"/>
      <c r="I171" s="381" t="n"/>
      <c r="J171" s="381" t="n"/>
      <c r="K171" s="381" t="n"/>
      <c r="L171" s="381" t="n"/>
      <c r="M171" s="381" t="n"/>
      <c r="N171" s="381" t="n"/>
      <c r="O171" s="381" t="n"/>
      <c r="P171" s="381" t="n"/>
      <c r="Q171" s="381" t="n"/>
      <c r="R171" s="381" t="n"/>
      <c r="S171" s="381" t="n"/>
      <c r="T171" s="544" t="n"/>
      <c r="U171" s="381" t="n"/>
      <c r="V171" s="381" t="n"/>
      <c r="W171" s="381" t="n"/>
      <c r="X171" s="381" t="n"/>
      <c r="Y171" s="381" t="n"/>
      <c r="Z171" s="381" t="n"/>
      <c r="AA171" s="381" t="n"/>
      <c r="AB171" s="381" t="n"/>
      <c r="AC171" s="381" t="n"/>
      <c r="AD171" s="381" t="n"/>
      <c r="AE171" s="381" t="n"/>
      <c r="AF171" s="381" t="n"/>
      <c r="AG171" s="381" t="n"/>
      <c r="AH171" s="381" t="n"/>
      <c r="AI171" s="381" t="n"/>
      <c r="AJ171" s="381" t="n"/>
      <c r="AK171" s="381" t="n"/>
      <c r="AL171" s="381" t="n"/>
      <c r="AM171" s="381" t="n"/>
      <c r="AN171" s="381" t="n"/>
      <c r="AO171" s="381" t="n"/>
      <c r="AP171" s="381" t="n"/>
      <c r="AQ171" s="381" t="n"/>
      <c r="AR171" s="381" t="n"/>
    </row>
    <row r="172" ht="15.75" customHeight="1" s="375">
      <c r="A172" s="381" t="n"/>
      <c r="B172" s="381" t="n"/>
      <c r="C172" s="381" t="n"/>
      <c r="D172" s="381" t="n"/>
      <c r="E172" s="381" t="n"/>
      <c r="F172" s="381" t="n"/>
      <c r="G172" s="381" t="n"/>
      <c r="H172" s="381" t="n"/>
      <c r="I172" s="381" t="n"/>
      <c r="J172" s="381" t="n"/>
      <c r="K172" s="381" t="n"/>
      <c r="L172" s="381" t="n"/>
      <c r="M172" s="381" t="n"/>
      <c r="N172" s="381" t="n"/>
      <c r="O172" s="381" t="n"/>
      <c r="P172" s="381" t="n"/>
      <c r="Q172" s="381" t="n"/>
      <c r="R172" s="381" t="n"/>
      <c r="S172" s="381" t="n"/>
      <c r="T172" s="544" t="n"/>
      <c r="U172" s="381" t="n"/>
      <c r="V172" s="381" t="n"/>
      <c r="W172" s="381" t="n"/>
      <c r="X172" s="381" t="n"/>
      <c r="Y172" s="381" t="n"/>
      <c r="Z172" s="381" t="n"/>
      <c r="AA172" s="381" t="n"/>
      <c r="AB172" s="381" t="n"/>
      <c r="AC172" s="381" t="n"/>
      <c r="AD172" s="381" t="n"/>
      <c r="AE172" s="381" t="n"/>
      <c r="AF172" s="381" t="n"/>
      <c r="AG172" s="381" t="n"/>
      <c r="AH172" s="381" t="n"/>
      <c r="AI172" s="381" t="n"/>
      <c r="AJ172" s="381" t="n"/>
      <c r="AK172" s="381" t="n"/>
      <c r="AL172" s="381" t="n"/>
      <c r="AM172" s="381" t="n"/>
      <c r="AN172" s="381" t="n"/>
      <c r="AO172" s="381" t="n"/>
      <c r="AP172" s="381" t="n"/>
      <c r="AQ172" s="381" t="n"/>
      <c r="AR172" s="381" t="n"/>
    </row>
    <row r="173" ht="15.75" customHeight="1" s="375">
      <c r="A173" s="381" t="n"/>
      <c r="B173" s="381" t="n"/>
      <c r="C173" s="381" t="n"/>
      <c r="D173" s="381" t="n"/>
      <c r="E173" s="381" t="n"/>
      <c r="F173" s="381" t="n"/>
      <c r="G173" s="381" t="n"/>
      <c r="H173" s="381" t="n"/>
      <c r="I173" s="381" t="n"/>
      <c r="J173" s="381" t="n"/>
      <c r="K173" s="381" t="n"/>
      <c r="L173" s="381" t="n"/>
      <c r="M173" s="381" t="n"/>
      <c r="N173" s="381" t="n"/>
      <c r="O173" s="381" t="n"/>
      <c r="P173" s="381" t="n"/>
      <c r="Q173" s="381" t="n"/>
      <c r="R173" s="381" t="n"/>
      <c r="S173" s="381" t="n"/>
      <c r="T173" s="544" t="n"/>
      <c r="U173" s="381" t="n"/>
      <c r="V173" s="381" t="n"/>
      <c r="W173" s="381" t="n"/>
      <c r="X173" s="381" t="n"/>
      <c r="Y173" s="381" t="n"/>
      <c r="Z173" s="381" t="n"/>
      <c r="AA173" s="381" t="n"/>
      <c r="AB173" s="381" t="n"/>
      <c r="AC173" s="381" t="n"/>
      <c r="AD173" s="381" t="n"/>
      <c r="AE173" s="381" t="n"/>
      <c r="AF173" s="381" t="n"/>
      <c r="AG173" s="381" t="n"/>
      <c r="AH173" s="381" t="n"/>
      <c r="AI173" s="381" t="n"/>
      <c r="AJ173" s="381" t="n"/>
      <c r="AK173" s="381" t="n"/>
      <c r="AL173" s="381" t="n"/>
      <c r="AM173" s="381" t="n"/>
      <c r="AN173" s="381" t="n"/>
      <c r="AO173" s="381" t="n"/>
      <c r="AP173" s="381" t="n"/>
      <c r="AQ173" s="381" t="n"/>
      <c r="AR173" s="381" t="n"/>
    </row>
    <row r="174" ht="15.75" customHeight="1" s="375">
      <c r="A174" s="381" t="n"/>
      <c r="B174" s="381" t="n"/>
      <c r="C174" s="381" t="n"/>
      <c r="D174" s="381" t="n"/>
      <c r="E174" s="381" t="n"/>
      <c r="F174" s="381" t="n"/>
      <c r="G174" s="381" t="n"/>
      <c r="H174" s="381" t="n"/>
      <c r="I174" s="381" t="n"/>
      <c r="J174" s="381" t="n"/>
      <c r="K174" s="381" t="n"/>
      <c r="L174" s="381" t="n"/>
      <c r="M174" s="381" t="n"/>
      <c r="N174" s="381" t="n"/>
      <c r="O174" s="381" t="n"/>
      <c r="P174" s="381" t="n"/>
      <c r="Q174" s="381" t="n"/>
      <c r="R174" s="381" t="n"/>
      <c r="S174" s="381" t="n"/>
      <c r="T174" s="544" t="n"/>
      <c r="U174" s="381" t="n"/>
      <c r="V174" s="381" t="n"/>
      <c r="W174" s="381" t="n"/>
      <c r="X174" s="381" t="n"/>
      <c r="Y174" s="381" t="n"/>
      <c r="Z174" s="381" t="n"/>
      <c r="AA174" s="381" t="n"/>
      <c r="AB174" s="381" t="n"/>
      <c r="AC174" s="381" t="n"/>
      <c r="AD174" s="381" t="n"/>
      <c r="AE174" s="381" t="n"/>
      <c r="AF174" s="381" t="n"/>
      <c r="AG174" s="381" t="n"/>
      <c r="AH174" s="381" t="n"/>
      <c r="AI174" s="381" t="n"/>
      <c r="AJ174" s="381" t="n"/>
      <c r="AK174" s="381" t="n"/>
      <c r="AL174" s="381" t="n"/>
      <c r="AM174" s="381" t="n"/>
      <c r="AN174" s="381" t="n"/>
      <c r="AO174" s="381" t="n"/>
      <c r="AP174" s="381" t="n"/>
      <c r="AQ174" s="381" t="n"/>
      <c r="AR174" s="381" t="n"/>
    </row>
    <row r="175" ht="15.75" customHeight="1" s="375">
      <c r="A175" s="381" t="n"/>
      <c r="B175" s="381" t="n"/>
      <c r="C175" s="381" t="n"/>
      <c r="D175" s="381" t="n"/>
      <c r="E175" s="381" t="n"/>
      <c r="F175" s="381" t="n"/>
      <c r="G175" s="381" t="n"/>
      <c r="H175" s="381" t="n"/>
      <c r="I175" s="381" t="n"/>
      <c r="J175" s="381" t="n"/>
      <c r="K175" s="381" t="n"/>
      <c r="L175" s="381" t="n"/>
      <c r="M175" s="381" t="n"/>
      <c r="N175" s="381" t="n"/>
      <c r="O175" s="381" t="n"/>
      <c r="P175" s="381" t="n"/>
      <c r="Q175" s="381" t="n"/>
      <c r="R175" s="381" t="n"/>
      <c r="S175" s="381" t="n"/>
      <c r="T175" s="544" t="n"/>
      <c r="U175" s="381" t="n"/>
      <c r="V175" s="381" t="n"/>
      <c r="W175" s="381" t="n"/>
      <c r="X175" s="381" t="n"/>
      <c r="Y175" s="381" t="n"/>
      <c r="Z175" s="381" t="n"/>
      <c r="AA175" s="381" t="n"/>
      <c r="AB175" s="381" t="n"/>
      <c r="AC175" s="381" t="n"/>
      <c r="AD175" s="381" t="n"/>
      <c r="AE175" s="381" t="n"/>
      <c r="AF175" s="381" t="n"/>
      <c r="AG175" s="381" t="n"/>
      <c r="AH175" s="381" t="n"/>
      <c r="AI175" s="381" t="n"/>
      <c r="AJ175" s="381" t="n"/>
      <c r="AK175" s="381" t="n"/>
      <c r="AL175" s="381" t="n"/>
      <c r="AM175" s="381" t="n"/>
      <c r="AN175" s="381" t="n"/>
      <c r="AO175" s="381" t="n"/>
      <c r="AP175" s="381" t="n"/>
      <c r="AQ175" s="381" t="n"/>
      <c r="AR175" s="381" t="n"/>
    </row>
    <row r="176" ht="15.75" customHeight="1" s="375">
      <c r="A176" s="381" t="n"/>
      <c r="B176" s="381" t="n"/>
      <c r="C176" s="381" t="n"/>
      <c r="D176" s="381" t="n"/>
      <c r="E176" s="381" t="n"/>
      <c r="F176" s="381" t="n"/>
      <c r="G176" s="381" t="n"/>
      <c r="H176" s="381" t="n"/>
      <c r="I176" s="381" t="n"/>
      <c r="J176" s="381" t="n"/>
      <c r="K176" s="381" t="n"/>
      <c r="L176" s="381" t="n"/>
      <c r="M176" s="381" t="n"/>
      <c r="N176" s="381" t="n"/>
      <c r="O176" s="381" t="n"/>
      <c r="P176" s="381" t="n"/>
      <c r="Q176" s="381" t="n"/>
      <c r="R176" s="381" t="n"/>
      <c r="S176" s="381" t="n"/>
      <c r="T176" s="544" t="n"/>
      <c r="U176" s="381" t="n"/>
      <c r="V176" s="381" t="n"/>
      <c r="W176" s="381" t="n"/>
      <c r="X176" s="381" t="n"/>
      <c r="Y176" s="381" t="n"/>
      <c r="Z176" s="381" t="n"/>
      <c r="AA176" s="381" t="n"/>
      <c r="AB176" s="381" t="n"/>
      <c r="AC176" s="381" t="n"/>
      <c r="AD176" s="381" t="n"/>
      <c r="AE176" s="381" t="n"/>
      <c r="AF176" s="381" t="n"/>
      <c r="AG176" s="381" t="n"/>
      <c r="AH176" s="381" t="n"/>
      <c r="AI176" s="381" t="n"/>
      <c r="AJ176" s="381" t="n"/>
      <c r="AK176" s="381" t="n"/>
      <c r="AL176" s="381" t="n"/>
      <c r="AM176" s="381" t="n"/>
      <c r="AN176" s="381" t="n"/>
      <c r="AO176" s="381" t="n"/>
      <c r="AP176" s="381" t="n"/>
      <c r="AQ176" s="381" t="n"/>
      <c r="AR176" s="381" t="n"/>
    </row>
    <row r="177" ht="15.75" customHeight="1" s="375">
      <c r="A177" s="381" t="n"/>
      <c r="B177" s="381" t="n"/>
      <c r="C177" s="381" t="n"/>
      <c r="D177" s="381" t="n"/>
      <c r="E177" s="381" t="n"/>
      <c r="F177" s="381" t="n"/>
      <c r="G177" s="381" t="n"/>
      <c r="H177" s="381" t="n"/>
      <c r="I177" s="381" t="n"/>
      <c r="J177" s="381" t="n"/>
      <c r="K177" s="381" t="n"/>
      <c r="L177" s="381" t="n"/>
      <c r="M177" s="381" t="n"/>
      <c r="N177" s="381" t="n"/>
      <c r="O177" s="381" t="n"/>
      <c r="P177" s="381" t="n"/>
      <c r="Q177" s="381" t="n"/>
      <c r="R177" s="381" t="n"/>
      <c r="S177" s="381" t="n"/>
      <c r="T177" s="544" t="n"/>
      <c r="U177" s="381" t="n"/>
      <c r="V177" s="381" t="n"/>
      <c r="W177" s="381" t="n"/>
      <c r="X177" s="381" t="n"/>
      <c r="Y177" s="381" t="n"/>
      <c r="Z177" s="381" t="n"/>
      <c r="AA177" s="381" t="n"/>
      <c r="AB177" s="381" t="n"/>
      <c r="AC177" s="381" t="n"/>
      <c r="AD177" s="381" t="n"/>
      <c r="AE177" s="381" t="n"/>
      <c r="AF177" s="381" t="n"/>
      <c r="AG177" s="381" t="n"/>
      <c r="AH177" s="381" t="n"/>
      <c r="AI177" s="381" t="n"/>
      <c r="AJ177" s="381" t="n"/>
      <c r="AK177" s="381" t="n"/>
      <c r="AL177" s="381" t="n"/>
      <c r="AM177" s="381" t="n"/>
      <c r="AN177" s="381" t="n"/>
      <c r="AO177" s="381" t="n"/>
      <c r="AP177" s="381" t="n"/>
      <c r="AQ177" s="381" t="n"/>
      <c r="AR177" s="381" t="n"/>
    </row>
    <row r="178" ht="15.75" customHeight="1" s="375">
      <c r="A178" s="381" t="n"/>
      <c r="B178" s="381" t="n"/>
      <c r="C178" s="381" t="n"/>
      <c r="D178" s="381" t="n"/>
      <c r="E178" s="381" t="n"/>
      <c r="F178" s="381" t="n"/>
      <c r="G178" s="381" t="n"/>
      <c r="H178" s="381" t="n"/>
      <c r="I178" s="381" t="n"/>
      <c r="J178" s="381" t="n"/>
      <c r="K178" s="381" t="n"/>
      <c r="L178" s="381" t="n"/>
      <c r="M178" s="381" t="n"/>
      <c r="N178" s="381" t="n"/>
      <c r="O178" s="381" t="n"/>
      <c r="P178" s="381" t="n"/>
      <c r="Q178" s="381" t="n"/>
      <c r="R178" s="381" t="n"/>
      <c r="S178" s="381" t="n"/>
      <c r="T178" s="544" t="n"/>
      <c r="U178" s="381" t="n"/>
      <c r="V178" s="381" t="n"/>
      <c r="W178" s="381" t="n"/>
      <c r="X178" s="381" t="n"/>
      <c r="Y178" s="381" t="n"/>
      <c r="Z178" s="381" t="n"/>
      <c r="AA178" s="381" t="n"/>
      <c r="AB178" s="381" t="n"/>
      <c r="AC178" s="381" t="n"/>
      <c r="AD178" s="381" t="n"/>
      <c r="AE178" s="381" t="n"/>
      <c r="AF178" s="381" t="n"/>
      <c r="AG178" s="381" t="n"/>
      <c r="AH178" s="381" t="n"/>
      <c r="AI178" s="381" t="n"/>
      <c r="AJ178" s="381" t="n"/>
      <c r="AK178" s="381" t="n"/>
      <c r="AL178" s="381" t="n"/>
      <c r="AM178" s="381" t="n"/>
      <c r="AN178" s="381" t="n"/>
      <c r="AO178" s="381" t="n"/>
      <c r="AP178" s="381" t="n"/>
      <c r="AQ178" s="381" t="n"/>
      <c r="AR178" s="381" t="n"/>
    </row>
    <row r="179" ht="15.75" customHeight="1" s="375">
      <c r="A179" s="381" t="n"/>
      <c r="B179" s="381" t="n"/>
      <c r="C179" s="381" t="n"/>
      <c r="D179" s="381" t="n"/>
      <c r="E179" s="381" t="n"/>
      <c r="F179" s="381" t="n"/>
      <c r="G179" s="381" t="n"/>
      <c r="H179" s="381" t="n"/>
      <c r="I179" s="381" t="n"/>
      <c r="J179" s="381" t="n"/>
      <c r="K179" s="381" t="n"/>
      <c r="L179" s="381" t="n"/>
      <c r="M179" s="381" t="n"/>
      <c r="N179" s="381" t="n"/>
      <c r="O179" s="381" t="n"/>
      <c r="P179" s="381" t="n"/>
      <c r="Q179" s="381" t="n"/>
      <c r="R179" s="381" t="n"/>
      <c r="S179" s="381" t="n"/>
      <c r="T179" s="544" t="n"/>
      <c r="U179" s="381" t="n"/>
      <c r="V179" s="381" t="n"/>
      <c r="W179" s="381" t="n"/>
      <c r="X179" s="381" t="n"/>
      <c r="Y179" s="381" t="n"/>
      <c r="Z179" s="381" t="n"/>
      <c r="AA179" s="381" t="n"/>
      <c r="AB179" s="381" t="n"/>
      <c r="AC179" s="381" t="n"/>
      <c r="AD179" s="381" t="n"/>
      <c r="AE179" s="381" t="n"/>
      <c r="AF179" s="381" t="n"/>
      <c r="AG179" s="381" t="n"/>
      <c r="AH179" s="381" t="n"/>
      <c r="AI179" s="381" t="n"/>
      <c r="AJ179" s="381" t="n"/>
      <c r="AK179" s="381" t="n"/>
      <c r="AL179" s="381" t="n"/>
      <c r="AM179" s="381" t="n"/>
      <c r="AN179" s="381" t="n"/>
      <c r="AO179" s="381" t="n"/>
      <c r="AP179" s="381" t="n"/>
      <c r="AQ179" s="381" t="n"/>
      <c r="AR179" s="381" t="n"/>
    </row>
    <row r="180" ht="15.75" customHeight="1" s="375">
      <c r="A180" s="381" t="n"/>
      <c r="B180" s="381" t="n"/>
      <c r="C180" s="381" t="n"/>
      <c r="D180" s="381" t="n"/>
      <c r="E180" s="381" t="n"/>
      <c r="F180" s="381" t="n"/>
      <c r="G180" s="381" t="n"/>
      <c r="H180" s="381" t="n"/>
      <c r="I180" s="381" t="n"/>
      <c r="J180" s="381" t="n"/>
      <c r="K180" s="381" t="n"/>
      <c r="L180" s="381" t="n"/>
      <c r="M180" s="381" t="n"/>
      <c r="N180" s="381" t="n"/>
      <c r="O180" s="381" t="n"/>
      <c r="P180" s="381" t="n"/>
      <c r="Q180" s="381" t="n"/>
      <c r="R180" s="381" t="n"/>
      <c r="S180" s="381" t="n"/>
      <c r="T180" s="544" t="n"/>
      <c r="U180" s="381" t="n"/>
      <c r="V180" s="381" t="n"/>
      <c r="W180" s="381" t="n"/>
      <c r="X180" s="381" t="n"/>
      <c r="Y180" s="381" t="n"/>
      <c r="Z180" s="381" t="n"/>
      <c r="AA180" s="381" t="n"/>
      <c r="AB180" s="381" t="n"/>
      <c r="AC180" s="381" t="n"/>
      <c r="AD180" s="381" t="n"/>
      <c r="AE180" s="381" t="n"/>
      <c r="AF180" s="381" t="n"/>
      <c r="AG180" s="381" t="n"/>
      <c r="AH180" s="381" t="n"/>
      <c r="AI180" s="381" t="n"/>
      <c r="AJ180" s="381" t="n"/>
      <c r="AK180" s="381" t="n"/>
      <c r="AL180" s="381" t="n"/>
      <c r="AM180" s="381" t="n"/>
      <c r="AN180" s="381" t="n"/>
      <c r="AO180" s="381" t="n"/>
      <c r="AP180" s="381" t="n"/>
      <c r="AQ180" s="381" t="n"/>
      <c r="AR180" s="381" t="n"/>
    </row>
    <row r="181" ht="15.75" customHeight="1" s="375">
      <c r="A181" s="381" t="n"/>
      <c r="B181" s="381" t="n"/>
      <c r="C181" s="381" t="n"/>
      <c r="D181" s="381" t="n"/>
      <c r="E181" s="381" t="n"/>
      <c r="F181" s="381" t="n"/>
      <c r="G181" s="381" t="n"/>
      <c r="H181" s="381" t="n"/>
      <c r="I181" s="381" t="n"/>
      <c r="J181" s="381" t="n"/>
      <c r="K181" s="381" t="n"/>
      <c r="L181" s="381" t="n"/>
      <c r="M181" s="381" t="n"/>
      <c r="N181" s="381" t="n"/>
      <c r="O181" s="381" t="n"/>
      <c r="P181" s="381" t="n"/>
      <c r="Q181" s="381" t="n"/>
      <c r="R181" s="381" t="n"/>
      <c r="S181" s="381" t="n"/>
      <c r="T181" s="544" t="n"/>
      <c r="U181" s="381" t="n"/>
      <c r="V181" s="381" t="n"/>
      <c r="W181" s="381" t="n"/>
      <c r="X181" s="381" t="n"/>
      <c r="Y181" s="381" t="n"/>
      <c r="Z181" s="381" t="n"/>
      <c r="AA181" s="381" t="n"/>
      <c r="AB181" s="381" t="n"/>
      <c r="AC181" s="381" t="n"/>
      <c r="AD181" s="381" t="n"/>
      <c r="AE181" s="381" t="n"/>
      <c r="AF181" s="381" t="n"/>
      <c r="AG181" s="381" t="n"/>
      <c r="AH181" s="381" t="n"/>
      <c r="AI181" s="381" t="n"/>
      <c r="AJ181" s="381" t="n"/>
      <c r="AK181" s="381" t="n"/>
      <c r="AL181" s="381" t="n"/>
      <c r="AM181" s="381" t="n"/>
      <c r="AN181" s="381" t="n"/>
      <c r="AO181" s="381" t="n"/>
      <c r="AP181" s="381" t="n"/>
      <c r="AQ181" s="381" t="n"/>
      <c r="AR181" s="381" t="n"/>
    </row>
    <row r="182" ht="15.75" customHeight="1" s="375">
      <c r="A182" s="381" t="n"/>
      <c r="B182" s="381" t="n"/>
      <c r="C182" s="381" t="n"/>
      <c r="D182" s="381" t="n"/>
      <c r="E182" s="381" t="n"/>
      <c r="F182" s="381" t="n"/>
      <c r="G182" s="381" t="n"/>
      <c r="H182" s="381" t="n"/>
      <c r="I182" s="381" t="n"/>
      <c r="J182" s="381" t="n"/>
      <c r="K182" s="381" t="n"/>
      <c r="L182" s="381" t="n"/>
      <c r="M182" s="381" t="n"/>
      <c r="N182" s="381" t="n"/>
      <c r="O182" s="381" t="n"/>
      <c r="P182" s="381" t="n"/>
      <c r="Q182" s="381" t="n"/>
      <c r="R182" s="381" t="n"/>
      <c r="S182" s="381" t="n"/>
      <c r="T182" s="544" t="n"/>
      <c r="U182" s="381" t="n"/>
      <c r="V182" s="381" t="n"/>
      <c r="W182" s="381" t="n"/>
      <c r="X182" s="381" t="n"/>
      <c r="Y182" s="381" t="n"/>
      <c r="Z182" s="381" t="n"/>
      <c r="AA182" s="381" t="n"/>
      <c r="AB182" s="381" t="n"/>
      <c r="AC182" s="381" t="n"/>
      <c r="AD182" s="381" t="n"/>
      <c r="AE182" s="381" t="n"/>
      <c r="AF182" s="381" t="n"/>
      <c r="AG182" s="381" t="n"/>
      <c r="AH182" s="381" t="n"/>
      <c r="AI182" s="381" t="n"/>
      <c r="AJ182" s="381" t="n"/>
      <c r="AK182" s="381" t="n"/>
      <c r="AL182" s="381" t="n"/>
      <c r="AM182" s="381" t="n"/>
      <c r="AN182" s="381" t="n"/>
      <c r="AO182" s="381" t="n"/>
      <c r="AP182" s="381" t="n"/>
      <c r="AQ182" s="381" t="n"/>
      <c r="AR182" s="381" t="n"/>
    </row>
    <row r="183" ht="15.75" customHeight="1" s="375">
      <c r="A183" s="381" t="n"/>
      <c r="B183" s="381" t="n"/>
      <c r="C183" s="381" t="n"/>
      <c r="D183" s="381" t="n"/>
      <c r="E183" s="381" t="n"/>
      <c r="F183" s="381" t="n"/>
      <c r="G183" s="381" t="n"/>
      <c r="H183" s="381" t="n"/>
      <c r="I183" s="381" t="n"/>
      <c r="J183" s="381" t="n"/>
      <c r="K183" s="381" t="n"/>
      <c r="L183" s="381" t="n"/>
      <c r="M183" s="381" t="n"/>
      <c r="N183" s="381" t="n"/>
      <c r="O183" s="381" t="n"/>
      <c r="P183" s="381" t="n"/>
      <c r="Q183" s="381" t="n"/>
      <c r="R183" s="381" t="n"/>
      <c r="S183" s="381" t="n"/>
      <c r="T183" s="544" t="n"/>
      <c r="U183" s="381" t="n"/>
      <c r="V183" s="381" t="n"/>
      <c r="W183" s="381" t="n"/>
      <c r="X183" s="381" t="n"/>
      <c r="Y183" s="381" t="n"/>
      <c r="Z183" s="381" t="n"/>
      <c r="AA183" s="381" t="n"/>
      <c r="AB183" s="381" t="n"/>
      <c r="AC183" s="381" t="n"/>
      <c r="AD183" s="381" t="n"/>
      <c r="AE183" s="381" t="n"/>
      <c r="AF183" s="381" t="n"/>
      <c r="AG183" s="381" t="n"/>
      <c r="AH183" s="381" t="n"/>
      <c r="AI183" s="381" t="n"/>
      <c r="AJ183" s="381" t="n"/>
      <c r="AK183" s="381" t="n"/>
      <c r="AL183" s="381" t="n"/>
      <c r="AM183" s="381" t="n"/>
      <c r="AN183" s="381" t="n"/>
      <c r="AO183" s="381" t="n"/>
      <c r="AP183" s="381" t="n"/>
      <c r="AQ183" s="381" t="n"/>
      <c r="AR183" s="381" t="n"/>
    </row>
    <row r="184" ht="15.75" customHeight="1" s="375">
      <c r="A184" s="381" t="n"/>
      <c r="B184" s="381" t="n"/>
      <c r="C184" s="381" t="n"/>
      <c r="D184" s="381" t="n"/>
      <c r="E184" s="381" t="n"/>
      <c r="F184" s="381" t="n"/>
      <c r="G184" s="381" t="n"/>
      <c r="H184" s="381" t="n"/>
      <c r="I184" s="381" t="n"/>
      <c r="J184" s="381" t="n"/>
      <c r="K184" s="381" t="n"/>
      <c r="L184" s="381" t="n"/>
      <c r="M184" s="381" t="n"/>
      <c r="N184" s="381" t="n"/>
      <c r="O184" s="381" t="n"/>
      <c r="P184" s="381" t="n"/>
      <c r="Q184" s="381" t="n"/>
      <c r="R184" s="381" t="n"/>
      <c r="S184" s="381" t="n"/>
      <c r="T184" s="544" t="n"/>
      <c r="U184" s="381" t="n"/>
      <c r="V184" s="381" t="n"/>
      <c r="W184" s="381" t="n"/>
      <c r="X184" s="381" t="n"/>
      <c r="Y184" s="381" t="n"/>
      <c r="Z184" s="381" t="n"/>
      <c r="AA184" s="381" t="n"/>
      <c r="AB184" s="381" t="n"/>
      <c r="AC184" s="381" t="n"/>
      <c r="AD184" s="381" t="n"/>
      <c r="AE184" s="381" t="n"/>
      <c r="AF184" s="381" t="n"/>
      <c r="AG184" s="381" t="n"/>
      <c r="AH184" s="381" t="n"/>
      <c r="AI184" s="381" t="n"/>
      <c r="AJ184" s="381" t="n"/>
      <c r="AK184" s="381" t="n"/>
      <c r="AL184" s="381" t="n"/>
      <c r="AM184" s="381" t="n"/>
      <c r="AN184" s="381" t="n"/>
      <c r="AO184" s="381" t="n"/>
      <c r="AP184" s="381" t="n"/>
      <c r="AQ184" s="381" t="n"/>
      <c r="AR184" s="381" t="n"/>
    </row>
    <row r="185" ht="15.75" customHeight="1" s="375">
      <c r="A185" s="381" t="n"/>
      <c r="B185" s="381" t="n"/>
      <c r="C185" s="381" t="n"/>
      <c r="D185" s="381" t="n"/>
      <c r="E185" s="381" t="n"/>
      <c r="F185" s="381" t="n"/>
      <c r="G185" s="381" t="n"/>
      <c r="H185" s="381" t="n"/>
      <c r="I185" s="381" t="n"/>
      <c r="J185" s="381" t="n"/>
      <c r="K185" s="381" t="n"/>
      <c r="L185" s="381" t="n"/>
      <c r="M185" s="381" t="n"/>
      <c r="N185" s="381" t="n"/>
      <c r="O185" s="381" t="n"/>
      <c r="P185" s="381" t="n"/>
      <c r="Q185" s="381" t="n"/>
      <c r="R185" s="381" t="n"/>
      <c r="S185" s="381" t="n"/>
      <c r="T185" s="544" t="n"/>
      <c r="U185" s="381" t="n"/>
      <c r="V185" s="381" t="n"/>
      <c r="W185" s="381" t="n"/>
      <c r="X185" s="381" t="n"/>
      <c r="Y185" s="381" t="n"/>
      <c r="Z185" s="381" t="n"/>
      <c r="AA185" s="381" t="n"/>
      <c r="AB185" s="381" t="n"/>
      <c r="AC185" s="381" t="n"/>
      <c r="AD185" s="381" t="n"/>
      <c r="AE185" s="381" t="n"/>
      <c r="AF185" s="381" t="n"/>
      <c r="AG185" s="381" t="n"/>
      <c r="AH185" s="381" t="n"/>
      <c r="AI185" s="381" t="n"/>
      <c r="AJ185" s="381" t="n"/>
      <c r="AK185" s="381" t="n"/>
      <c r="AL185" s="381" t="n"/>
      <c r="AM185" s="381" t="n"/>
      <c r="AN185" s="381" t="n"/>
      <c r="AO185" s="381" t="n"/>
      <c r="AP185" s="381" t="n"/>
      <c r="AQ185" s="381" t="n"/>
      <c r="AR185" s="381" t="n"/>
    </row>
    <row r="186" ht="15.75" customHeight="1" s="375">
      <c r="A186" s="381" t="n"/>
      <c r="B186" s="381" t="n"/>
      <c r="C186" s="381" t="n"/>
      <c r="D186" s="381" t="n"/>
      <c r="E186" s="381" t="n"/>
      <c r="F186" s="381" t="n"/>
      <c r="G186" s="381" t="n"/>
      <c r="H186" s="381" t="n"/>
      <c r="I186" s="381" t="n"/>
      <c r="J186" s="381" t="n"/>
      <c r="K186" s="381" t="n"/>
      <c r="L186" s="381" t="n"/>
      <c r="M186" s="381" t="n"/>
      <c r="N186" s="381" t="n"/>
      <c r="O186" s="381" t="n"/>
      <c r="P186" s="381" t="n"/>
      <c r="Q186" s="381" t="n"/>
      <c r="R186" s="381" t="n"/>
      <c r="S186" s="381" t="n"/>
      <c r="T186" s="544" t="n"/>
      <c r="U186" s="381" t="n"/>
      <c r="V186" s="381" t="n"/>
      <c r="W186" s="381" t="n"/>
      <c r="X186" s="381" t="n"/>
      <c r="Y186" s="381" t="n"/>
      <c r="Z186" s="381" t="n"/>
      <c r="AA186" s="381" t="n"/>
      <c r="AB186" s="381" t="n"/>
      <c r="AC186" s="381" t="n"/>
      <c r="AD186" s="381" t="n"/>
      <c r="AE186" s="381" t="n"/>
      <c r="AF186" s="381" t="n"/>
      <c r="AG186" s="381" t="n"/>
      <c r="AH186" s="381" t="n"/>
      <c r="AI186" s="381" t="n"/>
      <c r="AJ186" s="381" t="n"/>
      <c r="AK186" s="381" t="n"/>
      <c r="AL186" s="381" t="n"/>
      <c r="AM186" s="381" t="n"/>
      <c r="AN186" s="381" t="n"/>
      <c r="AO186" s="381" t="n"/>
      <c r="AP186" s="381" t="n"/>
      <c r="AQ186" s="381" t="n"/>
      <c r="AR186" s="381" t="n"/>
    </row>
    <row r="187" ht="15.75" customHeight="1" s="375">
      <c r="A187" s="381" t="n"/>
      <c r="B187" s="381" t="n"/>
      <c r="C187" s="381" t="n"/>
      <c r="D187" s="381" t="n"/>
      <c r="E187" s="381" t="n"/>
      <c r="F187" s="381" t="n"/>
      <c r="G187" s="381" t="n"/>
      <c r="H187" s="381" t="n"/>
      <c r="I187" s="381" t="n"/>
      <c r="J187" s="381" t="n"/>
      <c r="K187" s="381" t="n"/>
      <c r="L187" s="381" t="n"/>
      <c r="M187" s="381" t="n"/>
      <c r="N187" s="381" t="n"/>
      <c r="O187" s="381" t="n"/>
      <c r="P187" s="381" t="n"/>
      <c r="Q187" s="381" t="n"/>
      <c r="R187" s="381" t="n"/>
      <c r="S187" s="381" t="n"/>
      <c r="T187" s="544" t="n"/>
      <c r="U187" s="381" t="n"/>
      <c r="V187" s="381" t="n"/>
      <c r="W187" s="381" t="n"/>
      <c r="X187" s="381" t="n"/>
      <c r="Y187" s="381" t="n"/>
      <c r="Z187" s="381" t="n"/>
      <c r="AA187" s="381" t="n"/>
      <c r="AB187" s="381" t="n"/>
      <c r="AC187" s="381" t="n"/>
      <c r="AD187" s="381" t="n"/>
      <c r="AE187" s="381" t="n"/>
      <c r="AF187" s="381" t="n"/>
      <c r="AG187" s="381" t="n"/>
      <c r="AH187" s="381" t="n"/>
      <c r="AI187" s="381" t="n"/>
      <c r="AJ187" s="381" t="n"/>
      <c r="AK187" s="381" t="n"/>
      <c r="AL187" s="381" t="n"/>
      <c r="AM187" s="381" t="n"/>
      <c r="AN187" s="381" t="n"/>
      <c r="AO187" s="381" t="n"/>
      <c r="AP187" s="381" t="n"/>
      <c r="AQ187" s="381" t="n"/>
      <c r="AR187" s="381" t="n"/>
    </row>
    <row r="188" ht="15.75" customHeight="1" s="375">
      <c r="A188" s="381" t="n"/>
      <c r="B188" s="381" t="n"/>
      <c r="C188" s="381" t="n"/>
      <c r="D188" s="381" t="n"/>
      <c r="E188" s="381" t="n"/>
      <c r="F188" s="381" t="n"/>
      <c r="G188" s="381" t="n"/>
      <c r="H188" s="381" t="n"/>
      <c r="I188" s="381" t="n"/>
      <c r="J188" s="381" t="n"/>
      <c r="K188" s="381" t="n"/>
      <c r="L188" s="381" t="n"/>
      <c r="M188" s="381" t="n"/>
      <c r="N188" s="381" t="n"/>
      <c r="O188" s="381" t="n"/>
      <c r="P188" s="381" t="n"/>
      <c r="Q188" s="381" t="n"/>
      <c r="R188" s="381" t="n"/>
      <c r="S188" s="381" t="n"/>
      <c r="T188" s="544" t="n"/>
      <c r="U188" s="381" t="n"/>
      <c r="V188" s="381" t="n"/>
      <c r="W188" s="381" t="n"/>
      <c r="X188" s="381" t="n"/>
      <c r="Y188" s="381" t="n"/>
      <c r="Z188" s="381" t="n"/>
      <c r="AA188" s="381" t="n"/>
      <c r="AB188" s="381" t="n"/>
      <c r="AC188" s="381" t="n"/>
      <c r="AD188" s="381" t="n"/>
      <c r="AE188" s="381" t="n"/>
      <c r="AF188" s="381" t="n"/>
      <c r="AG188" s="381" t="n"/>
      <c r="AH188" s="381" t="n"/>
      <c r="AI188" s="381" t="n"/>
      <c r="AJ188" s="381" t="n"/>
      <c r="AK188" s="381" t="n"/>
      <c r="AL188" s="381" t="n"/>
      <c r="AM188" s="381" t="n"/>
      <c r="AN188" s="381" t="n"/>
      <c r="AO188" s="381" t="n"/>
      <c r="AP188" s="381" t="n"/>
      <c r="AQ188" s="381" t="n"/>
      <c r="AR188" s="381" t="n"/>
    </row>
    <row r="189" ht="15.75" customHeight="1" s="375">
      <c r="A189" s="381" t="n"/>
      <c r="B189" s="381" t="n"/>
      <c r="C189" s="381" t="n"/>
      <c r="D189" s="381" t="n"/>
      <c r="E189" s="381" t="n"/>
      <c r="F189" s="381" t="n"/>
      <c r="G189" s="381" t="n"/>
      <c r="H189" s="381" t="n"/>
      <c r="I189" s="381" t="n"/>
      <c r="J189" s="381" t="n"/>
      <c r="K189" s="381" t="n"/>
      <c r="L189" s="381" t="n"/>
      <c r="M189" s="381" t="n"/>
      <c r="N189" s="381" t="n"/>
      <c r="O189" s="381" t="n"/>
      <c r="P189" s="381" t="n"/>
      <c r="Q189" s="381" t="n"/>
      <c r="R189" s="381" t="n"/>
      <c r="S189" s="381" t="n"/>
      <c r="T189" s="544" t="n"/>
      <c r="U189" s="381" t="n"/>
      <c r="V189" s="381" t="n"/>
      <c r="W189" s="381" t="n"/>
      <c r="X189" s="381" t="n"/>
      <c r="Y189" s="381" t="n"/>
      <c r="Z189" s="381" t="n"/>
      <c r="AA189" s="381" t="n"/>
      <c r="AB189" s="381" t="n"/>
      <c r="AC189" s="381" t="n"/>
      <c r="AD189" s="381" t="n"/>
      <c r="AE189" s="381" t="n"/>
      <c r="AF189" s="381" t="n"/>
      <c r="AG189" s="381" t="n"/>
      <c r="AH189" s="381" t="n"/>
      <c r="AI189" s="381" t="n"/>
      <c r="AJ189" s="381" t="n"/>
      <c r="AK189" s="381" t="n"/>
      <c r="AL189" s="381" t="n"/>
      <c r="AM189" s="381" t="n"/>
      <c r="AN189" s="381" t="n"/>
      <c r="AO189" s="381" t="n"/>
      <c r="AP189" s="381" t="n"/>
      <c r="AQ189" s="381" t="n"/>
      <c r="AR189" s="381" t="n"/>
    </row>
    <row r="190" ht="15.75" customHeight="1" s="375">
      <c r="A190" s="381" t="n"/>
      <c r="B190" s="381" t="n"/>
      <c r="C190" s="381" t="n"/>
      <c r="D190" s="381" t="n"/>
      <c r="E190" s="381" t="n"/>
      <c r="F190" s="381" t="n"/>
      <c r="G190" s="381" t="n"/>
      <c r="H190" s="381" t="n"/>
      <c r="I190" s="381" t="n"/>
      <c r="J190" s="381" t="n"/>
      <c r="K190" s="381" t="n"/>
      <c r="L190" s="381" t="n"/>
      <c r="M190" s="381" t="n"/>
      <c r="N190" s="381" t="n"/>
      <c r="O190" s="381" t="n"/>
      <c r="P190" s="381" t="n"/>
      <c r="Q190" s="381" t="n"/>
      <c r="R190" s="381" t="n"/>
      <c r="S190" s="381" t="n"/>
      <c r="T190" s="544" t="n"/>
      <c r="U190" s="381" t="n"/>
      <c r="V190" s="381" t="n"/>
      <c r="W190" s="381" t="n"/>
      <c r="X190" s="381" t="n"/>
      <c r="Y190" s="381" t="n"/>
      <c r="Z190" s="381" t="n"/>
      <c r="AA190" s="381" t="n"/>
      <c r="AB190" s="381" t="n"/>
      <c r="AC190" s="381" t="n"/>
      <c r="AD190" s="381" t="n"/>
      <c r="AE190" s="381" t="n"/>
      <c r="AF190" s="381" t="n"/>
      <c r="AG190" s="381" t="n"/>
      <c r="AH190" s="381" t="n"/>
      <c r="AI190" s="381" t="n"/>
      <c r="AJ190" s="381" t="n"/>
      <c r="AK190" s="381" t="n"/>
      <c r="AL190" s="381" t="n"/>
      <c r="AM190" s="381" t="n"/>
      <c r="AN190" s="381" t="n"/>
      <c r="AO190" s="381" t="n"/>
      <c r="AP190" s="381" t="n"/>
      <c r="AQ190" s="381" t="n"/>
      <c r="AR190" s="381" t="n"/>
    </row>
    <row r="191" ht="15.75" customHeight="1" s="375">
      <c r="A191" s="381" t="n"/>
      <c r="B191" s="381" t="n"/>
      <c r="C191" s="381" t="n"/>
      <c r="D191" s="381" t="n"/>
      <c r="E191" s="381" t="n"/>
      <c r="F191" s="381" t="n"/>
      <c r="G191" s="381" t="n"/>
      <c r="H191" s="381" t="n"/>
      <c r="I191" s="381" t="n"/>
      <c r="J191" s="381" t="n"/>
      <c r="K191" s="381" t="n"/>
      <c r="L191" s="381" t="n"/>
      <c r="M191" s="381" t="n"/>
      <c r="N191" s="381" t="n"/>
      <c r="O191" s="381" t="n"/>
      <c r="P191" s="381" t="n"/>
      <c r="Q191" s="381" t="n"/>
      <c r="R191" s="381" t="n"/>
      <c r="S191" s="381" t="n"/>
      <c r="T191" s="544" t="n"/>
      <c r="U191" s="381" t="n"/>
      <c r="V191" s="381" t="n"/>
      <c r="W191" s="381" t="n"/>
      <c r="X191" s="381" t="n"/>
      <c r="Y191" s="381" t="n"/>
      <c r="Z191" s="381" t="n"/>
      <c r="AA191" s="381" t="n"/>
      <c r="AB191" s="381" t="n"/>
      <c r="AC191" s="381" t="n"/>
      <c r="AD191" s="381" t="n"/>
      <c r="AE191" s="381" t="n"/>
      <c r="AF191" s="381" t="n"/>
      <c r="AG191" s="381" t="n"/>
      <c r="AH191" s="381" t="n"/>
      <c r="AI191" s="381" t="n"/>
      <c r="AJ191" s="381" t="n"/>
      <c r="AK191" s="381" t="n"/>
      <c r="AL191" s="381" t="n"/>
      <c r="AM191" s="381" t="n"/>
      <c r="AN191" s="381" t="n"/>
      <c r="AO191" s="381" t="n"/>
      <c r="AP191" s="381" t="n"/>
      <c r="AQ191" s="381" t="n"/>
      <c r="AR191" s="381" t="n"/>
    </row>
    <row r="192" ht="15.75" customHeight="1" s="375">
      <c r="A192" s="381" t="n"/>
      <c r="B192" s="381" t="n"/>
      <c r="C192" s="381" t="n"/>
      <c r="D192" s="381" t="n"/>
      <c r="E192" s="381" t="n"/>
      <c r="F192" s="381" t="n"/>
      <c r="G192" s="381" t="n"/>
      <c r="H192" s="381" t="n"/>
      <c r="I192" s="381" t="n"/>
      <c r="J192" s="381" t="n"/>
      <c r="K192" s="381" t="n"/>
      <c r="L192" s="381" t="n"/>
      <c r="M192" s="381" t="n"/>
      <c r="N192" s="381" t="n"/>
      <c r="O192" s="381" t="n"/>
      <c r="P192" s="381" t="n"/>
      <c r="Q192" s="381" t="n"/>
      <c r="R192" s="381" t="n"/>
      <c r="S192" s="381" t="n"/>
      <c r="T192" s="544" t="n"/>
      <c r="U192" s="381" t="n"/>
      <c r="V192" s="381" t="n"/>
      <c r="W192" s="381" t="n"/>
      <c r="X192" s="381" t="n"/>
      <c r="Y192" s="381" t="n"/>
      <c r="Z192" s="381" t="n"/>
      <c r="AA192" s="381" t="n"/>
      <c r="AB192" s="381" t="n"/>
      <c r="AC192" s="381" t="n"/>
      <c r="AD192" s="381" t="n"/>
      <c r="AE192" s="381" t="n"/>
      <c r="AF192" s="381" t="n"/>
      <c r="AG192" s="381" t="n"/>
      <c r="AH192" s="381" t="n"/>
      <c r="AI192" s="381" t="n"/>
      <c r="AJ192" s="381" t="n"/>
      <c r="AK192" s="381" t="n"/>
      <c r="AL192" s="381" t="n"/>
      <c r="AM192" s="381" t="n"/>
      <c r="AN192" s="381" t="n"/>
      <c r="AO192" s="381" t="n"/>
      <c r="AP192" s="381" t="n"/>
      <c r="AQ192" s="381" t="n"/>
      <c r="AR192" s="381" t="n"/>
    </row>
    <row r="193" ht="15.75" customHeight="1" s="375">
      <c r="A193" s="381" t="n"/>
      <c r="B193" s="381" t="n"/>
      <c r="C193" s="381" t="n"/>
      <c r="D193" s="381" t="n"/>
      <c r="E193" s="381" t="n"/>
      <c r="F193" s="381" t="n"/>
      <c r="G193" s="381" t="n"/>
      <c r="H193" s="381" t="n"/>
      <c r="I193" s="381" t="n"/>
      <c r="J193" s="381" t="n"/>
      <c r="K193" s="381" t="n"/>
      <c r="L193" s="381" t="n"/>
      <c r="M193" s="381" t="n"/>
      <c r="N193" s="381" t="n"/>
      <c r="O193" s="381" t="n"/>
      <c r="P193" s="381" t="n"/>
      <c r="Q193" s="381" t="n"/>
      <c r="R193" s="381" t="n"/>
      <c r="S193" s="381" t="n"/>
      <c r="T193" s="544" t="n"/>
      <c r="U193" s="381" t="n"/>
      <c r="V193" s="381" t="n"/>
      <c r="W193" s="381" t="n"/>
      <c r="X193" s="381" t="n"/>
      <c r="Y193" s="381" t="n"/>
      <c r="Z193" s="381" t="n"/>
      <c r="AA193" s="381" t="n"/>
      <c r="AB193" s="381" t="n"/>
      <c r="AC193" s="381" t="n"/>
      <c r="AD193" s="381" t="n"/>
      <c r="AE193" s="381" t="n"/>
      <c r="AF193" s="381" t="n"/>
      <c r="AG193" s="381" t="n"/>
      <c r="AH193" s="381" t="n"/>
      <c r="AI193" s="381" t="n"/>
      <c r="AJ193" s="381" t="n"/>
      <c r="AK193" s="381" t="n"/>
      <c r="AL193" s="381" t="n"/>
      <c r="AM193" s="381" t="n"/>
      <c r="AN193" s="381" t="n"/>
      <c r="AO193" s="381" t="n"/>
      <c r="AP193" s="381" t="n"/>
      <c r="AQ193" s="381" t="n"/>
      <c r="AR193" s="381" t="n"/>
    </row>
    <row r="194" ht="15.75" customHeight="1" s="375">
      <c r="A194" s="381" t="n"/>
      <c r="B194" s="381" t="n"/>
      <c r="C194" s="381" t="n"/>
      <c r="D194" s="381" t="n"/>
      <c r="E194" s="381" t="n"/>
      <c r="F194" s="381" t="n"/>
      <c r="G194" s="381" t="n"/>
      <c r="H194" s="381" t="n"/>
      <c r="I194" s="381" t="n"/>
      <c r="J194" s="381" t="n"/>
      <c r="K194" s="381" t="n"/>
      <c r="L194" s="381" t="n"/>
      <c r="M194" s="381" t="n"/>
      <c r="N194" s="381" t="n"/>
      <c r="O194" s="381" t="n"/>
      <c r="P194" s="381" t="n"/>
      <c r="Q194" s="381" t="n"/>
      <c r="R194" s="381" t="n"/>
      <c r="S194" s="381" t="n"/>
      <c r="T194" s="544" t="n"/>
      <c r="U194" s="381" t="n"/>
      <c r="V194" s="381" t="n"/>
      <c r="W194" s="381" t="n"/>
      <c r="X194" s="381" t="n"/>
      <c r="Y194" s="381" t="n"/>
      <c r="Z194" s="381" t="n"/>
      <c r="AA194" s="381" t="n"/>
      <c r="AB194" s="381" t="n"/>
      <c r="AC194" s="381" t="n"/>
      <c r="AD194" s="381" t="n"/>
      <c r="AE194" s="381" t="n"/>
      <c r="AF194" s="381" t="n"/>
      <c r="AG194" s="381" t="n"/>
      <c r="AH194" s="381" t="n"/>
      <c r="AI194" s="381" t="n"/>
      <c r="AJ194" s="381" t="n"/>
      <c r="AK194" s="381" t="n"/>
      <c r="AL194" s="381" t="n"/>
      <c r="AM194" s="381" t="n"/>
      <c r="AN194" s="381" t="n"/>
      <c r="AO194" s="381" t="n"/>
      <c r="AP194" s="381" t="n"/>
      <c r="AQ194" s="381" t="n"/>
      <c r="AR194" s="381" t="n"/>
    </row>
    <row r="195" ht="15.75" customHeight="1" s="375">
      <c r="A195" s="381" t="n"/>
      <c r="B195" s="381" t="n"/>
      <c r="C195" s="381" t="n"/>
      <c r="D195" s="381" t="n"/>
      <c r="E195" s="381" t="n"/>
      <c r="F195" s="381" t="n"/>
      <c r="G195" s="381" t="n"/>
      <c r="H195" s="381" t="n"/>
      <c r="I195" s="381" t="n"/>
      <c r="J195" s="381" t="n"/>
      <c r="K195" s="381" t="n"/>
      <c r="L195" s="381" t="n"/>
      <c r="M195" s="381" t="n"/>
      <c r="N195" s="381" t="n"/>
      <c r="O195" s="381" t="n"/>
      <c r="P195" s="381" t="n"/>
      <c r="Q195" s="381" t="n"/>
      <c r="R195" s="381" t="n"/>
      <c r="S195" s="381" t="n"/>
      <c r="T195" s="544" t="n"/>
      <c r="U195" s="381" t="n"/>
      <c r="V195" s="381" t="n"/>
      <c r="W195" s="381" t="n"/>
      <c r="X195" s="381" t="n"/>
      <c r="Y195" s="381" t="n"/>
      <c r="Z195" s="381" t="n"/>
      <c r="AA195" s="381" t="n"/>
      <c r="AB195" s="381" t="n"/>
      <c r="AC195" s="381" t="n"/>
      <c r="AD195" s="381" t="n"/>
      <c r="AE195" s="381" t="n"/>
      <c r="AF195" s="381" t="n"/>
      <c r="AG195" s="381" t="n"/>
      <c r="AH195" s="381" t="n"/>
      <c r="AI195" s="381" t="n"/>
      <c r="AJ195" s="381" t="n"/>
      <c r="AK195" s="381" t="n"/>
      <c r="AL195" s="381" t="n"/>
      <c r="AM195" s="381" t="n"/>
      <c r="AN195" s="381" t="n"/>
      <c r="AO195" s="381" t="n"/>
      <c r="AP195" s="381" t="n"/>
      <c r="AQ195" s="381" t="n"/>
      <c r="AR195" s="381" t="n"/>
    </row>
    <row r="196" ht="15.75" customHeight="1" s="375">
      <c r="A196" s="381" t="n"/>
      <c r="B196" s="381" t="n"/>
      <c r="C196" s="381" t="n"/>
      <c r="D196" s="381" t="n"/>
      <c r="E196" s="381" t="n"/>
      <c r="F196" s="381" t="n"/>
      <c r="G196" s="381" t="n"/>
      <c r="H196" s="381" t="n"/>
      <c r="I196" s="381" t="n"/>
      <c r="J196" s="381" t="n"/>
      <c r="K196" s="381" t="n"/>
      <c r="L196" s="381" t="n"/>
      <c r="M196" s="381" t="n"/>
      <c r="N196" s="381" t="n"/>
      <c r="O196" s="381" t="n"/>
      <c r="P196" s="381" t="n"/>
      <c r="Q196" s="381" t="n"/>
      <c r="R196" s="381" t="n"/>
      <c r="S196" s="381" t="n"/>
      <c r="T196" s="544" t="n"/>
      <c r="U196" s="381" t="n"/>
      <c r="V196" s="381" t="n"/>
      <c r="W196" s="381" t="n"/>
      <c r="X196" s="381" t="n"/>
      <c r="Y196" s="381" t="n"/>
      <c r="Z196" s="381" t="n"/>
      <c r="AA196" s="381" t="n"/>
      <c r="AB196" s="381" t="n"/>
      <c r="AC196" s="381" t="n"/>
      <c r="AD196" s="381" t="n"/>
      <c r="AE196" s="381" t="n"/>
      <c r="AF196" s="381" t="n"/>
      <c r="AG196" s="381" t="n"/>
      <c r="AH196" s="381" t="n"/>
      <c r="AI196" s="381" t="n"/>
      <c r="AJ196" s="381" t="n"/>
      <c r="AK196" s="381" t="n"/>
      <c r="AL196" s="381" t="n"/>
      <c r="AM196" s="381" t="n"/>
      <c r="AN196" s="381" t="n"/>
      <c r="AO196" s="381" t="n"/>
      <c r="AP196" s="381" t="n"/>
      <c r="AQ196" s="381" t="n"/>
      <c r="AR196" s="381" t="n"/>
    </row>
    <row r="197" ht="15.75" customHeight="1" s="375">
      <c r="A197" s="381" t="n"/>
      <c r="B197" s="381" t="n"/>
      <c r="C197" s="381" t="n"/>
      <c r="D197" s="381" t="n"/>
      <c r="E197" s="381" t="n"/>
      <c r="F197" s="381" t="n"/>
      <c r="G197" s="381" t="n"/>
      <c r="H197" s="381" t="n"/>
      <c r="I197" s="381" t="n"/>
      <c r="J197" s="381" t="n"/>
      <c r="K197" s="381" t="n"/>
      <c r="L197" s="381" t="n"/>
      <c r="M197" s="381" t="n"/>
      <c r="N197" s="381" t="n"/>
      <c r="O197" s="381" t="n"/>
      <c r="P197" s="381" t="n"/>
      <c r="Q197" s="381" t="n"/>
      <c r="R197" s="381" t="n"/>
      <c r="S197" s="381" t="n"/>
      <c r="T197" s="544" t="n"/>
      <c r="U197" s="381" t="n"/>
      <c r="V197" s="381" t="n"/>
      <c r="W197" s="381" t="n"/>
      <c r="X197" s="381" t="n"/>
      <c r="Y197" s="381" t="n"/>
      <c r="Z197" s="381" t="n"/>
      <c r="AA197" s="381" t="n"/>
      <c r="AB197" s="381" t="n"/>
      <c r="AC197" s="381" t="n"/>
      <c r="AD197" s="381" t="n"/>
      <c r="AE197" s="381" t="n"/>
      <c r="AF197" s="381" t="n"/>
      <c r="AG197" s="381" t="n"/>
      <c r="AH197" s="381" t="n"/>
      <c r="AI197" s="381" t="n"/>
      <c r="AJ197" s="381" t="n"/>
      <c r="AK197" s="381" t="n"/>
      <c r="AL197" s="381" t="n"/>
      <c r="AM197" s="381" t="n"/>
      <c r="AN197" s="381" t="n"/>
      <c r="AO197" s="381" t="n"/>
      <c r="AP197" s="381" t="n"/>
      <c r="AQ197" s="381" t="n"/>
      <c r="AR197" s="381" t="n"/>
    </row>
    <row r="198" ht="15.75" customHeight="1" s="375">
      <c r="A198" s="381" t="n"/>
      <c r="B198" s="381" t="n"/>
      <c r="C198" s="381" t="n"/>
      <c r="D198" s="381" t="n"/>
      <c r="E198" s="381" t="n"/>
      <c r="F198" s="381" t="n"/>
      <c r="G198" s="381" t="n"/>
      <c r="H198" s="381" t="n"/>
      <c r="I198" s="381" t="n"/>
      <c r="J198" s="381" t="n"/>
      <c r="K198" s="381" t="n"/>
      <c r="L198" s="381" t="n"/>
      <c r="M198" s="381" t="n"/>
      <c r="N198" s="381" t="n"/>
      <c r="O198" s="381" t="n"/>
      <c r="P198" s="381" t="n"/>
      <c r="Q198" s="381" t="n"/>
      <c r="R198" s="381" t="n"/>
      <c r="S198" s="381" t="n"/>
      <c r="T198" s="544" t="n"/>
      <c r="U198" s="381" t="n"/>
      <c r="V198" s="381" t="n"/>
      <c r="W198" s="381" t="n"/>
      <c r="X198" s="381" t="n"/>
      <c r="Y198" s="381" t="n"/>
      <c r="Z198" s="381" t="n"/>
      <c r="AA198" s="381" t="n"/>
      <c r="AB198" s="381" t="n"/>
      <c r="AC198" s="381" t="n"/>
      <c r="AD198" s="381" t="n"/>
      <c r="AE198" s="381" t="n"/>
      <c r="AF198" s="381" t="n"/>
      <c r="AG198" s="381" t="n"/>
      <c r="AH198" s="381" t="n"/>
      <c r="AI198" s="381" t="n"/>
      <c r="AJ198" s="381" t="n"/>
      <c r="AK198" s="381" t="n"/>
      <c r="AL198" s="381" t="n"/>
      <c r="AM198" s="381" t="n"/>
      <c r="AN198" s="381" t="n"/>
      <c r="AO198" s="381" t="n"/>
      <c r="AP198" s="381" t="n"/>
      <c r="AQ198" s="381" t="n"/>
      <c r="AR198" s="381" t="n"/>
    </row>
    <row r="199" ht="15.75" customHeight="1" s="375">
      <c r="A199" s="381" t="n"/>
      <c r="B199" s="381" t="n"/>
      <c r="C199" s="381" t="n"/>
      <c r="D199" s="381" t="n"/>
      <c r="E199" s="381" t="n"/>
      <c r="F199" s="381" t="n"/>
      <c r="G199" s="381" t="n"/>
      <c r="H199" s="381" t="n"/>
      <c r="I199" s="381" t="n"/>
      <c r="J199" s="381" t="n"/>
      <c r="K199" s="381" t="n"/>
      <c r="L199" s="381" t="n"/>
      <c r="M199" s="381" t="n"/>
      <c r="N199" s="381" t="n"/>
      <c r="O199" s="381" t="n"/>
      <c r="P199" s="381" t="n"/>
      <c r="Q199" s="381" t="n"/>
      <c r="R199" s="381" t="n"/>
      <c r="S199" s="381" t="n"/>
      <c r="T199" s="544" t="n"/>
      <c r="U199" s="381" t="n"/>
      <c r="V199" s="381" t="n"/>
      <c r="W199" s="381" t="n"/>
      <c r="X199" s="381" t="n"/>
      <c r="Y199" s="381" t="n"/>
      <c r="Z199" s="381" t="n"/>
      <c r="AA199" s="381" t="n"/>
      <c r="AB199" s="381" t="n"/>
      <c r="AC199" s="381" t="n"/>
      <c r="AD199" s="381" t="n"/>
      <c r="AE199" s="381" t="n"/>
      <c r="AF199" s="381" t="n"/>
      <c r="AG199" s="381" t="n"/>
      <c r="AH199" s="381" t="n"/>
      <c r="AI199" s="381" t="n"/>
      <c r="AJ199" s="381" t="n"/>
      <c r="AK199" s="381" t="n"/>
      <c r="AL199" s="381" t="n"/>
      <c r="AM199" s="381" t="n"/>
      <c r="AN199" s="381" t="n"/>
      <c r="AO199" s="381" t="n"/>
      <c r="AP199" s="381" t="n"/>
      <c r="AQ199" s="381" t="n"/>
      <c r="AR199" s="381" t="n"/>
    </row>
    <row r="200" ht="15.75" customHeight="1" s="375">
      <c r="A200" s="381" t="n"/>
      <c r="B200" s="381" t="n"/>
      <c r="C200" s="381" t="n"/>
      <c r="D200" s="381" t="n"/>
      <c r="E200" s="381" t="n"/>
      <c r="F200" s="381" t="n"/>
      <c r="G200" s="381" t="n"/>
      <c r="H200" s="381" t="n"/>
      <c r="I200" s="381" t="n"/>
      <c r="J200" s="381" t="n"/>
      <c r="K200" s="381" t="n"/>
      <c r="L200" s="381" t="n"/>
      <c r="M200" s="381" t="n"/>
      <c r="N200" s="381" t="n"/>
      <c r="O200" s="381" t="n"/>
      <c r="P200" s="381" t="n"/>
      <c r="Q200" s="381" t="n"/>
      <c r="R200" s="381" t="n"/>
      <c r="S200" s="381" t="n"/>
      <c r="T200" s="544" t="n"/>
      <c r="U200" s="381" t="n"/>
      <c r="V200" s="381" t="n"/>
      <c r="W200" s="381" t="n"/>
      <c r="X200" s="381" t="n"/>
      <c r="Y200" s="381" t="n"/>
      <c r="Z200" s="381" t="n"/>
      <c r="AA200" s="381" t="n"/>
      <c r="AB200" s="381" t="n"/>
      <c r="AC200" s="381" t="n"/>
      <c r="AD200" s="381" t="n"/>
      <c r="AE200" s="381" t="n"/>
      <c r="AF200" s="381" t="n"/>
      <c r="AG200" s="381" t="n"/>
      <c r="AH200" s="381" t="n"/>
      <c r="AI200" s="381" t="n"/>
      <c r="AJ200" s="381" t="n"/>
      <c r="AK200" s="381" t="n"/>
      <c r="AL200" s="381" t="n"/>
      <c r="AM200" s="381" t="n"/>
      <c r="AN200" s="381" t="n"/>
      <c r="AO200" s="381" t="n"/>
      <c r="AP200" s="381" t="n"/>
      <c r="AQ200" s="381" t="n"/>
      <c r="AR200" s="381" t="n"/>
    </row>
    <row r="201" ht="15.75" customHeight="1" s="375">
      <c r="A201" s="381" t="n"/>
      <c r="B201" s="381" t="n"/>
      <c r="C201" s="381" t="n"/>
      <c r="D201" s="381" t="n"/>
      <c r="E201" s="381" t="n"/>
      <c r="F201" s="381" t="n"/>
      <c r="G201" s="381" t="n"/>
      <c r="H201" s="381" t="n"/>
      <c r="I201" s="381" t="n"/>
      <c r="J201" s="381" t="n"/>
      <c r="K201" s="381" t="n"/>
      <c r="L201" s="381" t="n"/>
      <c r="M201" s="381" t="n"/>
      <c r="N201" s="381" t="n"/>
      <c r="O201" s="381" t="n"/>
      <c r="P201" s="381" t="n"/>
      <c r="Q201" s="381" t="n"/>
      <c r="R201" s="381" t="n"/>
      <c r="S201" s="381" t="n"/>
      <c r="T201" s="544" t="n"/>
      <c r="U201" s="381" t="n"/>
      <c r="V201" s="381" t="n"/>
      <c r="W201" s="381" t="n"/>
      <c r="X201" s="381" t="n"/>
      <c r="Y201" s="381" t="n"/>
      <c r="Z201" s="381" t="n"/>
      <c r="AA201" s="381" t="n"/>
      <c r="AB201" s="381" t="n"/>
      <c r="AC201" s="381" t="n"/>
      <c r="AD201" s="381" t="n"/>
      <c r="AE201" s="381" t="n"/>
      <c r="AF201" s="381" t="n"/>
      <c r="AG201" s="381" t="n"/>
      <c r="AH201" s="381" t="n"/>
      <c r="AI201" s="381" t="n"/>
      <c r="AJ201" s="381" t="n"/>
      <c r="AK201" s="381" t="n"/>
      <c r="AL201" s="381" t="n"/>
      <c r="AM201" s="381" t="n"/>
      <c r="AN201" s="381" t="n"/>
      <c r="AO201" s="381" t="n"/>
      <c r="AP201" s="381" t="n"/>
      <c r="AQ201" s="381" t="n"/>
      <c r="AR201" s="381" t="n"/>
    </row>
    <row r="202" ht="15.75" customHeight="1" s="375">
      <c r="A202" s="381" t="n"/>
      <c r="B202" s="381" t="n"/>
      <c r="C202" s="381" t="n"/>
      <c r="D202" s="381" t="n"/>
      <c r="E202" s="381" t="n"/>
      <c r="F202" s="381" t="n"/>
      <c r="G202" s="381" t="n"/>
      <c r="H202" s="381" t="n"/>
      <c r="I202" s="381" t="n"/>
      <c r="J202" s="381" t="n"/>
      <c r="K202" s="381" t="n"/>
      <c r="L202" s="381" t="n"/>
      <c r="M202" s="381" t="n"/>
      <c r="N202" s="381" t="n"/>
      <c r="O202" s="381" t="n"/>
      <c r="P202" s="381" t="n"/>
      <c r="Q202" s="381" t="n"/>
      <c r="R202" s="381" t="n"/>
      <c r="S202" s="381" t="n"/>
      <c r="T202" s="544" t="n"/>
      <c r="U202" s="381" t="n"/>
      <c r="V202" s="381" t="n"/>
      <c r="W202" s="381" t="n"/>
      <c r="X202" s="381" t="n"/>
      <c r="Y202" s="381" t="n"/>
      <c r="Z202" s="381" t="n"/>
      <c r="AA202" s="381" t="n"/>
      <c r="AB202" s="381" t="n"/>
      <c r="AC202" s="381" t="n"/>
      <c r="AD202" s="381" t="n"/>
      <c r="AE202" s="381" t="n"/>
      <c r="AF202" s="381" t="n"/>
      <c r="AG202" s="381" t="n"/>
      <c r="AH202" s="381" t="n"/>
      <c r="AI202" s="381" t="n"/>
      <c r="AJ202" s="381" t="n"/>
      <c r="AK202" s="381" t="n"/>
      <c r="AL202" s="381" t="n"/>
      <c r="AM202" s="381" t="n"/>
      <c r="AN202" s="381" t="n"/>
      <c r="AO202" s="381" t="n"/>
      <c r="AP202" s="381" t="n"/>
      <c r="AQ202" s="381" t="n"/>
      <c r="AR202" s="381" t="n"/>
    </row>
    <row r="203" ht="15.75" customHeight="1" s="375">
      <c r="A203" s="381" t="n"/>
      <c r="B203" s="381" t="n"/>
      <c r="C203" s="381" t="n"/>
      <c r="D203" s="381" t="n"/>
      <c r="E203" s="381" t="n"/>
      <c r="F203" s="381" t="n"/>
      <c r="G203" s="381" t="n"/>
      <c r="H203" s="381" t="n"/>
      <c r="I203" s="381" t="n"/>
      <c r="J203" s="381" t="n"/>
      <c r="K203" s="381" t="n"/>
      <c r="L203" s="381" t="n"/>
      <c r="M203" s="381" t="n"/>
      <c r="N203" s="381" t="n"/>
      <c r="O203" s="381" t="n"/>
      <c r="P203" s="381" t="n"/>
      <c r="Q203" s="381" t="n"/>
      <c r="R203" s="381" t="n"/>
      <c r="S203" s="381" t="n"/>
      <c r="T203" s="544" t="n"/>
      <c r="U203" s="381" t="n"/>
      <c r="V203" s="381" t="n"/>
      <c r="W203" s="381" t="n"/>
      <c r="X203" s="381" t="n"/>
      <c r="Y203" s="381" t="n"/>
      <c r="Z203" s="381" t="n"/>
      <c r="AA203" s="381" t="n"/>
      <c r="AB203" s="381" t="n"/>
      <c r="AC203" s="381" t="n"/>
      <c r="AD203" s="381" t="n"/>
      <c r="AE203" s="381" t="n"/>
      <c r="AF203" s="381" t="n"/>
      <c r="AG203" s="381" t="n"/>
      <c r="AH203" s="381" t="n"/>
      <c r="AI203" s="381" t="n"/>
      <c r="AJ203" s="381" t="n"/>
      <c r="AK203" s="381" t="n"/>
      <c r="AL203" s="381" t="n"/>
      <c r="AM203" s="381" t="n"/>
      <c r="AN203" s="381" t="n"/>
      <c r="AO203" s="381" t="n"/>
      <c r="AP203" s="381" t="n"/>
      <c r="AQ203" s="381" t="n"/>
      <c r="AR203" s="381" t="n"/>
    </row>
    <row r="204" ht="15.75" customHeight="1" s="375">
      <c r="A204" s="381" t="n"/>
      <c r="B204" s="381" t="n"/>
      <c r="C204" s="381" t="n"/>
      <c r="D204" s="381" t="n"/>
      <c r="E204" s="381" t="n"/>
      <c r="F204" s="381" t="n"/>
      <c r="G204" s="381" t="n"/>
      <c r="H204" s="381" t="n"/>
      <c r="I204" s="381" t="n"/>
      <c r="J204" s="381" t="n"/>
      <c r="K204" s="381" t="n"/>
      <c r="L204" s="381" t="n"/>
      <c r="M204" s="381" t="n"/>
      <c r="N204" s="381" t="n"/>
      <c r="O204" s="381" t="n"/>
      <c r="P204" s="381" t="n"/>
      <c r="Q204" s="381" t="n"/>
      <c r="R204" s="381" t="n"/>
      <c r="S204" s="381" t="n"/>
      <c r="T204" s="544" t="n"/>
      <c r="U204" s="381" t="n"/>
      <c r="V204" s="381" t="n"/>
      <c r="W204" s="381" t="n"/>
      <c r="X204" s="381" t="n"/>
      <c r="Y204" s="381" t="n"/>
      <c r="Z204" s="381" t="n"/>
      <c r="AA204" s="381" t="n"/>
      <c r="AB204" s="381" t="n"/>
      <c r="AC204" s="381" t="n"/>
      <c r="AD204" s="381" t="n"/>
      <c r="AE204" s="381" t="n"/>
      <c r="AF204" s="381" t="n"/>
      <c r="AG204" s="381" t="n"/>
      <c r="AH204" s="381" t="n"/>
      <c r="AI204" s="381" t="n"/>
      <c r="AJ204" s="381" t="n"/>
      <c r="AK204" s="381" t="n"/>
      <c r="AL204" s="381" t="n"/>
      <c r="AM204" s="381" t="n"/>
      <c r="AN204" s="381" t="n"/>
      <c r="AO204" s="381" t="n"/>
      <c r="AP204" s="381" t="n"/>
      <c r="AQ204" s="381" t="n"/>
      <c r="AR204" s="381" t="n"/>
    </row>
    <row r="205" ht="15.75" customHeight="1" s="375">
      <c r="A205" s="381" t="n"/>
      <c r="B205" s="381" t="n"/>
      <c r="C205" s="381" t="n"/>
      <c r="D205" s="381" t="n"/>
      <c r="E205" s="381" t="n"/>
      <c r="F205" s="381" t="n"/>
      <c r="G205" s="381" t="n"/>
      <c r="H205" s="381" t="n"/>
      <c r="I205" s="381" t="n"/>
      <c r="J205" s="381" t="n"/>
      <c r="K205" s="381" t="n"/>
      <c r="L205" s="381" t="n"/>
      <c r="M205" s="381" t="n"/>
      <c r="N205" s="381" t="n"/>
      <c r="O205" s="381" t="n"/>
      <c r="P205" s="381" t="n"/>
      <c r="Q205" s="381" t="n"/>
      <c r="R205" s="381" t="n"/>
      <c r="S205" s="381" t="n"/>
      <c r="T205" s="544" t="n"/>
      <c r="U205" s="381" t="n"/>
      <c r="V205" s="381" t="n"/>
      <c r="W205" s="381" t="n"/>
      <c r="X205" s="381" t="n"/>
      <c r="Y205" s="381" t="n"/>
      <c r="Z205" s="381" t="n"/>
      <c r="AA205" s="381" t="n"/>
      <c r="AB205" s="381" t="n"/>
      <c r="AC205" s="381" t="n"/>
      <c r="AD205" s="381" t="n"/>
      <c r="AE205" s="381" t="n"/>
      <c r="AF205" s="381" t="n"/>
      <c r="AG205" s="381" t="n"/>
      <c r="AH205" s="381" t="n"/>
      <c r="AI205" s="381" t="n"/>
      <c r="AJ205" s="381" t="n"/>
      <c r="AK205" s="381" t="n"/>
      <c r="AL205" s="381" t="n"/>
      <c r="AM205" s="381" t="n"/>
      <c r="AN205" s="381" t="n"/>
      <c r="AO205" s="381" t="n"/>
      <c r="AP205" s="381" t="n"/>
      <c r="AQ205" s="381" t="n"/>
      <c r="AR205" s="381" t="n"/>
    </row>
    <row r="206" ht="15.75" customHeight="1" s="375">
      <c r="A206" s="381" t="n"/>
      <c r="B206" s="381" t="n"/>
      <c r="C206" s="381" t="n"/>
      <c r="D206" s="381" t="n"/>
      <c r="E206" s="381" t="n"/>
      <c r="F206" s="381" t="n"/>
      <c r="G206" s="381" t="n"/>
      <c r="H206" s="381" t="n"/>
      <c r="I206" s="381" t="n"/>
      <c r="J206" s="381" t="n"/>
      <c r="K206" s="381" t="n"/>
      <c r="L206" s="381" t="n"/>
      <c r="M206" s="381" t="n"/>
      <c r="N206" s="381" t="n"/>
      <c r="O206" s="381" t="n"/>
      <c r="P206" s="381" t="n"/>
      <c r="Q206" s="381" t="n"/>
      <c r="R206" s="381" t="n"/>
      <c r="S206" s="381" t="n"/>
      <c r="T206" s="544" t="n"/>
      <c r="U206" s="381" t="n"/>
      <c r="V206" s="381" t="n"/>
      <c r="W206" s="381" t="n"/>
      <c r="X206" s="381" t="n"/>
      <c r="Y206" s="381" t="n"/>
      <c r="Z206" s="381" t="n"/>
      <c r="AA206" s="381" t="n"/>
      <c r="AB206" s="381" t="n"/>
      <c r="AC206" s="381" t="n"/>
      <c r="AD206" s="381" t="n"/>
      <c r="AE206" s="381" t="n"/>
      <c r="AF206" s="381" t="n"/>
      <c r="AG206" s="381" t="n"/>
      <c r="AH206" s="381" t="n"/>
      <c r="AI206" s="381" t="n"/>
      <c r="AJ206" s="381" t="n"/>
      <c r="AK206" s="381" t="n"/>
      <c r="AL206" s="381" t="n"/>
      <c r="AM206" s="381" t="n"/>
      <c r="AN206" s="381" t="n"/>
      <c r="AO206" s="381" t="n"/>
      <c r="AP206" s="381" t="n"/>
      <c r="AQ206" s="381" t="n"/>
      <c r="AR206" s="381" t="n"/>
    </row>
    <row r="207" ht="15.75" customHeight="1" s="375">
      <c r="A207" s="381" t="n"/>
      <c r="B207" s="381" t="n"/>
      <c r="C207" s="381" t="n"/>
      <c r="D207" s="381" t="n"/>
      <c r="E207" s="381" t="n"/>
      <c r="F207" s="381" t="n"/>
      <c r="G207" s="381" t="n"/>
      <c r="H207" s="381" t="n"/>
      <c r="I207" s="381" t="n"/>
      <c r="J207" s="381" t="n"/>
      <c r="K207" s="381" t="n"/>
      <c r="L207" s="381" t="n"/>
      <c r="M207" s="381" t="n"/>
      <c r="N207" s="381" t="n"/>
      <c r="O207" s="381" t="n"/>
      <c r="P207" s="381" t="n"/>
      <c r="Q207" s="381" t="n"/>
      <c r="R207" s="381" t="n"/>
      <c r="S207" s="381" t="n"/>
      <c r="T207" s="544" t="n"/>
      <c r="U207" s="381" t="n"/>
      <c r="V207" s="381" t="n"/>
      <c r="W207" s="381" t="n"/>
      <c r="X207" s="381" t="n"/>
      <c r="Y207" s="381" t="n"/>
      <c r="Z207" s="381" t="n"/>
      <c r="AA207" s="381" t="n"/>
      <c r="AB207" s="381" t="n"/>
      <c r="AC207" s="381" t="n"/>
      <c r="AD207" s="381" t="n"/>
      <c r="AE207" s="381" t="n"/>
      <c r="AF207" s="381" t="n"/>
      <c r="AG207" s="381" t="n"/>
      <c r="AH207" s="381" t="n"/>
      <c r="AI207" s="381" t="n"/>
      <c r="AJ207" s="381" t="n"/>
      <c r="AK207" s="381" t="n"/>
      <c r="AL207" s="381" t="n"/>
      <c r="AM207" s="381" t="n"/>
      <c r="AN207" s="381" t="n"/>
      <c r="AO207" s="381" t="n"/>
      <c r="AP207" s="381" t="n"/>
      <c r="AQ207" s="381" t="n"/>
      <c r="AR207" s="381" t="n"/>
    </row>
    <row r="208" ht="15.75" customHeight="1" s="375">
      <c r="A208" s="381" t="n"/>
      <c r="B208" s="381" t="n"/>
      <c r="C208" s="381" t="n"/>
      <c r="D208" s="381" t="n"/>
      <c r="E208" s="381" t="n"/>
      <c r="F208" s="381" t="n"/>
      <c r="G208" s="381" t="n"/>
      <c r="H208" s="381" t="n"/>
      <c r="I208" s="381" t="n"/>
      <c r="J208" s="381" t="n"/>
      <c r="K208" s="381" t="n"/>
      <c r="L208" s="381" t="n"/>
      <c r="M208" s="381" t="n"/>
      <c r="N208" s="381" t="n"/>
      <c r="O208" s="381" t="n"/>
      <c r="P208" s="381" t="n"/>
      <c r="Q208" s="381" t="n"/>
      <c r="R208" s="381" t="n"/>
      <c r="S208" s="381" t="n"/>
      <c r="T208" s="544" t="n"/>
      <c r="U208" s="381" t="n"/>
      <c r="V208" s="381" t="n"/>
      <c r="W208" s="381" t="n"/>
      <c r="X208" s="381" t="n"/>
      <c r="Y208" s="381" t="n"/>
      <c r="Z208" s="381" t="n"/>
      <c r="AA208" s="381" t="n"/>
      <c r="AB208" s="381" t="n"/>
      <c r="AC208" s="381" t="n"/>
      <c r="AD208" s="381" t="n"/>
      <c r="AE208" s="381" t="n"/>
      <c r="AF208" s="381" t="n"/>
      <c r="AG208" s="381" t="n"/>
      <c r="AH208" s="381" t="n"/>
      <c r="AI208" s="381" t="n"/>
      <c r="AJ208" s="381" t="n"/>
      <c r="AK208" s="381" t="n"/>
      <c r="AL208" s="381" t="n"/>
      <c r="AM208" s="381" t="n"/>
      <c r="AN208" s="381" t="n"/>
      <c r="AO208" s="381" t="n"/>
      <c r="AP208" s="381" t="n"/>
      <c r="AQ208" s="381" t="n"/>
      <c r="AR208" s="381" t="n"/>
    </row>
    <row r="209" ht="15.75" customHeight="1" s="375">
      <c r="A209" s="381" t="n"/>
      <c r="B209" s="381" t="n"/>
      <c r="C209" s="381" t="n"/>
      <c r="D209" s="381" t="n"/>
      <c r="E209" s="381" t="n"/>
      <c r="F209" s="381" t="n"/>
      <c r="G209" s="381" t="n"/>
      <c r="H209" s="381" t="n"/>
      <c r="I209" s="381" t="n"/>
      <c r="J209" s="381" t="n"/>
      <c r="K209" s="381" t="n"/>
      <c r="L209" s="381" t="n"/>
      <c r="M209" s="381" t="n"/>
      <c r="N209" s="381" t="n"/>
      <c r="O209" s="381" t="n"/>
      <c r="P209" s="381" t="n"/>
      <c r="Q209" s="381" t="n"/>
      <c r="R209" s="381" t="n"/>
      <c r="S209" s="381" t="n"/>
      <c r="T209" s="544" t="n"/>
      <c r="U209" s="381" t="n"/>
      <c r="V209" s="381" t="n"/>
      <c r="W209" s="381" t="n"/>
      <c r="X209" s="381" t="n"/>
      <c r="Y209" s="381" t="n"/>
      <c r="Z209" s="381" t="n"/>
      <c r="AA209" s="381" t="n"/>
      <c r="AB209" s="381" t="n"/>
      <c r="AC209" s="381" t="n"/>
      <c r="AD209" s="381" t="n"/>
      <c r="AE209" s="381" t="n"/>
      <c r="AF209" s="381" t="n"/>
      <c r="AG209" s="381" t="n"/>
      <c r="AH209" s="381" t="n"/>
      <c r="AI209" s="381" t="n"/>
      <c r="AJ209" s="381" t="n"/>
      <c r="AK209" s="381" t="n"/>
      <c r="AL209" s="381" t="n"/>
      <c r="AM209" s="381" t="n"/>
      <c r="AN209" s="381" t="n"/>
      <c r="AO209" s="381" t="n"/>
      <c r="AP209" s="381" t="n"/>
      <c r="AQ209" s="381" t="n"/>
      <c r="AR209" s="381" t="n"/>
    </row>
    <row r="210" ht="15.75" customHeight="1" s="375">
      <c r="A210" s="381" t="n"/>
      <c r="B210" s="381" t="n"/>
      <c r="C210" s="381" t="n"/>
      <c r="D210" s="381" t="n"/>
      <c r="E210" s="381" t="n"/>
      <c r="F210" s="381" t="n"/>
      <c r="G210" s="381" t="n"/>
      <c r="H210" s="381" t="n"/>
      <c r="I210" s="381" t="n"/>
      <c r="J210" s="381" t="n"/>
      <c r="K210" s="381" t="n"/>
      <c r="L210" s="381" t="n"/>
      <c r="M210" s="381" t="n"/>
      <c r="N210" s="381" t="n"/>
      <c r="O210" s="381" t="n"/>
      <c r="P210" s="381" t="n"/>
      <c r="Q210" s="381" t="n"/>
      <c r="R210" s="381" t="n"/>
      <c r="S210" s="381" t="n"/>
      <c r="T210" s="544" t="n"/>
      <c r="U210" s="381" t="n"/>
      <c r="V210" s="381" t="n"/>
      <c r="W210" s="381" t="n"/>
      <c r="X210" s="381" t="n"/>
      <c r="Y210" s="381" t="n"/>
      <c r="Z210" s="381" t="n"/>
      <c r="AA210" s="381" t="n"/>
      <c r="AB210" s="381" t="n"/>
      <c r="AC210" s="381" t="n"/>
      <c r="AD210" s="381" t="n"/>
      <c r="AE210" s="381" t="n"/>
      <c r="AF210" s="381" t="n"/>
      <c r="AG210" s="381" t="n"/>
      <c r="AH210" s="381" t="n"/>
      <c r="AI210" s="381" t="n"/>
      <c r="AJ210" s="381" t="n"/>
      <c r="AK210" s="381" t="n"/>
      <c r="AL210" s="381" t="n"/>
      <c r="AM210" s="381" t="n"/>
      <c r="AN210" s="381" t="n"/>
      <c r="AO210" s="381" t="n"/>
      <c r="AP210" s="381" t="n"/>
      <c r="AQ210" s="381" t="n"/>
      <c r="AR210" s="381" t="n"/>
    </row>
    <row r="211" ht="15.75" customHeight="1" s="375">
      <c r="A211" s="381" t="n"/>
      <c r="B211" s="381" t="n"/>
      <c r="C211" s="381" t="n"/>
      <c r="D211" s="381" t="n"/>
      <c r="E211" s="381" t="n"/>
      <c r="F211" s="381" t="n"/>
      <c r="G211" s="381" t="n"/>
      <c r="H211" s="381" t="n"/>
      <c r="I211" s="381" t="n"/>
      <c r="J211" s="381" t="n"/>
      <c r="K211" s="381" t="n"/>
      <c r="L211" s="381" t="n"/>
      <c r="M211" s="381" t="n"/>
      <c r="N211" s="381" t="n"/>
      <c r="O211" s="381" t="n"/>
      <c r="P211" s="381" t="n"/>
      <c r="Q211" s="381" t="n"/>
      <c r="R211" s="381" t="n"/>
      <c r="S211" s="381" t="n"/>
      <c r="T211" s="544" t="n"/>
      <c r="U211" s="381" t="n"/>
      <c r="V211" s="381" t="n"/>
      <c r="W211" s="381" t="n"/>
      <c r="X211" s="381" t="n"/>
      <c r="Y211" s="381" t="n"/>
      <c r="Z211" s="381" t="n"/>
      <c r="AA211" s="381" t="n"/>
      <c r="AB211" s="381" t="n"/>
      <c r="AC211" s="381" t="n"/>
      <c r="AD211" s="381" t="n"/>
      <c r="AE211" s="381" t="n"/>
      <c r="AF211" s="381" t="n"/>
      <c r="AG211" s="381" t="n"/>
      <c r="AH211" s="381" t="n"/>
      <c r="AI211" s="381" t="n"/>
      <c r="AJ211" s="381" t="n"/>
      <c r="AK211" s="381" t="n"/>
      <c r="AL211" s="381" t="n"/>
      <c r="AM211" s="381" t="n"/>
      <c r="AN211" s="381" t="n"/>
      <c r="AO211" s="381" t="n"/>
      <c r="AP211" s="381" t="n"/>
      <c r="AQ211" s="381" t="n"/>
      <c r="AR211" s="381" t="n"/>
    </row>
    <row r="212" ht="15.75" customHeight="1" s="375">
      <c r="A212" s="381" t="n"/>
      <c r="B212" s="381" t="n"/>
      <c r="C212" s="381" t="n"/>
      <c r="D212" s="381" t="n"/>
      <c r="E212" s="381" t="n"/>
      <c r="F212" s="381" t="n"/>
      <c r="G212" s="381" t="n"/>
      <c r="H212" s="381" t="n"/>
      <c r="I212" s="381" t="n"/>
      <c r="J212" s="381" t="n"/>
      <c r="K212" s="381" t="n"/>
      <c r="L212" s="381" t="n"/>
      <c r="M212" s="381" t="n"/>
      <c r="N212" s="381" t="n"/>
      <c r="O212" s="381" t="n"/>
      <c r="P212" s="381" t="n"/>
      <c r="Q212" s="381" t="n"/>
      <c r="R212" s="381" t="n"/>
      <c r="S212" s="381" t="n"/>
      <c r="T212" s="544" t="n"/>
      <c r="U212" s="381" t="n"/>
      <c r="V212" s="381" t="n"/>
      <c r="W212" s="381" t="n"/>
      <c r="X212" s="381" t="n"/>
      <c r="Y212" s="381" t="n"/>
      <c r="Z212" s="381" t="n"/>
      <c r="AA212" s="381" t="n"/>
      <c r="AB212" s="381" t="n"/>
      <c r="AC212" s="381" t="n"/>
      <c r="AD212" s="381" t="n"/>
      <c r="AE212" s="381" t="n"/>
      <c r="AF212" s="381" t="n"/>
      <c r="AG212" s="381" t="n"/>
      <c r="AH212" s="381" t="n"/>
      <c r="AI212" s="381" t="n"/>
      <c r="AJ212" s="381" t="n"/>
      <c r="AK212" s="381" t="n"/>
      <c r="AL212" s="381" t="n"/>
      <c r="AM212" s="381" t="n"/>
      <c r="AN212" s="381" t="n"/>
      <c r="AO212" s="381" t="n"/>
      <c r="AP212" s="381" t="n"/>
      <c r="AQ212" s="381" t="n"/>
      <c r="AR212" s="381" t="n"/>
    </row>
    <row r="213" ht="15.75" customHeight="1" s="375">
      <c r="A213" s="381" t="n"/>
      <c r="B213" s="381" t="n"/>
      <c r="C213" s="381" t="n"/>
      <c r="D213" s="381" t="n"/>
      <c r="E213" s="381" t="n"/>
      <c r="F213" s="381" t="n"/>
      <c r="G213" s="381" t="n"/>
      <c r="H213" s="381" t="n"/>
      <c r="I213" s="381" t="n"/>
      <c r="J213" s="381" t="n"/>
      <c r="K213" s="381" t="n"/>
      <c r="L213" s="381" t="n"/>
      <c r="M213" s="381" t="n"/>
      <c r="N213" s="381" t="n"/>
      <c r="O213" s="381" t="n"/>
      <c r="P213" s="381" t="n"/>
      <c r="Q213" s="381" t="n"/>
      <c r="R213" s="381" t="n"/>
      <c r="S213" s="381" t="n"/>
      <c r="T213" s="544" t="n"/>
      <c r="U213" s="381" t="n"/>
      <c r="V213" s="381" t="n"/>
      <c r="W213" s="381" t="n"/>
      <c r="X213" s="381" t="n"/>
      <c r="Y213" s="381" t="n"/>
      <c r="Z213" s="381" t="n"/>
      <c r="AA213" s="381" t="n"/>
      <c r="AB213" s="381" t="n"/>
      <c r="AC213" s="381" t="n"/>
      <c r="AD213" s="381" t="n"/>
      <c r="AE213" s="381" t="n"/>
      <c r="AF213" s="381" t="n"/>
      <c r="AG213" s="381" t="n"/>
      <c r="AH213" s="381" t="n"/>
      <c r="AI213" s="381" t="n"/>
      <c r="AJ213" s="381" t="n"/>
      <c r="AK213" s="381" t="n"/>
      <c r="AL213" s="381" t="n"/>
      <c r="AM213" s="381" t="n"/>
      <c r="AN213" s="381" t="n"/>
      <c r="AO213" s="381" t="n"/>
      <c r="AP213" s="381" t="n"/>
      <c r="AQ213" s="381" t="n"/>
      <c r="AR213" s="381" t="n"/>
    </row>
    <row r="214" ht="15.75" customHeight="1" s="375">
      <c r="A214" s="381" t="n"/>
      <c r="B214" s="381" t="n"/>
      <c r="C214" s="381" t="n"/>
      <c r="D214" s="381" t="n"/>
      <c r="E214" s="381" t="n"/>
      <c r="F214" s="381" t="n"/>
      <c r="G214" s="381" t="n"/>
      <c r="H214" s="381" t="n"/>
      <c r="I214" s="381" t="n"/>
      <c r="J214" s="381" t="n"/>
      <c r="K214" s="381" t="n"/>
      <c r="L214" s="381" t="n"/>
      <c r="M214" s="381" t="n"/>
      <c r="N214" s="381" t="n"/>
      <c r="O214" s="381" t="n"/>
      <c r="P214" s="381" t="n"/>
      <c r="Q214" s="381" t="n"/>
      <c r="R214" s="381" t="n"/>
      <c r="S214" s="381" t="n"/>
      <c r="T214" s="544" t="n"/>
      <c r="U214" s="381" t="n"/>
      <c r="V214" s="381" t="n"/>
      <c r="W214" s="381" t="n"/>
      <c r="X214" s="381" t="n"/>
      <c r="Y214" s="381" t="n"/>
      <c r="Z214" s="381" t="n"/>
      <c r="AA214" s="381" t="n"/>
      <c r="AB214" s="381" t="n"/>
      <c r="AC214" s="381" t="n"/>
      <c r="AD214" s="381" t="n"/>
      <c r="AE214" s="381" t="n"/>
      <c r="AF214" s="381" t="n"/>
      <c r="AG214" s="381" t="n"/>
      <c r="AH214" s="381" t="n"/>
      <c r="AI214" s="381" t="n"/>
      <c r="AJ214" s="381" t="n"/>
      <c r="AK214" s="381" t="n"/>
      <c r="AL214" s="381" t="n"/>
      <c r="AM214" s="381" t="n"/>
      <c r="AN214" s="381" t="n"/>
      <c r="AO214" s="381" t="n"/>
      <c r="AP214" s="381" t="n"/>
      <c r="AQ214" s="381" t="n"/>
      <c r="AR214" s="381" t="n"/>
    </row>
    <row r="215" ht="15.75" customHeight="1" s="375">
      <c r="A215" s="381" t="n"/>
      <c r="B215" s="381" t="n"/>
      <c r="C215" s="381" t="n"/>
      <c r="D215" s="381" t="n"/>
      <c r="E215" s="381" t="n"/>
      <c r="F215" s="381" t="n"/>
      <c r="G215" s="381" t="n"/>
      <c r="H215" s="381" t="n"/>
      <c r="I215" s="381" t="n"/>
      <c r="J215" s="381" t="n"/>
      <c r="K215" s="381" t="n"/>
      <c r="L215" s="381" t="n"/>
      <c r="M215" s="381" t="n"/>
      <c r="N215" s="381" t="n"/>
      <c r="O215" s="381" t="n"/>
      <c r="P215" s="381" t="n"/>
      <c r="Q215" s="381" t="n"/>
      <c r="R215" s="381" t="n"/>
      <c r="S215" s="381" t="n"/>
      <c r="T215" s="544" t="n"/>
      <c r="U215" s="381" t="n"/>
      <c r="V215" s="381" t="n"/>
      <c r="W215" s="381" t="n"/>
      <c r="X215" s="381" t="n"/>
      <c r="Y215" s="381" t="n"/>
      <c r="Z215" s="381" t="n"/>
      <c r="AA215" s="381" t="n"/>
      <c r="AB215" s="381" t="n"/>
      <c r="AC215" s="381" t="n"/>
      <c r="AD215" s="381" t="n"/>
      <c r="AE215" s="381" t="n"/>
      <c r="AF215" s="381" t="n"/>
      <c r="AG215" s="381" t="n"/>
      <c r="AH215" s="381" t="n"/>
      <c r="AI215" s="381" t="n"/>
      <c r="AJ215" s="381" t="n"/>
      <c r="AK215" s="381" t="n"/>
      <c r="AL215" s="381" t="n"/>
      <c r="AM215" s="381" t="n"/>
      <c r="AN215" s="381" t="n"/>
      <c r="AO215" s="381" t="n"/>
      <c r="AP215" s="381" t="n"/>
      <c r="AQ215" s="381" t="n"/>
      <c r="AR215" s="381" t="n"/>
    </row>
    <row r="216" ht="15.75" customHeight="1" s="375">
      <c r="A216" s="381" t="n"/>
      <c r="B216" s="381" t="n"/>
      <c r="C216" s="381" t="n"/>
      <c r="D216" s="381" t="n"/>
      <c r="E216" s="381" t="n"/>
      <c r="F216" s="381" t="n"/>
      <c r="G216" s="381" t="n"/>
      <c r="H216" s="381" t="n"/>
      <c r="I216" s="381" t="n"/>
      <c r="J216" s="381" t="n"/>
      <c r="K216" s="381" t="n"/>
      <c r="L216" s="381" t="n"/>
      <c r="M216" s="381" t="n"/>
      <c r="N216" s="381" t="n"/>
      <c r="O216" s="381" t="n"/>
      <c r="P216" s="381" t="n"/>
      <c r="Q216" s="381" t="n"/>
      <c r="R216" s="381" t="n"/>
      <c r="S216" s="381" t="n"/>
      <c r="T216" s="544" t="n"/>
      <c r="U216" s="381" t="n"/>
      <c r="V216" s="381" t="n"/>
      <c r="W216" s="381" t="n"/>
      <c r="X216" s="381" t="n"/>
      <c r="Y216" s="381" t="n"/>
      <c r="Z216" s="381" t="n"/>
      <c r="AA216" s="381" t="n"/>
      <c r="AB216" s="381" t="n"/>
      <c r="AC216" s="381" t="n"/>
      <c r="AD216" s="381" t="n"/>
      <c r="AE216" s="381" t="n"/>
      <c r="AF216" s="381" t="n"/>
      <c r="AG216" s="381" t="n"/>
      <c r="AH216" s="381" t="n"/>
      <c r="AI216" s="381" t="n"/>
      <c r="AJ216" s="381" t="n"/>
      <c r="AK216" s="381" t="n"/>
      <c r="AL216" s="381" t="n"/>
      <c r="AM216" s="381" t="n"/>
      <c r="AN216" s="381" t="n"/>
      <c r="AO216" s="381" t="n"/>
      <c r="AP216" s="381" t="n"/>
      <c r="AQ216" s="381" t="n"/>
      <c r="AR216" s="381" t="n"/>
    </row>
    <row r="217" ht="15.75" customHeight="1" s="375">
      <c r="A217" s="381" t="n"/>
      <c r="B217" s="381" t="n"/>
      <c r="C217" s="381" t="n"/>
      <c r="D217" s="381" t="n"/>
      <c r="E217" s="381" t="n"/>
      <c r="F217" s="381" t="n"/>
      <c r="G217" s="381" t="n"/>
      <c r="H217" s="381" t="n"/>
      <c r="I217" s="381" t="n"/>
      <c r="J217" s="381" t="n"/>
      <c r="K217" s="381" t="n"/>
      <c r="L217" s="381" t="n"/>
      <c r="M217" s="381" t="n"/>
      <c r="N217" s="381" t="n"/>
      <c r="O217" s="381" t="n"/>
      <c r="P217" s="381" t="n"/>
      <c r="Q217" s="381" t="n"/>
      <c r="R217" s="381" t="n"/>
      <c r="S217" s="381" t="n"/>
      <c r="T217" s="544" t="n"/>
      <c r="U217" s="381" t="n"/>
      <c r="V217" s="381" t="n"/>
      <c r="W217" s="381" t="n"/>
      <c r="X217" s="381" t="n"/>
      <c r="Y217" s="381" t="n"/>
      <c r="Z217" s="381" t="n"/>
      <c r="AA217" s="381" t="n"/>
      <c r="AB217" s="381" t="n"/>
      <c r="AC217" s="381" t="n"/>
      <c r="AD217" s="381" t="n"/>
      <c r="AE217" s="381" t="n"/>
      <c r="AF217" s="381" t="n"/>
      <c r="AG217" s="381" t="n"/>
      <c r="AH217" s="381" t="n"/>
      <c r="AI217" s="381" t="n"/>
      <c r="AJ217" s="381" t="n"/>
      <c r="AK217" s="381" t="n"/>
      <c r="AL217" s="381" t="n"/>
      <c r="AM217" s="381" t="n"/>
      <c r="AN217" s="381" t="n"/>
      <c r="AO217" s="381" t="n"/>
      <c r="AP217" s="381" t="n"/>
      <c r="AQ217" s="381" t="n"/>
      <c r="AR217" s="381" t="n"/>
    </row>
    <row r="218" ht="15.75" customHeight="1" s="375">
      <c r="A218" s="381" t="n"/>
      <c r="B218" s="381" t="n"/>
      <c r="C218" s="381" t="n"/>
      <c r="D218" s="381" t="n"/>
      <c r="E218" s="381" t="n"/>
      <c r="F218" s="381" t="n"/>
      <c r="G218" s="381" t="n"/>
      <c r="H218" s="381" t="n"/>
      <c r="I218" s="381" t="n"/>
      <c r="J218" s="381" t="n"/>
      <c r="K218" s="381" t="n"/>
      <c r="L218" s="381" t="n"/>
      <c r="M218" s="381" t="n"/>
      <c r="N218" s="381" t="n"/>
      <c r="O218" s="381" t="n"/>
      <c r="P218" s="381" t="n"/>
      <c r="Q218" s="381" t="n"/>
      <c r="R218" s="381" t="n"/>
      <c r="S218" s="381" t="n"/>
      <c r="T218" s="544" t="n"/>
      <c r="U218" s="381" t="n"/>
      <c r="V218" s="381" t="n"/>
      <c r="W218" s="381" t="n"/>
      <c r="X218" s="381" t="n"/>
      <c r="Y218" s="381" t="n"/>
      <c r="Z218" s="381" t="n"/>
      <c r="AA218" s="381" t="n"/>
      <c r="AB218" s="381" t="n"/>
      <c r="AC218" s="381" t="n"/>
      <c r="AD218" s="381" t="n"/>
      <c r="AE218" s="381" t="n"/>
      <c r="AF218" s="381" t="n"/>
      <c r="AG218" s="381" t="n"/>
      <c r="AH218" s="381" t="n"/>
      <c r="AI218" s="381" t="n"/>
      <c r="AJ218" s="381" t="n"/>
      <c r="AK218" s="381" t="n"/>
      <c r="AL218" s="381" t="n"/>
      <c r="AM218" s="381" t="n"/>
      <c r="AN218" s="381" t="n"/>
      <c r="AO218" s="381" t="n"/>
      <c r="AP218" s="381" t="n"/>
      <c r="AQ218" s="381" t="n"/>
      <c r="AR218" s="381" t="n"/>
    </row>
    <row r="219" ht="15.75" customHeight="1" s="375">
      <c r="A219" s="381" t="n"/>
      <c r="B219" s="381" t="n"/>
      <c r="C219" s="381" t="n"/>
      <c r="D219" s="381" t="n"/>
      <c r="E219" s="381" t="n"/>
      <c r="F219" s="381" t="n"/>
      <c r="G219" s="381" t="n"/>
      <c r="H219" s="381" t="n"/>
      <c r="I219" s="381" t="n"/>
      <c r="J219" s="381" t="n"/>
      <c r="K219" s="381" t="n"/>
      <c r="L219" s="381" t="n"/>
      <c r="M219" s="381" t="n"/>
      <c r="N219" s="381" t="n"/>
      <c r="O219" s="381" t="n"/>
      <c r="P219" s="381" t="n"/>
      <c r="Q219" s="381" t="n"/>
      <c r="R219" s="381" t="n"/>
      <c r="S219" s="381" t="n"/>
      <c r="T219" s="544" t="n"/>
      <c r="U219" s="381" t="n"/>
      <c r="V219" s="381" t="n"/>
      <c r="W219" s="381" t="n"/>
      <c r="X219" s="381" t="n"/>
      <c r="Y219" s="381" t="n"/>
      <c r="Z219" s="381" t="n"/>
      <c r="AA219" s="381" t="n"/>
      <c r="AB219" s="381" t="n"/>
      <c r="AC219" s="381" t="n"/>
      <c r="AD219" s="381" t="n"/>
      <c r="AE219" s="381" t="n"/>
      <c r="AF219" s="381" t="n"/>
      <c r="AG219" s="381" t="n"/>
      <c r="AH219" s="381" t="n"/>
      <c r="AI219" s="381" t="n"/>
      <c r="AJ219" s="381" t="n"/>
      <c r="AK219" s="381" t="n"/>
      <c r="AL219" s="381" t="n"/>
      <c r="AM219" s="381" t="n"/>
      <c r="AN219" s="381" t="n"/>
      <c r="AO219" s="381" t="n"/>
      <c r="AP219" s="381" t="n"/>
      <c r="AQ219" s="381" t="n"/>
      <c r="AR219" s="381" t="n"/>
    </row>
    <row r="220" ht="15.75" customHeight="1" s="375">
      <c r="A220" s="381" t="n"/>
      <c r="B220" s="381" t="n"/>
      <c r="C220" s="381" t="n"/>
      <c r="D220" s="381" t="n"/>
      <c r="E220" s="381" t="n"/>
      <c r="F220" s="381" t="n"/>
      <c r="G220" s="381" t="n"/>
      <c r="H220" s="381" t="n"/>
      <c r="I220" s="381" t="n"/>
      <c r="J220" s="381" t="n"/>
      <c r="K220" s="381" t="n"/>
      <c r="L220" s="381" t="n"/>
      <c r="M220" s="381" t="n"/>
      <c r="N220" s="381" t="n"/>
      <c r="O220" s="381" t="n"/>
      <c r="P220" s="381" t="n"/>
      <c r="Q220" s="381" t="n"/>
      <c r="R220" s="381" t="n"/>
      <c r="S220" s="381" t="n"/>
      <c r="T220" s="544" t="n"/>
      <c r="U220" s="381" t="n"/>
      <c r="V220" s="381" t="n"/>
      <c r="W220" s="381" t="n"/>
      <c r="X220" s="381" t="n"/>
      <c r="Y220" s="381" t="n"/>
      <c r="Z220" s="381" t="n"/>
      <c r="AA220" s="381" t="n"/>
      <c r="AB220" s="381" t="n"/>
      <c r="AC220" s="381" t="n"/>
      <c r="AD220" s="381" t="n"/>
      <c r="AE220" s="381" t="n"/>
      <c r="AF220" s="381" t="n"/>
      <c r="AG220" s="381" t="n"/>
      <c r="AH220" s="381" t="n"/>
      <c r="AI220" s="381" t="n"/>
      <c r="AJ220" s="381" t="n"/>
      <c r="AK220" s="381" t="n"/>
      <c r="AL220" s="381" t="n"/>
      <c r="AM220" s="381" t="n"/>
      <c r="AN220" s="381" t="n"/>
      <c r="AO220" s="381" t="n"/>
      <c r="AP220" s="381" t="n"/>
      <c r="AQ220" s="381" t="n"/>
      <c r="AR220" s="381" t="n"/>
    </row>
    <row r="221" ht="15.75" customHeight="1" s="375">
      <c r="A221" s="381" t="n"/>
      <c r="B221" s="381" t="n"/>
      <c r="C221" s="381" t="n"/>
      <c r="D221" s="381" t="n"/>
      <c r="E221" s="381" t="n"/>
      <c r="F221" s="381" t="n"/>
      <c r="G221" s="381" t="n"/>
      <c r="H221" s="381" t="n"/>
      <c r="I221" s="381" t="n"/>
      <c r="J221" s="381" t="n"/>
      <c r="K221" s="381" t="n"/>
      <c r="L221" s="381" t="n"/>
      <c r="M221" s="381" t="n"/>
      <c r="N221" s="381" t="n"/>
      <c r="O221" s="381" t="n"/>
      <c r="P221" s="381" t="n"/>
      <c r="Q221" s="381" t="n"/>
      <c r="R221" s="381" t="n"/>
      <c r="S221" s="381" t="n"/>
      <c r="T221" s="544" t="n"/>
      <c r="U221" s="381" t="n"/>
      <c r="V221" s="381" t="n"/>
      <c r="W221" s="381" t="n"/>
      <c r="X221" s="381" t="n"/>
      <c r="Y221" s="381" t="n"/>
      <c r="Z221" s="381" t="n"/>
      <c r="AA221" s="381" t="n"/>
      <c r="AB221" s="381" t="n"/>
      <c r="AC221" s="381" t="n"/>
      <c r="AD221" s="381" t="n"/>
      <c r="AE221" s="381" t="n"/>
      <c r="AF221" s="381" t="n"/>
      <c r="AG221" s="381" t="n"/>
      <c r="AH221" s="381" t="n"/>
      <c r="AI221" s="381" t="n"/>
      <c r="AJ221" s="381" t="n"/>
      <c r="AK221" s="381" t="n"/>
      <c r="AL221" s="381" t="n"/>
      <c r="AM221" s="381" t="n"/>
      <c r="AN221" s="381" t="n"/>
      <c r="AO221" s="381" t="n"/>
      <c r="AP221" s="381" t="n"/>
      <c r="AQ221" s="381" t="n"/>
      <c r="AR221" s="381" t="n"/>
    </row>
    <row r="222" ht="15.75" customHeight="1" s="375">
      <c r="A222" s="381" t="n"/>
      <c r="B222" s="381" t="n"/>
      <c r="C222" s="381" t="n"/>
      <c r="D222" s="381" t="n"/>
      <c r="E222" s="381" t="n"/>
      <c r="F222" s="381" t="n"/>
      <c r="G222" s="381" t="n"/>
      <c r="H222" s="381" t="n"/>
      <c r="I222" s="381" t="n"/>
      <c r="J222" s="381" t="n"/>
      <c r="K222" s="381" t="n"/>
      <c r="L222" s="381" t="n"/>
      <c r="M222" s="381" t="n"/>
      <c r="N222" s="381" t="n"/>
      <c r="O222" s="381" t="n"/>
      <c r="P222" s="381" t="n"/>
      <c r="Q222" s="381" t="n"/>
      <c r="R222" s="381" t="n"/>
      <c r="S222" s="381" t="n"/>
      <c r="T222" s="544" t="n"/>
      <c r="U222" s="381" t="n"/>
      <c r="V222" s="381" t="n"/>
      <c r="W222" s="381" t="n"/>
      <c r="X222" s="381" t="n"/>
      <c r="Y222" s="381" t="n"/>
      <c r="Z222" s="381" t="n"/>
      <c r="AA222" s="381" t="n"/>
      <c r="AB222" s="381" t="n"/>
      <c r="AC222" s="381" t="n"/>
      <c r="AD222" s="381" t="n"/>
      <c r="AE222" s="381" t="n"/>
      <c r="AF222" s="381" t="n"/>
      <c r="AG222" s="381" t="n"/>
      <c r="AH222" s="381" t="n"/>
      <c r="AI222" s="381" t="n"/>
      <c r="AJ222" s="381" t="n"/>
      <c r="AK222" s="381" t="n"/>
      <c r="AL222" s="381" t="n"/>
      <c r="AM222" s="381" t="n"/>
      <c r="AN222" s="381" t="n"/>
      <c r="AO222" s="381" t="n"/>
      <c r="AP222" s="381" t="n"/>
      <c r="AQ222" s="381" t="n"/>
      <c r="AR222" s="381" t="n"/>
    </row>
    <row r="223" ht="15.75" customHeight="1" s="375">
      <c r="A223" s="381" t="n"/>
      <c r="B223" s="381" t="n"/>
      <c r="C223" s="381" t="n"/>
      <c r="D223" s="381" t="n"/>
      <c r="E223" s="381" t="n"/>
      <c r="F223" s="381" t="n"/>
      <c r="G223" s="381" t="n"/>
      <c r="H223" s="381" t="n"/>
      <c r="I223" s="381" t="n"/>
      <c r="J223" s="381" t="n"/>
      <c r="K223" s="381" t="n"/>
      <c r="L223" s="381" t="n"/>
      <c r="M223" s="381" t="n"/>
      <c r="N223" s="381" t="n"/>
      <c r="O223" s="381" t="n"/>
      <c r="P223" s="381" t="n"/>
      <c r="Q223" s="381" t="n"/>
      <c r="R223" s="381" t="n"/>
      <c r="S223" s="381" t="n"/>
      <c r="T223" s="544" t="n"/>
      <c r="U223" s="381" t="n"/>
      <c r="V223" s="381" t="n"/>
      <c r="W223" s="381" t="n"/>
      <c r="X223" s="381" t="n"/>
      <c r="Y223" s="381" t="n"/>
      <c r="Z223" s="381" t="n"/>
      <c r="AA223" s="381" t="n"/>
      <c r="AB223" s="381" t="n"/>
      <c r="AC223" s="381" t="n"/>
      <c r="AD223" s="381" t="n"/>
      <c r="AE223" s="381" t="n"/>
      <c r="AF223" s="381" t="n"/>
      <c r="AG223" s="381" t="n"/>
      <c r="AH223" s="381" t="n"/>
      <c r="AI223" s="381" t="n"/>
      <c r="AJ223" s="381" t="n"/>
      <c r="AK223" s="381" t="n"/>
      <c r="AL223" s="381" t="n"/>
      <c r="AM223" s="381" t="n"/>
      <c r="AN223" s="381" t="n"/>
      <c r="AO223" s="381" t="n"/>
      <c r="AP223" s="381" t="n"/>
      <c r="AQ223" s="381" t="n"/>
      <c r="AR223" s="381" t="n"/>
    </row>
    <row r="224" ht="15.75" customHeight="1" s="375">
      <c r="A224" s="381" t="n"/>
      <c r="B224" s="381" t="n"/>
      <c r="C224" s="381" t="n"/>
      <c r="D224" s="381" t="n"/>
      <c r="E224" s="381" t="n"/>
      <c r="F224" s="381" t="n"/>
      <c r="G224" s="381" t="n"/>
      <c r="H224" s="381" t="n"/>
      <c r="I224" s="381" t="n"/>
      <c r="J224" s="381" t="n"/>
      <c r="K224" s="381" t="n"/>
      <c r="L224" s="381" t="n"/>
      <c r="M224" s="381" t="n"/>
      <c r="N224" s="381" t="n"/>
      <c r="O224" s="381" t="n"/>
      <c r="P224" s="381" t="n"/>
      <c r="Q224" s="381" t="n"/>
      <c r="R224" s="381" t="n"/>
      <c r="S224" s="381" t="n"/>
      <c r="T224" s="544" t="n"/>
      <c r="U224" s="381" t="n"/>
      <c r="V224" s="381" t="n"/>
      <c r="W224" s="381" t="n"/>
      <c r="X224" s="381" t="n"/>
      <c r="Y224" s="381" t="n"/>
      <c r="Z224" s="381" t="n"/>
      <c r="AA224" s="381" t="n"/>
      <c r="AB224" s="381" t="n"/>
      <c r="AC224" s="381" t="n"/>
      <c r="AD224" s="381" t="n"/>
      <c r="AE224" s="381" t="n"/>
      <c r="AF224" s="381" t="n"/>
      <c r="AG224" s="381" t="n"/>
      <c r="AH224" s="381" t="n"/>
      <c r="AI224" s="381" t="n"/>
      <c r="AJ224" s="381" t="n"/>
      <c r="AK224" s="381" t="n"/>
      <c r="AL224" s="381" t="n"/>
      <c r="AM224" s="381" t="n"/>
      <c r="AN224" s="381" t="n"/>
      <c r="AO224" s="381" t="n"/>
      <c r="AP224" s="381" t="n"/>
      <c r="AQ224" s="381" t="n"/>
      <c r="AR224" s="381" t="n"/>
    </row>
    <row r="225" ht="15.75" customHeight="1" s="375">
      <c r="A225" s="381" t="n"/>
      <c r="B225" s="381" t="n"/>
      <c r="C225" s="381" t="n"/>
      <c r="D225" s="381" t="n"/>
      <c r="E225" s="381" t="n"/>
      <c r="F225" s="381" t="n"/>
      <c r="G225" s="381" t="n"/>
      <c r="H225" s="381" t="n"/>
      <c r="I225" s="381" t="n"/>
      <c r="J225" s="381" t="n"/>
      <c r="K225" s="381" t="n"/>
      <c r="L225" s="381" t="n"/>
      <c r="M225" s="381" t="n"/>
      <c r="N225" s="381" t="n"/>
      <c r="O225" s="381" t="n"/>
      <c r="P225" s="381" t="n"/>
      <c r="Q225" s="381" t="n"/>
      <c r="R225" s="381" t="n"/>
      <c r="S225" s="381" t="n"/>
      <c r="T225" s="544" t="n"/>
      <c r="U225" s="381" t="n"/>
      <c r="V225" s="381" t="n"/>
      <c r="W225" s="381" t="n"/>
      <c r="X225" s="381" t="n"/>
      <c r="Y225" s="381" t="n"/>
      <c r="Z225" s="381" t="n"/>
      <c r="AA225" s="381" t="n"/>
      <c r="AB225" s="381" t="n"/>
      <c r="AC225" s="381" t="n"/>
      <c r="AD225" s="381" t="n"/>
      <c r="AE225" s="381" t="n"/>
      <c r="AF225" s="381" t="n"/>
      <c r="AG225" s="381" t="n"/>
      <c r="AH225" s="381" t="n"/>
      <c r="AI225" s="381" t="n"/>
      <c r="AJ225" s="381" t="n"/>
      <c r="AK225" s="381" t="n"/>
      <c r="AL225" s="381" t="n"/>
      <c r="AM225" s="381" t="n"/>
      <c r="AN225" s="381" t="n"/>
      <c r="AO225" s="381" t="n"/>
      <c r="AP225" s="381" t="n"/>
      <c r="AQ225" s="381" t="n"/>
      <c r="AR225" s="381" t="n"/>
    </row>
    <row r="226" ht="15.75" customHeight="1" s="375">
      <c r="A226" s="381" t="n"/>
      <c r="B226" s="381" t="n"/>
      <c r="C226" s="381" t="n"/>
      <c r="D226" s="381" t="n"/>
      <c r="E226" s="381" t="n"/>
      <c r="F226" s="381" t="n"/>
      <c r="G226" s="381" t="n"/>
      <c r="H226" s="381" t="n"/>
      <c r="I226" s="381" t="n"/>
      <c r="J226" s="381" t="n"/>
      <c r="K226" s="381" t="n"/>
      <c r="L226" s="381" t="n"/>
      <c r="M226" s="381" t="n"/>
      <c r="N226" s="381" t="n"/>
      <c r="O226" s="381" t="n"/>
      <c r="P226" s="381" t="n"/>
      <c r="Q226" s="381" t="n"/>
      <c r="R226" s="381" t="n"/>
      <c r="S226" s="381" t="n"/>
      <c r="T226" s="544" t="n"/>
      <c r="U226" s="381" t="n"/>
      <c r="V226" s="381" t="n"/>
      <c r="W226" s="381" t="n"/>
      <c r="X226" s="381" t="n"/>
      <c r="Y226" s="381" t="n"/>
      <c r="Z226" s="381" t="n"/>
      <c r="AA226" s="381" t="n"/>
      <c r="AB226" s="381" t="n"/>
      <c r="AC226" s="381" t="n"/>
      <c r="AD226" s="381" t="n"/>
      <c r="AE226" s="381" t="n"/>
      <c r="AF226" s="381" t="n"/>
      <c r="AG226" s="381" t="n"/>
      <c r="AH226" s="381" t="n"/>
      <c r="AI226" s="381" t="n"/>
      <c r="AJ226" s="381" t="n"/>
      <c r="AK226" s="381" t="n"/>
      <c r="AL226" s="381" t="n"/>
      <c r="AM226" s="381" t="n"/>
      <c r="AN226" s="381" t="n"/>
      <c r="AO226" s="381" t="n"/>
      <c r="AP226" s="381" t="n"/>
      <c r="AQ226" s="381" t="n"/>
      <c r="AR226" s="381" t="n"/>
    </row>
    <row r="227" ht="15.75" customHeight="1" s="375">
      <c r="A227" s="381" t="n"/>
      <c r="B227" s="381" t="n"/>
      <c r="C227" s="381" t="n"/>
      <c r="D227" s="381" t="n"/>
      <c r="E227" s="381" t="n"/>
      <c r="F227" s="381" t="n"/>
      <c r="G227" s="381" t="n"/>
      <c r="H227" s="381" t="n"/>
      <c r="I227" s="381" t="n"/>
      <c r="J227" s="381" t="n"/>
      <c r="K227" s="381" t="n"/>
      <c r="L227" s="381" t="n"/>
      <c r="M227" s="381" t="n"/>
      <c r="N227" s="381" t="n"/>
      <c r="O227" s="381" t="n"/>
      <c r="P227" s="381" t="n"/>
      <c r="Q227" s="381" t="n"/>
      <c r="R227" s="381" t="n"/>
      <c r="S227" s="381" t="n"/>
      <c r="T227" s="544" t="n"/>
      <c r="U227" s="381" t="n"/>
      <c r="V227" s="381" t="n"/>
      <c r="W227" s="381" t="n"/>
      <c r="X227" s="381" t="n"/>
      <c r="Y227" s="381" t="n"/>
      <c r="Z227" s="381" t="n"/>
      <c r="AA227" s="381" t="n"/>
      <c r="AB227" s="381" t="n"/>
      <c r="AC227" s="381" t="n"/>
      <c r="AD227" s="381" t="n"/>
      <c r="AE227" s="381" t="n"/>
      <c r="AF227" s="381" t="n"/>
      <c r="AG227" s="381" t="n"/>
      <c r="AH227" s="381" t="n"/>
      <c r="AI227" s="381" t="n"/>
      <c r="AJ227" s="381" t="n"/>
      <c r="AK227" s="381" t="n"/>
      <c r="AL227" s="381" t="n"/>
      <c r="AM227" s="381" t="n"/>
      <c r="AN227" s="381" t="n"/>
      <c r="AO227" s="381" t="n"/>
      <c r="AP227" s="381" t="n"/>
      <c r="AQ227" s="381" t="n"/>
      <c r="AR227" s="381" t="n"/>
    </row>
    <row r="228" ht="15.75" customHeight="1" s="375">
      <c r="A228" s="381" t="n"/>
      <c r="B228" s="381" t="n"/>
      <c r="C228" s="381" t="n"/>
      <c r="D228" s="381" t="n"/>
      <c r="E228" s="381" t="n"/>
      <c r="F228" s="381" t="n"/>
      <c r="G228" s="381" t="n"/>
      <c r="H228" s="381" t="n"/>
      <c r="I228" s="381" t="n"/>
      <c r="J228" s="381" t="n"/>
      <c r="K228" s="381" t="n"/>
      <c r="L228" s="381" t="n"/>
      <c r="M228" s="381" t="n"/>
      <c r="N228" s="381" t="n"/>
      <c r="O228" s="381" t="n"/>
      <c r="P228" s="381" t="n"/>
      <c r="Q228" s="381" t="n"/>
      <c r="R228" s="381" t="n"/>
      <c r="S228" s="381" t="n"/>
      <c r="T228" s="544" t="n"/>
      <c r="U228" s="381" t="n"/>
      <c r="V228" s="381" t="n"/>
      <c r="W228" s="381" t="n"/>
      <c r="X228" s="381" t="n"/>
      <c r="Y228" s="381" t="n"/>
      <c r="Z228" s="381" t="n"/>
      <c r="AA228" s="381" t="n"/>
      <c r="AB228" s="381" t="n"/>
      <c r="AC228" s="381" t="n"/>
      <c r="AD228" s="381" t="n"/>
      <c r="AE228" s="381" t="n"/>
      <c r="AF228" s="381" t="n"/>
      <c r="AG228" s="381" t="n"/>
      <c r="AH228" s="381" t="n"/>
      <c r="AI228" s="381" t="n"/>
      <c r="AJ228" s="381" t="n"/>
      <c r="AK228" s="381" t="n"/>
      <c r="AL228" s="381" t="n"/>
      <c r="AM228" s="381" t="n"/>
      <c r="AN228" s="381" t="n"/>
      <c r="AO228" s="381" t="n"/>
      <c r="AP228" s="381" t="n"/>
      <c r="AQ228" s="381" t="n"/>
      <c r="AR228" s="381" t="n"/>
    </row>
    <row r="229" ht="15.75" customHeight="1" s="375">
      <c r="A229" s="381" t="n"/>
      <c r="B229" s="381" t="n"/>
      <c r="C229" s="381" t="n"/>
      <c r="D229" s="381" t="n"/>
      <c r="E229" s="381" t="n"/>
      <c r="F229" s="381" t="n"/>
      <c r="G229" s="381" t="n"/>
      <c r="H229" s="381" t="n"/>
      <c r="I229" s="381" t="n"/>
      <c r="J229" s="381" t="n"/>
      <c r="K229" s="381" t="n"/>
      <c r="L229" s="381" t="n"/>
      <c r="M229" s="381" t="n"/>
      <c r="N229" s="381" t="n"/>
      <c r="O229" s="381" t="n"/>
      <c r="P229" s="381" t="n"/>
      <c r="Q229" s="381" t="n"/>
      <c r="R229" s="381" t="n"/>
      <c r="S229" s="381" t="n"/>
      <c r="T229" s="544" t="n"/>
      <c r="U229" s="381" t="n"/>
      <c r="V229" s="381" t="n"/>
      <c r="W229" s="381" t="n"/>
      <c r="X229" s="381" t="n"/>
      <c r="Y229" s="381" t="n"/>
      <c r="Z229" s="381" t="n"/>
      <c r="AA229" s="381" t="n"/>
      <c r="AB229" s="381" t="n"/>
      <c r="AC229" s="381" t="n"/>
      <c r="AD229" s="381" t="n"/>
      <c r="AE229" s="381" t="n"/>
      <c r="AF229" s="381" t="n"/>
      <c r="AG229" s="381" t="n"/>
      <c r="AH229" s="381" t="n"/>
      <c r="AI229" s="381" t="n"/>
      <c r="AJ229" s="381" t="n"/>
      <c r="AK229" s="381" t="n"/>
      <c r="AL229" s="381" t="n"/>
      <c r="AM229" s="381" t="n"/>
      <c r="AN229" s="381" t="n"/>
      <c r="AO229" s="381" t="n"/>
      <c r="AP229" s="381" t="n"/>
      <c r="AQ229" s="381" t="n"/>
      <c r="AR229" s="381" t="n"/>
    </row>
    <row r="230" ht="15.75" customHeight="1" s="375">
      <c r="A230" s="381" t="n"/>
      <c r="B230" s="381" t="n"/>
      <c r="C230" s="381" t="n"/>
      <c r="D230" s="381" t="n"/>
      <c r="E230" s="381" t="n"/>
      <c r="F230" s="381" t="n"/>
      <c r="G230" s="381" t="n"/>
      <c r="H230" s="381" t="n"/>
      <c r="I230" s="381" t="n"/>
      <c r="J230" s="381" t="n"/>
      <c r="K230" s="381" t="n"/>
      <c r="L230" s="381" t="n"/>
      <c r="M230" s="381" t="n"/>
      <c r="N230" s="381" t="n"/>
      <c r="O230" s="381" t="n"/>
      <c r="P230" s="381" t="n"/>
      <c r="Q230" s="381" t="n"/>
      <c r="R230" s="381" t="n"/>
      <c r="S230" s="381" t="n"/>
      <c r="T230" s="544" t="n"/>
      <c r="U230" s="381" t="n"/>
      <c r="V230" s="381" t="n"/>
      <c r="W230" s="381" t="n"/>
      <c r="X230" s="381" t="n"/>
      <c r="Y230" s="381" t="n"/>
      <c r="Z230" s="381" t="n"/>
      <c r="AA230" s="381" t="n"/>
      <c r="AB230" s="381" t="n"/>
      <c r="AC230" s="381" t="n"/>
      <c r="AD230" s="381" t="n"/>
      <c r="AE230" s="381" t="n"/>
      <c r="AF230" s="381" t="n"/>
      <c r="AG230" s="381" t="n"/>
      <c r="AH230" s="381" t="n"/>
      <c r="AI230" s="381" t="n"/>
      <c r="AJ230" s="381" t="n"/>
      <c r="AK230" s="381" t="n"/>
      <c r="AL230" s="381" t="n"/>
      <c r="AM230" s="381" t="n"/>
      <c r="AN230" s="381" t="n"/>
      <c r="AO230" s="381" t="n"/>
      <c r="AP230" s="381" t="n"/>
      <c r="AQ230" s="381" t="n"/>
      <c r="AR230" s="381" t="n"/>
    </row>
    <row r="231" ht="15.75" customHeight="1" s="375">
      <c r="A231" s="381" t="n"/>
      <c r="B231" s="381" t="n"/>
      <c r="C231" s="381" t="n"/>
      <c r="D231" s="381" t="n"/>
      <c r="E231" s="381" t="n"/>
      <c r="F231" s="381" t="n"/>
      <c r="G231" s="381" t="n"/>
      <c r="H231" s="381" t="n"/>
      <c r="I231" s="381" t="n"/>
      <c r="J231" s="381" t="n"/>
      <c r="K231" s="381" t="n"/>
      <c r="L231" s="381" t="n"/>
      <c r="M231" s="381" t="n"/>
      <c r="N231" s="381" t="n"/>
      <c r="O231" s="381" t="n"/>
      <c r="P231" s="381" t="n"/>
      <c r="Q231" s="381" t="n"/>
      <c r="R231" s="381" t="n"/>
      <c r="S231" s="381" t="n"/>
      <c r="T231" s="544" t="n"/>
      <c r="U231" s="381" t="n"/>
      <c r="V231" s="381" t="n"/>
      <c r="W231" s="381" t="n"/>
      <c r="X231" s="381" t="n"/>
      <c r="Y231" s="381" t="n"/>
      <c r="Z231" s="381" t="n"/>
      <c r="AA231" s="381" t="n"/>
      <c r="AB231" s="381" t="n"/>
      <c r="AC231" s="381" t="n"/>
      <c r="AD231" s="381" t="n"/>
      <c r="AE231" s="381" t="n"/>
      <c r="AF231" s="381" t="n"/>
      <c r="AG231" s="381" t="n"/>
      <c r="AH231" s="381" t="n"/>
      <c r="AI231" s="381" t="n"/>
      <c r="AJ231" s="381" t="n"/>
      <c r="AK231" s="381" t="n"/>
      <c r="AL231" s="381" t="n"/>
      <c r="AM231" s="381" t="n"/>
      <c r="AN231" s="381" t="n"/>
      <c r="AO231" s="381" t="n"/>
      <c r="AP231" s="381" t="n"/>
      <c r="AQ231" s="381" t="n"/>
      <c r="AR231" s="381" t="n"/>
    </row>
    <row r="232" ht="15.75" customHeight="1" s="375">
      <c r="A232" s="381" t="n"/>
      <c r="B232" s="381" t="n"/>
      <c r="C232" s="381" t="n"/>
      <c r="D232" s="381" t="n"/>
      <c r="E232" s="381" t="n"/>
      <c r="F232" s="381" t="n"/>
      <c r="G232" s="381" t="n"/>
      <c r="H232" s="381" t="n"/>
      <c r="I232" s="381" t="n"/>
      <c r="J232" s="381" t="n"/>
      <c r="K232" s="381" t="n"/>
      <c r="L232" s="381" t="n"/>
      <c r="M232" s="381" t="n"/>
      <c r="N232" s="381" t="n"/>
      <c r="O232" s="381" t="n"/>
      <c r="P232" s="381" t="n"/>
      <c r="Q232" s="381" t="n"/>
      <c r="R232" s="381" t="n"/>
      <c r="S232" s="381" t="n"/>
      <c r="T232" s="544" t="n"/>
      <c r="U232" s="381" t="n"/>
      <c r="V232" s="381" t="n"/>
      <c r="W232" s="381" t="n"/>
      <c r="X232" s="381" t="n"/>
      <c r="Y232" s="381" t="n"/>
      <c r="Z232" s="381" t="n"/>
      <c r="AA232" s="381" t="n"/>
      <c r="AB232" s="381" t="n"/>
      <c r="AC232" s="381" t="n"/>
      <c r="AD232" s="381" t="n"/>
      <c r="AE232" s="381" t="n"/>
      <c r="AF232" s="381" t="n"/>
      <c r="AG232" s="381" t="n"/>
      <c r="AH232" s="381" t="n"/>
      <c r="AI232" s="381" t="n"/>
      <c r="AJ232" s="381" t="n"/>
      <c r="AK232" s="381" t="n"/>
      <c r="AL232" s="381" t="n"/>
      <c r="AM232" s="381" t="n"/>
      <c r="AN232" s="381" t="n"/>
      <c r="AO232" s="381" t="n"/>
      <c r="AP232" s="381" t="n"/>
      <c r="AQ232" s="381" t="n"/>
      <c r="AR232" s="381" t="n"/>
    </row>
    <row r="233" ht="15.75" customHeight="1" s="375">
      <c r="A233" s="381" t="n"/>
      <c r="B233" s="381" t="n"/>
      <c r="C233" s="381" t="n"/>
      <c r="D233" s="381" t="n"/>
      <c r="E233" s="381" t="n"/>
      <c r="F233" s="381" t="n"/>
      <c r="G233" s="381" t="n"/>
      <c r="H233" s="381" t="n"/>
      <c r="I233" s="381" t="n"/>
      <c r="J233" s="381" t="n"/>
      <c r="K233" s="381" t="n"/>
      <c r="L233" s="381" t="n"/>
      <c r="M233" s="381" t="n"/>
      <c r="N233" s="381" t="n"/>
      <c r="O233" s="381" t="n"/>
      <c r="P233" s="381" t="n"/>
      <c r="Q233" s="381" t="n"/>
      <c r="R233" s="381" t="n"/>
      <c r="S233" s="381" t="n"/>
      <c r="T233" s="544" t="n"/>
      <c r="U233" s="381" t="n"/>
      <c r="V233" s="381" t="n"/>
      <c r="W233" s="381" t="n"/>
      <c r="X233" s="381" t="n"/>
      <c r="Y233" s="381" t="n"/>
      <c r="Z233" s="381" t="n"/>
      <c r="AA233" s="381" t="n"/>
      <c r="AB233" s="381" t="n"/>
      <c r="AC233" s="381" t="n"/>
      <c r="AD233" s="381" t="n"/>
      <c r="AE233" s="381" t="n"/>
      <c r="AF233" s="381" t="n"/>
      <c r="AG233" s="381" t="n"/>
      <c r="AH233" s="381" t="n"/>
      <c r="AI233" s="381" t="n"/>
      <c r="AJ233" s="381" t="n"/>
      <c r="AK233" s="381" t="n"/>
      <c r="AL233" s="381" t="n"/>
      <c r="AM233" s="381" t="n"/>
      <c r="AN233" s="381" t="n"/>
      <c r="AO233" s="381" t="n"/>
      <c r="AP233" s="381" t="n"/>
      <c r="AQ233" s="381" t="n"/>
      <c r="AR233" s="381" t="n"/>
    </row>
    <row r="234" ht="15.75" customHeight="1" s="375">
      <c r="A234" s="381" t="n"/>
      <c r="B234" s="381" t="n"/>
      <c r="C234" s="381" t="n"/>
      <c r="D234" s="381" t="n"/>
      <c r="E234" s="381" t="n"/>
      <c r="F234" s="381" t="n"/>
      <c r="G234" s="381" t="n"/>
      <c r="H234" s="381" t="n"/>
      <c r="I234" s="381" t="n"/>
      <c r="J234" s="381" t="n"/>
      <c r="K234" s="381" t="n"/>
      <c r="L234" s="381" t="n"/>
      <c r="M234" s="381" t="n"/>
      <c r="N234" s="381" t="n"/>
      <c r="O234" s="381" t="n"/>
      <c r="P234" s="381" t="n"/>
      <c r="Q234" s="381" t="n"/>
      <c r="R234" s="381" t="n"/>
      <c r="S234" s="381" t="n"/>
      <c r="T234" s="544" t="n"/>
      <c r="U234" s="381" t="n"/>
      <c r="V234" s="381" t="n"/>
      <c r="W234" s="381" t="n"/>
      <c r="X234" s="381" t="n"/>
      <c r="Y234" s="381" t="n"/>
      <c r="Z234" s="381" t="n"/>
      <c r="AA234" s="381" t="n"/>
      <c r="AB234" s="381" t="n"/>
      <c r="AC234" s="381" t="n"/>
      <c r="AD234" s="381" t="n"/>
      <c r="AE234" s="381" t="n"/>
      <c r="AF234" s="381" t="n"/>
      <c r="AG234" s="381" t="n"/>
      <c r="AH234" s="381" t="n"/>
      <c r="AI234" s="381" t="n"/>
      <c r="AJ234" s="381" t="n"/>
      <c r="AK234" s="381" t="n"/>
      <c r="AL234" s="381" t="n"/>
      <c r="AM234" s="381" t="n"/>
      <c r="AN234" s="381" t="n"/>
      <c r="AO234" s="381" t="n"/>
      <c r="AP234" s="381" t="n"/>
      <c r="AQ234" s="381" t="n"/>
      <c r="AR234" s="381" t="n"/>
    </row>
    <row r="235" ht="15.75" customHeight="1" s="375">
      <c r="A235" s="381" t="n"/>
      <c r="B235" s="381" t="n"/>
      <c r="C235" s="381" t="n"/>
      <c r="D235" s="381" t="n"/>
      <c r="E235" s="381" t="n"/>
      <c r="F235" s="381" t="n"/>
      <c r="G235" s="381" t="n"/>
      <c r="H235" s="381" t="n"/>
      <c r="I235" s="381" t="n"/>
      <c r="J235" s="381" t="n"/>
      <c r="K235" s="381" t="n"/>
      <c r="L235" s="381" t="n"/>
      <c r="M235" s="381" t="n"/>
      <c r="N235" s="381" t="n"/>
      <c r="O235" s="381" t="n"/>
      <c r="P235" s="381" t="n"/>
      <c r="Q235" s="381" t="n"/>
      <c r="R235" s="381" t="n"/>
      <c r="S235" s="381" t="n"/>
      <c r="T235" s="544" t="n"/>
      <c r="U235" s="381" t="n"/>
      <c r="V235" s="381" t="n"/>
      <c r="W235" s="381" t="n"/>
      <c r="X235" s="381" t="n"/>
      <c r="Y235" s="381" t="n"/>
      <c r="Z235" s="381" t="n"/>
      <c r="AA235" s="381" t="n"/>
      <c r="AB235" s="381" t="n"/>
      <c r="AC235" s="381" t="n"/>
      <c r="AD235" s="381" t="n"/>
      <c r="AE235" s="381" t="n"/>
      <c r="AF235" s="381" t="n"/>
      <c r="AG235" s="381" t="n"/>
      <c r="AH235" s="381" t="n"/>
      <c r="AI235" s="381" t="n"/>
      <c r="AJ235" s="381" t="n"/>
      <c r="AK235" s="381" t="n"/>
      <c r="AL235" s="381" t="n"/>
      <c r="AM235" s="381" t="n"/>
      <c r="AN235" s="381" t="n"/>
      <c r="AO235" s="381" t="n"/>
      <c r="AP235" s="381" t="n"/>
      <c r="AQ235" s="381" t="n"/>
      <c r="AR235" s="381" t="n"/>
    </row>
    <row r="236" ht="15.75" customHeight="1" s="375">
      <c r="A236" s="381" t="n"/>
      <c r="B236" s="381" t="n"/>
      <c r="C236" s="381" t="n"/>
      <c r="D236" s="381" t="n"/>
      <c r="E236" s="381" t="n"/>
      <c r="F236" s="381" t="n"/>
      <c r="G236" s="381" t="n"/>
      <c r="H236" s="381" t="n"/>
      <c r="I236" s="381" t="n"/>
      <c r="J236" s="381" t="n"/>
      <c r="K236" s="381" t="n"/>
      <c r="L236" s="381" t="n"/>
      <c r="M236" s="381" t="n"/>
      <c r="N236" s="381" t="n"/>
      <c r="O236" s="381" t="n"/>
      <c r="P236" s="381" t="n"/>
      <c r="Q236" s="381" t="n"/>
      <c r="R236" s="381" t="n"/>
      <c r="S236" s="381" t="n"/>
      <c r="T236" s="544" t="n"/>
      <c r="U236" s="381" t="n"/>
      <c r="V236" s="381" t="n"/>
      <c r="W236" s="381" t="n"/>
      <c r="X236" s="381" t="n"/>
      <c r="Y236" s="381" t="n"/>
      <c r="Z236" s="381" t="n"/>
      <c r="AA236" s="381" t="n"/>
      <c r="AB236" s="381" t="n"/>
      <c r="AC236" s="381" t="n"/>
      <c r="AD236" s="381" t="n"/>
      <c r="AE236" s="381" t="n"/>
      <c r="AF236" s="381" t="n"/>
      <c r="AG236" s="381" t="n"/>
      <c r="AH236" s="381" t="n"/>
      <c r="AI236" s="381" t="n"/>
      <c r="AJ236" s="381" t="n"/>
      <c r="AK236" s="381" t="n"/>
      <c r="AL236" s="381" t="n"/>
      <c r="AM236" s="381" t="n"/>
      <c r="AN236" s="381" t="n"/>
      <c r="AO236" s="381" t="n"/>
      <c r="AP236" s="381" t="n"/>
      <c r="AQ236" s="381" t="n"/>
      <c r="AR236" s="381" t="n"/>
    </row>
    <row r="237" ht="15.75" customHeight="1" s="375">
      <c r="A237" s="381" t="n"/>
      <c r="B237" s="381" t="n"/>
      <c r="C237" s="381" t="n"/>
      <c r="D237" s="381" t="n"/>
      <c r="E237" s="381" t="n"/>
      <c r="F237" s="381" t="n"/>
      <c r="G237" s="381" t="n"/>
      <c r="H237" s="381" t="n"/>
      <c r="I237" s="381" t="n"/>
      <c r="J237" s="381" t="n"/>
      <c r="K237" s="381" t="n"/>
      <c r="L237" s="381" t="n"/>
      <c r="M237" s="381" t="n"/>
      <c r="N237" s="381" t="n"/>
      <c r="O237" s="381" t="n"/>
      <c r="P237" s="381" t="n"/>
      <c r="Q237" s="381" t="n"/>
      <c r="R237" s="381" t="n"/>
      <c r="S237" s="381" t="n"/>
      <c r="T237" s="544" t="n"/>
      <c r="U237" s="381" t="n"/>
      <c r="V237" s="381" t="n"/>
      <c r="W237" s="381" t="n"/>
      <c r="X237" s="381" t="n"/>
      <c r="Y237" s="381" t="n"/>
      <c r="Z237" s="381" t="n"/>
      <c r="AA237" s="381" t="n"/>
      <c r="AB237" s="381" t="n"/>
      <c r="AC237" s="381" t="n"/>
      <c r="AD237" s="381" t="n"/>
      <c r="AE237" s="381" t="n"/>
      <c r="AF237" s="381" t="n"/>
      <c r="AG237" s="381" t="n"/>
      <c r="AH237" s="381" t="n"/>
      <c r="AI237" s="381" t="n"/>
      <c r="AJ237" s="381" t="n"/>
      <c r="AK237" s="381" t="n"/>
      <c r="AL237" s="381" t="n"/>
      <c r="AM237" s="381" t="n"/>
      <c r="AN237" s="381" t="n"/>
      <c r="AO237" s="381" t="n"/>
      <c r="AP237" s="381" t="n"/>
      <c r="AQ237" s="381" t="n"/>
      <c r="AR237" s="381" t="n"/>
    </row>
    <row r="238" ht="15.75" customHeight="1" s="375">
      <c r="A238" s="381" t="n"/>
      <c r="B238" s="381" t="n"/>
      <c r="C238" s="381" t="n"/>
      <c r="D238" s="381" t="n"/>
      <c r="E238" s="381" t="n"/>
      <c r="F238" s="381" t="n"/>
      <c r="G238" s="381" t="n"/>
      <c r="H238" s="381" t="n"/>
      <c r="I238" s="381" t="n"/>
      <c r="J238" s="381" t="n"/>
      <c r="K238" s="381" t="n"/>
      <c r="L238" s="381" t="n"/>
      <c r="M238" s="381" t="n"/>
      <c r="N238" s="381" t="n"/>
      <c r="O238" s="381" t="n"/>
      <c r="P238" s="381" t="n"/>
      <c r="Q238" s="381" t="n"/>
      <c r="R238" s="381" t="n"/>
      <c r="S238" s="381" t="n"/>
      <c r="T238" s="544" t="n"/>
      <c r="U238" s="381" t="n"/>
      <c r="V238" s="381" t="n"/>
      <c r="W238" s="381" t="n"/>
      <c r="X238" s="381" t="n"/>
      <c r="Y238" s="381" t="n"/>
      <c r="Z238" s="381" t="n"/>
      <c r="AA238" s="381" t="n"/>
      <c r="AB238" s="381" t="n"/>
      <c r="AC238" s="381" t="n"/>
      <c r="AD238" s="381" t="n"/>
      <c r="AE238" s="381" t="n"/>
      <c r="AF238" s="381" t="n"/>
      <c r="AG238" s="381" t="n"/>
      <c r="AH238" s="381" t="n"/>
      <c r="AI238" s="381" t="n"/>
      <c r="AJ238" s="381" t="n"/>
      <c r="AK238" s="381" t="n"/>
      <c r="AL238" s="381" t="n"/>
      <c r="AM238" s="381" t="n"/>
      <c r="AN238" s="381" t="n"/>
      <c r="AO238" s="381" t="n"/>
      <c r="AP238" s="381" t="n"/>
      <c r="AQ238" s="381" t="n"/>
      <c r="AR238" s="381" t="n"/>
    </row>
    <row r="239" ht="15.75" customHeight="1" s="375">
      <c r="A239" s="381" t="n"/>
      <c r="B239" s="381" t="n"/>
      <c r="C239" s="381" t="n"/>
      <c r="D239" s="381" t="n"/>
      <c r="E239" s="381" t="n"/>
      <c r="F239" s="381" t="n"/>
      <c r="G239" s="381" t="n"/>
      <c r="H239" s="381" t="n"/>
      <c r="I239" s="381" t="n"/>
      <c r="J239" s="381" t="n"/>
      <c r="K239" s="381" t="n"/>
      <c r="L239" s="381" t="n"/>
      <c r="M239" s="381" t="n"/>
      <c r="N239" s="381" t="n"/>
      <c r="O239" s="381" t="n"/>
      <c r="P239" s="381" t="n"/>
      <c r="Q239" s="381" t="n"/>
      <c r="R239" s="381" t="n"/>
      <c r="S239" s="381" t="n"/>
      <c r="T239" s="544" t="n"/>
      <c r="U239" s="381" t="n"/>
      <c r="V239" s="381" t="n"/>
      <c r="W239" s="381" t="n"/>
      <c r="X239" s="381" t="n"/>
      <c r="Y239" s="381" t="n"/>
      <c r="Z239" s="381" t="n"/>
      <c r="AA239" s="381" t="n"/>
      <c r="AB239" s="381" t="n"/>
      <c r="AC239" s="381" t="n"/>
      <c r="AD239" s="381" t="n"/>
      <c r="AE239" s="381" t="n"/>
      <c r="AF239" s="381" t="n"/>
      <c r="AG239" s="381" t="n"/>
      <c r="AH239" s="381" t="n"/>
      <c r="AI239" s="381" t="n"/>
      <c r="AJ239" s="381" t="n"/>
      <c r="AK239" s="381" t="n"/>
      <c r="AL239" s="381" t="n"/>
      <c r="AM239" s="381" t="n"/>
      <c r="AN239" s="381" t="n"/>
      <c r="AO239" s="381" t="n"/>
      <c r="AP239" s="381" t="n"/>
      <c r="AQ239" s="381" t="n"/>
      <c r="AR239" s="381" t="n"/>
    </row>
    <row r="240" ht="15.75" customHeight="1" s="375">
      <c r="A240" s="381" t="n"/>
      <c r="B240" s="381" t="n"/>
      <c r="C240" s="381" t="n"/>
      <c r="D240" s="381" t="n"/>
      <c r="E240" s="381" t="n"/>
      <c r="F240" s="381" t="n"/>
      <c r="G240" s="381" t="n"/>
      <c r="H240" s="381" t="n"/>
      <c r="I240" s="381" t="n"/>
      <c r="J240" s="381" t="n"/>
      <c r="K240" s="381" t="n"/>
      <c r="L240" s="381" t="n"/>
      <c r="M240" s="381" t="n"/>
      <c r="N240" s="381" t="n"/>
      <c r="O240" s="381" t="n"/>
      <c r="P240" s="381" t="n"/>
      <c r="Q240" s="381" t="n"/>
      <c r="R240" s="381" t="n"/>
      <c r="S240" s="381" t="n"/>
      <c r="T240" s="544" t="n"/>
      <c r="U240" s="381" t="n"/>
      <c r="V240" s="381" t="n"/>
      <c r="W240" s="381" t="n"/>
      <c r="X240" s="381" t="n"/>
      <c r="Y240" s="381" t="n"/>
      <c r="Z240" s="381" t="n"/>
      <c r="AA240" s="381" t="n"/>
      <c r="AB240" s="381" t="n"/>
      <c r="AC240" s="381" t="n"/>
      <c r="AD240" s="381" t="n"/>
      <c r="AE240" s="381" t="n"/>
      <c r="AF240" s="381" t="n"/>
      <c r="AG240" s="381" t="n"/>
      <c r="AH240" s="381" t="n"/>
      <c r="AI240" s="381" t="n"/>
      <c r="AJ240" s="381" t="n"/>
      <c r="AK240" s="381" t="n"/>
      <c r="AL240" s="381" t="n"/>
      <c r="AM240" s="381" t="n"/>
      <c r="AN240" s="381" t="n"/>
      <c r="AO240" s="381" t="n"/>
      <c r="AP240" s="381" t="n"/>
      <c r="AQ240" s="381" t="n"/>
      <c r="AR240" s="381" t="n"/>
    </row>
    <row r="241" ht="15.75" customHeight="1" s="375">
      <c r="A241" s="381" t="n"/>
      <c r="B241" s="381" t="n"/>
      <c r="C241" s="381" t="n"/>
      <c r="D241" s="381" t="n"/>
      <c r="E241" s="381" t="n"/>
      <c r="F241" s="381" t="n"/>
      <c r="G241" s="381" t="n"/>
      <c r="H241" s="381" t="n"/>
      <c r="I241" s="381" t="n"/>
      <c r="J241" s="381" t="n"/>
      <c r="K241" s="381" t="n"/>
      <c r="L241" s="381" t="n"/>
      <c r="M241" s="381" t="n"/>
      <c r="N241" s="381" t="n"/>
      <c r="O241" s="381" t="n"/>
      <c r="P241" s="381" t="n"/>
      <c r="Q241" s="381" t="n"/>
      <c r="R241" s="381" t="n"/>
      <c r="S241" s="381" t="n"/>
      <c r="T241" s="544" t="n"/>
      <c r="U241" s="381" t="n"/>
      <c r="V241" s="381" t="n"/>
      <c r="W241" s="381" t="n"/>
      <c r="X241" s="381" t="n"/>
      <c r="Y241" s="381" t="n"/>
      <c r="Z241" s="381" t="n"/>
      <c r="AA241" s="381" t="n"/>
      <c r="AB241" s="381" t="n"/>
      <c r="AC241" s="381" t="n"/>
      <c r="AD241" s="381" t="n"/>
      <c r="AE241" s="381" t="n"/>
      <c r="AF241" s="381" t="n"/>
      <c r="AG241" s="381" t="n"/>
      <c r="AH241" s="381" t="n"/>
      <c r="AI241" s="381" t="n"/>
      <c r="AJ241" s="381" t="n"/>
      <c r="AK241" s="381" t="n"/>
      <c r="AL241" s="381" t="n"/>
      <c r="AM241" s="381" t="n"/>
      <c r="AN241" s="381" t="n"/>
      <c r="AO241" s="381" t="n"/>
      <c r="AP241" s="381" t="n"/>
      <c r="AQ241" s="381" t="n"/>
      <c r="AR241" s="381" t="n"/>
    </row>
    <row r="242" ht="15.75" customHeight="1" s="375">
      <c r="A242" s="381" t="n"/>
      <c r="B242" s="381" t="n"/>
      <c r="C242" s="381" t="n"/>
      <c r="D242" s="381" t="n"/>
      <c r="E242" s="381" t="n"/>
      <c r="F242" s="381" t="n"/>
      <c r="G242" s="381" t="n"/>
      <c r="H242" s="381" t="n"/>
      <c r="I242" s="381" t="n"/>
      <c r="J242" s="381" t="n"/>
      <c r="K242" s="381" t="n"/>
      <c r="L242" s="381" t="n"/>
      <c r="M242" s="381" t="n"/>
      <c r="N242" s="381" t="n"/>
      <c r="O242" s="381" t="n"/>
      <c r="P242" s="381" t="n"/>
      <c r="Q242" s="381" t="n"/>
      <c r="R242" s="381" t="n"/>
      <c r="S242" s="381" t="n"/>
      <c r="T242" s="544" t="n"/>
      <c r="U242" s="381" t="n"/>
      <c r="V242" s="381" t="n"/>
      <c r="W242" s="381" t="n"/>
      <c r="X242" s="381" t="n"/>
      <c r="Y242" s="381" t="n"/>
      <c r="Z242" s="381" t="n"/>
      <c r="AA242" s="381" t="n"/>
      <c r="AB242" s="381" t="n"/>
      <c r="AC242" s="381" t="n"/>
      <c r="AD242" s="381" t="n"/>
      <c r="AE242" s="381" t="n"/>
      <c r="AF242" s="381" t="n"/>
      <c r="AG242" s="381" t="n"/>
      <c r="AH242" s="381" t="n"/>
      <c r="AI242" s="381" t="n"/>
      <c r="AJ242" s="381" t="n"/>
      <c r="AK242" s="381" t="n"/>
      <c r="AL242" s="381" t="n"/>
      <c r="AM242" s="381" t="n"/>
      <c r="AN242" s="381" t="n"/>
      <c r="AO242" s="381" t="n"/>
      <c r="AP242" s="381" t="n"/>
      <c r="AQ242" s="381" t="n"/>
      <c r="AR242" s="381" t="n"/>
    </row>
    <row r="243" ht="15.75" customHeight="1" s="375">
      <c r="A243" s="381" t="n"/>
      <c r="B243" s="381" t="n"/>
      <c r="C243" s="381" t="n"/>
      <c r="D243" s="381" t="n"/>
      <c r="E243" s="381" t="n"/>
      <c r="F243" s="381" t="n"/>
      <c r="G243" s="381" t="n"/>
      <c r="H243" s="381" t="n"/>
      <c r="I243" s="381" t="n"/>
      <c r="J243" s="381" t="n"/>
      <c r="K243" s="381" t="n"/>
      <c r="L243" s="381" t="n"/>
      <c r="M243" s="381" t="n"/>
      <c r="N243" s="381" t="n"/>
      <c r="O243" s="381" t="n"/>
      <c r="P243" s="381" t="n"/>
      <c r="Q243" s="381" t="n"/>
      <c r="R243" s="381" t="n"/>
      <c r="S243" s="381" t="n"/>
      <c r="T243" s="544" t="n"/>
      <c r="U243" s="381" t="n"/>
      <c r="V243" s="381" t="n"/>
      <c r="W243" s="381" t="n"/>
      <c r="X243" s="381" t="n"/>
      <c r="Y243" s="381" t="n"/>
      <c r="Z243" s="381" t="n"/>
      <c r="AA243" s="381" t="n"/>
      <c r="AB243" s="381" t="n"/>
      <c r="AC243" s="381" t="n"/>
      <c r="AD243" s="381" t="n"/>
      <c r="AE243" s="381" t="n"/>
      <c r="AF243" s="381" t="n"/>
      <c r="AG243" s="381" t="n"/>
      <c r="AH243" s="381" t="n"/>
      <c r="AI243" s="381" t="n"/>
      <c r="AJ243" s="381" t="n"/>
      <c r="AK243" s="381" t="n"/>
      <c r="AL243" s="381" t="n"/>
      <c r="AM243" s="381" t="n"/>
      <c r="AN243" s="381" t="n"/>
      <c r="AO243" s="381" t="n"/>
      <c r="AP243" s="381" t="n"/>
      <c r="AQ243" s="381" t="n"/>
      <c r="AR243" s="381" t="n"/>
    </row>
    <row r="244" ht="15.75" customHeight="1" s="375">
      <c r="A244" s="381" t="n"/>
      <c r="B244" s="381" t="n"/>
      <c r="C244" s="381" t="n"/>
      <c r="D244" s="381" t="n"/>
      <c r="E244" s="381" t="n"/>
      <c r="F244" s="381" t="n"/>
      <c r="G244" s="381" t="n"/>
      <c r="H244" s="381" t="n"/>
      <c r="I244" s="381" t="n"/>
      <c r="J244" s="381" t="n"/>
      <c r="K244" s="381" t="n"/>
      <c r="L244" s="381" t="n"/>
      <c r="M244" s="381" t="n"/>
      <c r="N244" s="381" t="n"/>
      <c r="O244" s="381" t="n"/>
      <c r="P244" s="381" t="n"/>
      <c r="Q244" s="381" t="n"/>
      <c r="R244" s="381" t="n"/>
      <c r="S244" s="381" t="n"/>
      <c r="T244" s="544" t="n"/>
      <c r="U244" s="381" t="n"/>
      <c r="V244" s="381" t="n"/>
      <c r="W244" s="381" t="n"/>
      <c r="X244" s="381" t="n"/>
      <c r="Y244" s="381" t="n"/>
      <c r="Z244" s="381" t="n"/>
      <c r="AA244" s="381" t="n"/>
      <c r="AB244" s="381" t="n"/>
      <c r="AC244" s="381" t="n"/>
      <c r="AD244" s="381" t="n"/>
      <c r="AE244" s="381" t="n"/>
      <c r="AF244" s="381" t="n"/>
      <c r="AG244" s="381" t="n"/>
      <c r="AH244" s="381" t="n"/>
      <c r="AI244" s="381" t="n"/>
      <c r="AJ244" s="381" t="n"/>
      <c r="AK244" s="381" t="n"/>
      <c r="AL244" s="381" t="n"/>
      <c r="AM244" s="381" t="n"/>
      <c r="AN244" s="381" t="n"/>
      <c r="AO244" s="381" t="n"/>
      <c r="AP244" s="381" t="n"/>
      <c r="AQ244" s="381" t="n"/>
      <c r="AR244" s="381" t="n"/>
    </row>
    <row r="245" ht="15.75" customHeight="1" s="375">
      <c r="A245" s="381" t="n"/>
      <c r="B245" s="381" t="n"/>
      <c r="C245" s="381" t="n"/>
      <c r="D245" s="381" t="n"/>
      <c r="E245" s="381" t="n"/>
      <c r="F245" s="381" t="n"/>
      <c r="G245" s="381" t="n"/>
      <c r="H245" s="381" t="n"/>
      <c r="I245" s="381" t="n"/>
      <c r="J245" s="381" t="n"/>
      <c r="K245" s="381" t="n"/>
      <c r="L245" s="381" t="n"/>
      <c r="M245" s="381" t="n"/>
      <c r="N245" s="381" t="n"/>
      <c r="O245" s="381" t="n"/>
      <c r="P245" s="381" t="n"/>
      <c r="Q245" s="381" t="n"/>
      <c r="R245" s="381" t="n"/>
      <c r="S245" s="381" t="n"/>
      <c r="T245" s="544" t="n"/>
      <c r="U245" s="381" t="n"/>
      <c r="V245" s="381" t="n"/>
      <c r="W245" s="381" t="n"/>
      <c r="X245" s="381" t="n"/>
      <c r="Y245" s="381" t="n"/>
      <c r="Z245" s="381" t="n"/>
      <c r="AA245" s="381" t="n"/>
      <c r="AB245" s="381" t="n"/>
      <c r="AC245" s="381" t="n"/>
      <c r="AD245" s="381" t="n"/>
      <c r="AE245" s="381" t="n"/>
      <c r="AF245" s="381" t="n"/>
      <c r="AG245" s="381" t="n"/>
      <c r="AH245" s="381" t="n"/>
      <c r="AI245" s="381" t="n"/>
      <c r="AJ245" s="381" t="n"/>
      <c r="AK245" s="381" t="n"/>
      <c r="AL245" s="381" t="n"/>
      <c r="AM245" s="381" t="n"/>
      <c r="AN245" s="381" t="n"/>
      <c r="AO245" s="381" t="n"/>
      <c r="AP245" s="381" t="n"/>
      <c r="AQ245" s="381" t="n"/>
      <c r="AR245" s="381" t="n"/>
    </row>
    <row r="246" ht="15.75" customHeight="1" s="375">
      <c r="A246" s="381" t="n"/>
      <c r="B246" s="381" t="n"/>
      <c r="C246" s="381" t="n"/>
      <c r="D246" s="381" t="n"/>
      <c r="E246" s="381" t="n"/>
      <c r="F246" s="381" t="n"/>
      <c r="G246" s="381" t="n"/>
      <c r="H246" s="381" t="n"/>
      <c r="I246" s="381" t="n"/>
      <c r="J246" s="381" t="n"/>
      <c r="K246" s="381" t="n"/>
      <c r="L246" s="381" t="n"/>
      <c r="M246" s="381" t="n"/>
      <c r="N246" s="381" t="n"/>
      <c r="O246" s="381" t="n"/>
      <c r="P246" s="381" t="n"/>
      <c r="Q246" s="381" t="n"/>
      <c r="R246" s="381" t="n"/>
      <c r="S246" s="381" t="n"/>
      <c r="T246" s="544" t="n"/>
      <c r="U246" s="381" t="n"/>
      <c r="V246" s="381" t="n"/>
      <c r="W246" s="381" t="n"/>
      <c r="X246" s="381" t="n"/>
      <c r="Y246" s="381" t="n"/>
      <c r="Z246" s="381" t="n"/>
      <c r="AA246" s="381" t="n"/>
      <c r="AB246" s="381" t="n"/>
      <c r="AC246" s="381" t="n"/>
      <c r="AD246" s="381" t="n"/>
      <c r="AE246" s="381" t="n"/>
      <c r="AF246" s="381" t="n"/>
      <c r="AG246" s="381" t="n"/>
      <c r="AH246" s="381" t="n"/>
      <c r="AI246" s="381" t="n"/>
      <c r="AJ246" s="381" t="n"/>
      <c r="AK246" s="381" t="n"/>
      <c r="AL246" s="381" t="n"/>
      <c r="AM246" s="381" t="n"/>
      <c r="AN246" s="381" t="n"/>
      <c r="AO246" s="381" t="n"/>
      <c r="AP246" s="381" t="n"/>
      <c r="AQ246" s="381" t="n"/>
      <c r="AR246" s="381" t="n"/>
    </row>
    <row r="247" ht="15.75" customHeight="1" s="375">
      <c r="A247" s="381" t="n"/>
      <c r="B247" s="381" t="n"/>
      <c r="C247" s="381" t="n"/>
      <c r="D247" s="381" t="n"/>
      <c r="E247" s="381" t="n"/>
      <c r="F247" s="381" t="n"/>
      <c r="G247" s="381" t="n"/>
      <c r="H247" s="381" t="n"/>
      <c r="I247" s="381" t="n"/>
      <c r="J247" s="381" t="n"/>
      <c r="K247" s="381" t="n"/>
      <c r="L247" s="381" t="n"/>
      <c r="M247" s="381" t="n"/>
      <c r="N247" s="381" t="n"/>
      <c r="O247" s="381" t="n"/>
      <c r="P247" s="381" t="n"/>
      <c r="Q247" s="381" t="n"/>
      <c r="R247" s="381" t="n"/>
      <c r="S247" s="381" t="n"/>
      <c r="T247" s="544" t="n"/>
      <c r="U247" s="381" t="n"/>
      <c r="V247" s="381" t="n"/>
      <c r="W247" s="381" t="n"/>
      <c r="X247" s="381" t="n"/>
      <c r="Y247" s="381" t="n"/>
      <c r="Z247" s="381" t="n"/>
      <c r="AA247" s="381" t="n"/>
      <c r="AB247" s="381" t="n"/>
      <c r="AC247" s="381" t="n"/>
      <c r="AD247" s="381" t="n"/>
      <c r="AE247" s="381" t="n"/>
      <c r="AF247" s="381" t="n"/>
      <c r="AG247" s="381" t="n"/>
      <c r="AH247" s="381" t="n"/>
      <c r="AI247" s="381" t="n"/>
      <c r="AJ247" s="381" t="n"/>
      <c r="AK247" s="381" t="n"/>
      <c r="AL247" s="381" t="n"/>
      <c r="AM247" s="381" t="n"/>
      <c r="AN247" s="381" t="n"/>
      <c r="AO247" s="381" t="n"/>
      <c r="AP247" s="381" t="n"/>
      <c r="AQ247" s="381" t="n"/>
      <c r="AR247" s="381" t="n"/>
    </row>
    <row r="248" ht="15.75" customHeight="1" s="375">
      <c r="A248" s="381" t="n"/>
      <c r="B248" s="381" t="n"/>
      <c r="C248" s="381" t="n"/>
      <c r="D248" s="381" t="n"/>
      <c r="E248" s="381" t="n"/>
      <c r="F248" s="381" t="n"/>
      <c r="G248" s="381" t="n"/>
      <c r="H248" s="381" t="n"/>
      <c r="I248" s="381" t="n"/>
      <c r="J248" s="381" t="n"/>
      <c r="K248" s="381" t="n"/>
      <c r="L248" s="381" t="n"/>
      <c r="M248" s="381" t="n"/>
      <c r="N248" s="381" t="n"/>
      <c r="O248" s="381" t="n"/>
      <c r="P248" s="381" t="n"/>
      <c r="Q248" s="381" t="n"/>
      <c r="R248" s="381" t="n"/>
      <c r="S248" s="381" t="n"/>
      <c r="T248" s="544" t="n"/>
      <c r="U248" s="381" t="n"/>
      <c r="V248" s="381" t="n"/>
      <c r="W248" s="381" t="n"/>
      <c r="X248" s="381" t="n"/>
      <c r="Y248" s="381" t="n"/>
      <c r="Z248" s="381" t="n"/>
      <c r="AA248" s="381" t="n"/>
      <c r="AB248" s="381" t="n"/>
      <c r="AC248" s="381" t="n"/>
      <c r="AD248" s="381" t="n"/>
      <c r="AE248" s="381" t="n"/>
      <c r="AF248" s="381" t="n"/>
      <c r="AG248" s="381" t="n"/>
      <c r="AH248" s="381" t="n"/>
      <c r="AI248" s="381" t="n"/>
      <c r="AJ248" s="381" t="n"/>
      <c r="AK248" s="381" t="n"/>
      <c r="AL248" s="381" t="n"/>
      <c r="AM248" s="381" t="n"/>
      <c r="AN248" s="381" t="n"/>
      <c r="AO248" s="381" t="n"/>
      <c r="AP248" s="381" t="n"/>
      <c r="AQ248" s="381" t="n"/>
      <c r="AR248" s="381" t="n"/>
    </row>
    <row r="249" ht="15.75" customHeight="1" s="375">
      <c r="A249" s="381" t="n"/>
      <c r="B249" s="381" t="n"/>
      <c r="C249" s="381" t="n"/>
      <c r="D249" s="381" t="n"/>
      <c r="E249" s="381" t="n"/>
      <c r="F249" s="381" t="n"/>
      <c r="G249" s="381" t="n"/>
      <c r="H249" s="381" t="n"/>
      <c r="I249" s="381" t="n"/>
      <c r="J249" s="381" t="n"/>
      <c r="K249" s="381" t="n"/>
      <c r="L249" s="381" t="n"/>
      <c r="M249" s="381" t="n"/>
      <c r="N249" s="381" t="n"/>
      <c r="O249" s="381" t="n"/>
      <c r="P249" s="381" t="n"/>
      <c r="Q249" s="381" t="n"/>
      <c r="R249" s="381" t="n"/>
      <c r="S249" s="381" t="n"/>
      <c r="T249" s="544" t="n"/>
      <c r="U249" s="381" t="n"/>
      <c r="V249" s="381" t="n"/>
      <c r="W249" s="381" t="n"/>
      <c r="X249" s="381" t="n"/>
      <c r="Y249" s="381" t="n"/>
      <c r="Z249" s="381" t="n"/>
      <c r="AA249" s="381" t="n"/>
      <c r="AB249" s="381" t="n"/>
      <c r="AC249" s="381" t="n"/>
      <c r="AD249" s="381" t="n"/>
      <c r="AE249" s="381" t="n"/>
      <c r="AF249" s="381" t="n"/>
      <c r="AG249" s="381" t="n"/>
      <c r="AH249" s="381" t="n"/>
      <c r="AI249" s="381" t="n"/>
      <c r="AJ249" s="381" t="n"/>
      <c r="AK249" s="381" t="n"/>
      <c r="AL249" s="381" t="n"/>
      <c r="AM249" s="381" t="n"/>
      <c r="AN249" s="381" t="n"/>
      <c r="AO249" s="381" t="n"/>
      <c r="AP249" s="381" t="n"/>
      <c r="AQ249" s="381" t="n"/>
      <c r="AR249" s="381" t="n"/>
    </row>
    <row r="250" ht="15.75" customHeight="1" s="375">
      <c r="A250" s="381" t="n"/>
      <c r="B250" s="381" t="n"/>
      <c r="C250" s="381" t="n"/>
      <c r="D250" s="381" t="n"/>
      <c r="E250" s="381" t="n"/>
      <c r="F250" s="381" t="n"/>
      <c r="G250" s="381" t="n"/>
      <c r="H250" s="381" t="n"/>
      <c r="I250" s="381" t="n"/>
      <c r="J250" s="381" t="n"/>
      <c r="K250" s="381" t="n"/>
      <c r="L250" s="381" t="n"/>
      <c r="M250" s="381" t="n"/>
      <c r="N250" s="381" t="n"/>
      <c r="O250" s="381" t="n"/>
      <c r="P250" s="381" t="n"/>
      <c r="Q250" s="381" t="n"/>
      <c r="R250" s="381" t="n"/>
      <c r="S250" s="381" t="n"/>
      <c r="T250" s="544" t="n"/>
      <c r="U250" s="381" t="n"/>
      <c r="V250" s="381" t="n"/>
      <c r="W250" s="381" t="n"/>
      <c r="X250" s="381" t="n"/>
      <c r="Y250" s="381" t="n"/>
      <c r="Z250" s="381" t="n"/>
      <c r="AA250" s="381" t="n"/>
      <c r="AB250" s="381" t="n"/>
      <c r="AC250" s="381" t="n"/>
      <c r="AD250" s="381" t="n"/>
      <c r="AE250" s="381" t="n"/>
      <c r="AF250" s="381" t="n"/>
      <c r="AG250" s="381" t="n"/>
      <c r="AH250" s="381" t="n"/>
      <c r="AI250" s="381" t="n"/>
      <c r="AJ250" s="381" t="n"/>
      <c r="AK250" s="381" t="n"/>
      <c r="AL250" s="381" t="n"/>
      <c r="AM250" s="381" t="n"/>
      <c r="AN250" s="381" t="n"/>
      <c r="AO250" s="381" t="n"/>
      <c r="AP250" s="381" t="n"/>
      <c r="AQ250" s="381" t="n"/>
      <c r="AR250" s="381" t="n"/>
    </row>
    <row r="251" ht="15.75" customHeight="1" s="375">
      <c r="A251" s="381" t="n"/>
      <c r="B251" s="381" t="n"/>
      <c r="C251" s="381" t="n"/>
      <c r="D251" s="381" t="n"/>
      <c r="E251" s="381" t="n"/>
      <c r="F251" s="381" t="n"/>
      <c r="G251" s="381" t="n"/>
      <c r="H251" s="381" t="n"/>
      <c r="I251" s="381" t="n"/>
      <c r="J251" s="381" t="n"/>
      <c r="K251" s="381" t="n"/>
      <c r="L251" s="381" t="n"/>
      <c r="M251" s="381" t="n"/>
      <c r="N251" s="381" t="n"/>
      <c r="O251" s="381" t="n"/>
      <c r="P251" s="381" t="n"/>
      <c r="Q251" s="381" t="n"/>
      <c r="R251" s="381" t="n"/>
      <c r="S251" s="381" t="n"/>
      <c r="T251" s="544" t="n"/>
      <c r="U251" s="381" t="n"/>
      <c r="V251" s="381" t="n"/>
      <c r="W251" s="381" t="n"/>
      <c r="X251" s="381" t="n"/>
      <c r="Y251" s="381" t="n"/>
      <c r="Z251" s="381" t="n"/>
      <c r="AA251" s="381" t="n"/>
      <c r="AB251" s="381" t="n"/>
      <c r="AC251" s="381" t="n"/>
      <c r="AD251" s="381" t="n"/>
      <c r="AE251" s="381" t="n"/>
      <c r="AF251" s="381" t="n"/>
      <c r="AG251" s="381" t="n"/>
      <c r="AH251" s="381" t="n"/>
      <c r="AI251" s="381" t="n"/>
      <c r="AJ251" s="381" t="n"/>
      <c r="AK251" s="381" t="n"/>
      <c r="AL251" s="381" t="n"/>
      <c r="AM251" s="381" t="n"/>
      <c r="AN251" s="381" t="n"/>
      <c r="AO251" s="381" t="n"/>
      <c r="AP251" s="381" t="n"/>
      <c r="AQ251" s="381" t="n"/>
      <c r="AR251" s="381" t="n"/>
    </row>
    <row r="252" ht="15.75" customHeight="1" s="375">
      <c r="A252" s="381" t="n"/>
      <c r="B252" s="381" t="n"/>
      <c r="C252" s="381" t="n"/>
      <c r="D252" s="381" t="n"/>
      <c r="E252" s="381" t="n"/>
      <c r="F252" s="381" t="n"/>
      <c r="G252" s="381" t="n"/>
      <c r="H252" s="381" t="n"/>
      <c r="I252" s="381" t="n"/>
      <c r="J252" s="381" t="n"/>
      <c r="K252" s="381" t="n"/>
      <c r="L252" s="381" t="n"/>
      <c r="M252" s="381" t="n"/>
      <c r="N252" s="381" t="n"/>
      <c r="O252" s="381" t="n"/>
      <c r="P252" s="381" t="n"/>
      <c r="Q252" s="381" t="n"/>
      <c r="R252" s="381" t="n"/>
      <c r="S252" s="381" t="n"/>
      <c r="T252" s="544" t="n"/>
      <c r="U252" s="381" t="n"/>
      <c r="V252" s="381" t="n"/>
      <c r="W252" s="381" t="n"/>
      <c r="X252" s="381" t="n"/>
      <c r="Y252" s="381" t="n"/>
      <c r="Z252" s="381" t="n"/>
      <c r="AA252" s="381" t="n"/>
      <c r="AB252" s="381" t="n"/>
      <c r="AC252" s="381" t="n"/>
      <c r="AD252" s="381" t="n"/>
      <c r="AE252" s="381" t="n"/>
      <c r="AF252" s="381" t="n"/>
      <c r="AG252" s="381" t="n"/>
      <c r="AH252" s="381" t="n"/>
      <c r="AI252" s="381" t="n"/>
      <c r="AJ252" s="381" t="n"/>
      <c r="AK252" s="381" t="n"/>
      <c r="AL252" s="381" t="n"/>
      <c r="AM252" s="381" t="n"/>
      <c r="AN252" s="381" t="n"/>
      <c r="AO252" s="381" t="n"/>
      <c r="AP252" s="381" t="n"/>
      <c r="AQ252" s="381" t="n"/>
      <c r="AR252" s="381" t="n"/>
    </row>
    <row r="253" ht="15.75" customHeight="1" s="375">
      <c r="A253" s="381" t="n"/>
      <c r="B253" s="381" t="n"/>
      <c r="C253" s="381" t="n"/>
      <c r="D253" s="381" t="n"/>
      <c r="E253" s="381" t="n"/>
      <c r="F253" s="381" t="n"/>
      <c r="G253" s="381" t="n"/>
      <c r="H253" s="381" t="n"/>
      <c r="I253" s="381" t="n"/>
      <c r="J253" s="381" t="n"/>
      <c r="K253" s="381" t="n"/>
      <c r="L253" s="381" t="n"/>
      <c r="M253" s="381" t="n"/>
      <c r="N253" s="381" t="n"/>
      <c r="O253" s="381" t="n"/>
      <c r="P253" s="381" t="n"/>
      <c r="Q253" s="381" t="n"/>
      <c r="R253" s="381" t="n"/>
      <c r="S253" s="381" t="n"/>
      <c r="T253" s="544" t="n"/>
      <c r="U253" s="381" t="n"/>
      <c r="V253" s="381" t="n"/>
      <c r="W253" s="381" t="n"/>
      <c r="X253" s="381" t="n"/>
      <c r="Y253" s="381" t="n"/>
      <c r="Z253" s="381" t="n"/>
      <c r="AA253" s="381" t="n"/>
      <c r="AB253" s="381" t="n"/>
      <c r="AC253" s="381" t="n"/>
      <c r="AD253" s="381" t="n"/>
      <c r="AE253" s="381" t="n"/>
      <c r="AF253" s="381" t="n"/>
      <c r="AG253" s="381" t="n"/>
      <c r="AH253" s="381" t="n"/>
      <c r="AI253" s="381" t="n"/>
      <c r="AJ253" s="381" t="n"/>
      <c r="AK253" s="381" t="n"/>
      <c r="AL253" s="381" t="n"/>
      <c r="AM253" s="381" t="n"/>
      <c r="AN253" s="381" t="n"/>
      <c r="AO253" s="381" t="n"/>
      <c r="AP253" s="381" t="n"/>
      <c r="AQ253" s="381" t="n"/>
      <c r="AR253" s="381" t="n"/>
    </row>
    <row r="254" ht="15.75" customHeight="1" s="375">
      <c r="A254" s="381" t="n"/>
      <c r="B254" s="381" t="n"/>
      <c r="C254" s="381" t="n"/>
      <c r="D254" s="381" t="n"/>
      <c r="E254" s="381" t="n"/>
      <c r="F254" s="381" t="n"/>
      <c r="G254" s="381" t="n"/>
      <c r="H254" s="381" t="n"/>
      <c r="I254" s="381" t="n"/>
      <c r="J254" s="381" t="n"/>
      <c r="K254" s="381" t="n"/>
      <c r="L254" s="381" t="n"/>
      <c r="M254" s="381" t="n"/>
      <c r="N254" s="381" t="n"/>
      <c r="O254" s="381" t="n"/>
      <c r="P254" s="381" t="n"/>
      <c r="Q254" s="381" t="n"/>
      <c r="R254" s="381" t="n"/>
      <c r="S254" s="381" t="n"/>
      <c r="T254" s="544" t="n"/>
      <c r="U254" s="381" t="n"/>
      <c r="V254" s="381" t="n"/>
      <c r="W254" s="381" t="n"/>
      <c r="X254" s="381" t="n"/>
      <c r="Y254" s="381" t="n"/>
      <c r="Z254" s="381" t="n"/>
      <c r="AA254" s="381" t="n"/>
      <c r="AB254" s="381" t="n"/>
      <c r="AC254" s="381" t="n"/>
      <c r="AD254" s="381" t="n"/>
      <c r="AE254" s="381" t="n"/>
      <c r="AF254" s="381" t="n"/>
      <c r="AG254" s="381" t="n"/>
      <c r="AH254" s="381" t="n"/>
      <c r="AI254" s="381" t="n"/>
      <c r="AJ254" s="381" t="n"/>
      <c r="AK254" s="381" t="n"/>
      <c r="AL254" s="381" t="n"/>
      <c r="AM254" s="381" t="n"/>
      <c r="AN254" s="381" t="n"/>
      <c r="AO254" s="381" t="n"/>
      <c r="AP254" s="381" t="n"/>
      <c r="AQ254" s="381" t="n"/>
      <c r="AR254" s="381" t="n"/>
    </row>
    <row r="255" ht="15.75" customHeight="1" s="375">
      <c r="A255" s="381" t="n"/>
      <c r="B255" s="381" t="n"/>
      <c r="C255" s="381" t="n"/>
      <c r="D255" s="381" t="n"/>
      <c r="E255" s="381" t="n"/>
      <c r="F255" s="381" t="n"/>
      <c r="G255" s="381" t="n"/>
      <c r="H255" s="381" t="n"/>
      <c r="I255" s="381" t="n"/>
      <c r="J255" s="381" t="n"/>
      <c r="K255" s="381" t="n"/>
      <c r="L255" s="381" t="n"/>
      <c r="M255" s="381" t="n"/>
      <c r="N255" s="381" t="n"/>
      <c r="O255" s="381" t="n"/>
      <c r="P255" s="381" t="n"/>
      <c r="Q255" s="381" t="n"/>
      <c r="R255" s="381" t="n"/>
      <c r="S255" s="381" t="n"/>
      <c r="T255" s="544" t="n"/>
      <c r="U255" s="381" t="n"/>
      <c r="V255" s="381" t="n"/>
      <c r="W255" s="381" t="n"/>
      <c r="X255" s="381" t="n"/>
      <c r="Y255" s="381" t="n"/>
      <c r="Z255" s="381" t="n"/>
      <c r="AA255" s="381" t="n"/>
      <c r="AB255" s="381" t="n"/>
      <c r="AC255" s="381" t="n"/>
      <c r="AD255" s="381" t="n"/>
      <c r="AE255" s="381" t="n"/>
      <c r="AF255" s="381" t="n"/>
      <c r="AG255" s="381" t="n"/>
      <c r="AH255" s="381" t="n"/>
      <c r="AI255" s="381" t="n"/>
      <c r="AJ255" s="381" t="n"/>
      <c r="AK255" s="381" t="n"/>
      <c r="AL255" s="381" t="n"/>
      <c r="AM255" s="381" t="n"/>
      <c r="AN255" s="381" t="n"/>
      <c r="AO255" s="381" t="n"/>
      <c r="AP255" s="381" t="n"/>
      <c r="AQ255" s="381" t="n"/>
      <c r="AR255" s="381" t="n"/>
    </row>
    <row r="256" ht="15.75" customHeight="1" s="375">
      <c r="A256" s="381" t="n"/>
      <c r="B256" s="381" t="n"/>
      <c r="C256" s="381" t="n"/>
      <c r="D256" s="381" t="n"/>
      <c r="E256" s="381" t="n"/>
      <c r="F256" s="381" t="n"/>
      <c r="G256" s="381" t="n"/>
      <c r="H256" s="381" t="n"/>
      <c r="I256" s="381" t="n"/>
      <c r="J256" s="381" t="n"/>
      <c r="K256" s="381" t="n"/>
      <c r="L256" s="381" t="n"/>
      <c r="M256" s="381" t="n"/>
      <c r="N256" s="381" t="n"/>
      <c r="O256" s="381" t="n"/>
      <c r="P256" s="381" t="n"/>
      <c r="Q256" s="381" t="n"/>
      <c r="R256" s="381" t="n"/>
      <c r="S256" s="381" t="n"/>
      <c r="T256" s="544" t="n"/>
      <c r="U256" s="381" t="n"/>
      <c r="V256" s="381" t="n"/>
      <c r="W256" s="381" t="n"/>
      <c r="X256" s="381" t="n"/>
      <c r="Y256" s="381" t="n"/>
      <c r="Z256" s="381" t="n"/>
      <c r="AA256" s="381" t="n"/>
      <c r="AB256" s="381" t="n"/>
      <c r="AC256" s="381" t="n"/>
      <c r="AD256" s="381" t="n"/>
      <c r="AE256" s="381" t="n"/>
      <c r="AF256" s="381" t="n"/>
      <c r="AG256" s="381" t="n"/>
      <c r="AH256" s="381" t="n"/>
      <c r="AI256" s="381" t="n"/>
      <c r="AJ256" s="381" t="n"/>
      <c r="AK256" s="381" t="n"/>
      <c r="AL256" s="381" t="n"/>
      <c r="AM256" s="381" t="n"/>
      <c r="AN256" s="381" t="n"/>
      <c r="AO256" s="381" t="n"/>
      <c r="AP256" s="381" t="n"/>
      <c r="AQ256" s="381" t="n"/>
      <c r="AR256" s="381" t="n"/>
    </row>
    <row r="257" ht="15.75" customHeight="1" s="375">
      <c r="A257" s="381" t="n"/>
      <c r="B257" s="381" t="n"/>
      <c r="C257" s="381" t="n"/>
      <c r="D257" s="381" t="n"/>
      <c r="E257" s="381" t="n"/>
      <c r="F257" s="381" t="n"/>
      <c r="G257" s="381" t="n"/>
      <c r="H257" s="381" t="n"/>
      <c r="I257" s="381" t="n"/>
      <c r="J257" s="381" t="n"/>
      <c r="K257" s="381" t="n"/>
      <c r="L257" s="381" t="n"/>
      <c r="M257" s="381" t="n"/>
      <c r="N257" s="381" t="n"/>
      <c r="O257" s="381" t="n"/>
      <c r="P257" s="381" t="n"/>
      <c r="Q257" s="381" t="n"/>
      <c r="R257" s="381" t="n"/>
      <c r="S257" s="381" t="n"/>
      <c r="T257" s="544" t="n"/>
      <c r="U257" s="381" t="n"/>
      <c r="V257" s="381" t="n"/>
      <c r="W257" s="381" t="n"/>
      <c r="X257" s="381" t="n"/>
      <c r="Y257" s="381" t="n"/>
      <c r="Z257" s="381" t="n"/>
      <c r="AA257" s="381" t="n"/>
      <c r="AB257" s="381" t="n"/>
      <c r="AC257" s="381" t="n"/>
      <c r="AD257" s="381" t="n"/>
      <c r="AE257" s="381" t="n"/>
      <c r="AF257" s="381" t="n"/>
      <c r="AG257" s="381" t="n"/>
      <c r="AH257" s="381" t="n"/>
      <c r="AI257" s="381" t="n"/>
      <c r="AJ257" s="381" t="n"/>
      <c r="AK257" s="381" t="n"/>
      <c r="AL257" s="381" t="n"/>
      <c r="AM257" s="381" t="n"/>
      <c r="AN257" s="381" t="n"/>
      <c r="AO257" s="381" t="n"/>
      <c r="AP257" s="381" t="n"/>
      <c r="AQ257" s="381" t="n"/>
      <c r="AR257" s="381" t="n"/>
    </row>
    <row r="258" ht="15.75" customHeight="1" s="375">
      <c r="A258" s="381" t="n"/>
      <c r="B258" s="381" t="n"/>
      <c r="C258" s="381" t="n"/>
      <c r="D258" s="381" t="n"/>
      <c r="E258" s="381" t="n"/>
      <c r="F258" s="381" t="n"/>
      <c r="G258" s="381" t="n"/>
      <c r="H258" s="381" t="n"/>
      <c r="I258" s="381" t="n"/>
      <c r="J258" s="381" t="n"/>
      <c r="K258" s="381" t="n"/>
      <c r="L258" s="381" t="n"/>
      <c r="M258" s="381" t="n"/>
      <c r="N258" s="381" t="n"/>
      <c r="O258" s="381" t="n"/>
      <c r="P258" s="381" t="n"/>
      <c r="Q258" s="381" t="n"/>
      <c r="R258" s="381" t="n"/>
      <c r="S258" s="381" t="n"/>
      <c r="T258" s="544" t="n"/>
      <c r="U258" s="381" t="n"/>
      <c r="V258" s="381" t="n"/>
      <c r="W258" s="381" t="n"/>
      <c r="X258" s="381" t="n"/>
      <c r="Y258" s="381" t="n"/>
      <c r="Z258" s="381" t="n"/>
      <c r="AA258" s="381" t="n"/>
      <c r="AB258" s="381" t="n"/>
      <c r="AC258" s="381" t="n"/>
      <c r="AD258" s="381" t="n"/>
      <c r="AE258" s="381" t="n"/>
      <c r="AF258" s="381" t="n"/>
      <c r="AG258" s="381" t="n"/>
      <c r="AH258" s="381" t="n"/>
      <c r="AI258" s="381" t="n"/>
      <c r="AJ258" s="381" t="n"/>
      <c r="AK258" s="381" t="n"/>
      <c r="AL258" s="381" t="n"/>
      <c r="AM258" s="381" t="n"/>
      <c r="AN258" s="381" t="n"/>
      <c r="AO258" s="381" t="n"/>
      <c r="AP258" s="381" t="n"/>
      <c r="AQ258" s="381" t="n"/>
      <c r="AR258" s="381" t="n"/>
    </row>
    <row r="259" ht="15.75" customHeight="1" s="375">
      <c r="A259" s="381" t="n"/>
      <c r="B259" s="381" t="n"/>
      <c r="C259" s="381" t="n"/>
      <c r="D259" s="381" t="n"/>
      <c r="E259" s="381" t="n"/>
      <c r="F259" s="381" t="n"/>
      <c r="G259" s="381" t="n"/>
      <c r="H259" s="381" t="n"/>
      <c r="I259" s="381" t="n"/>
      <c r="J259" s="381" t="n"/>
      <c r="K259" s="381" t="n"/>
      <c r="L259" s="381" t="n"/>
      <c r="M259" s="381" t="n"/>
      <c r="N259" s="381" t="n"/>
      <c r="O259" s="381" t="n"/>
      <c r="P259" s="381" t="n"/>
      <c r="Q259" s="381" t="n"/>
      <c r="R259" s="381" t="n"/>
      <c r="S259" s="381" t="n"/>
      <c r="T259" s="544" t="n"/>
      <c r="U259" s="381" t="n"/>
      <c r="V259" s="381" t="n"/>
      <c r="W259" s="381" t="n"/>
      <c r="X259" s="381" t="n"/>
      <c r="Y259" s="381" t="n"/>
      <c r="Z259" s="381" t="n"/>
      <c r="AA259" s="381" t="n"/>
      <c r="AB259" s="381" t="n"/>
      <c r="AC259" s="381" t="n"/>
      <c r="AD259" s="381" t="n"/>
      <c r="AE259" s="381" t="n"/>
      <c r="AF259" s="381" t="n"/>
      <c r="AG259" s="381" t="n"/>
      <c r="AH259" s="381" t="n"/>
      <c r="AI259" s="381" t="n"/>
      <c r="AJ259" s="381" t="n"/>
      <c r="AK259" s="381" t="n"/>
      <c r="AL259" s="381" t="n"/>
      <c r="AM259" s="381" t="n"/>
      <c r="AN259" s="381" t="n"/>
      <c r="AO259" s="381" t="n"/>
      <c r="AP259" s="381" t="n"/>
      <c r="AQ259" s="381" t="n"/>
      <c r="AR259" s="381" t="n"/>
    </row>
    <row r="260" ht="15.75" customHeight="1" s="375">
      <c r="A260" s="381" t="n"/>
      <c r="B260" s="381" t="n"/>
      <c r="C260" s="381" t="n"/>
      <c r="D260" s="381" t="n"/>
      <c r="E260" s="381" t="n"/>
      <c r="F260" s="381" t="n"/>
      <c r="G260" s="381" t="n"/>
      <c r="H260" s="381" t="n"/>
      <c r="I260" s="381" t="n"/>
      <c r="J260" s="381" t="n"/>
      <c r="K260" s="381" t="n"/>
      <c r="L260" s="381" t="n"/>
      <c r="M260" s="381" t="n"/>
      <c r="N260" s="381" t="n"/>
      <c r="O260" s="381" t="n"/>
      <c r="P260" s="381" t="n"/>
      <c r="Q260" s="381" t="n"/>
      <c r="R260" s="381" t="n"/>
      <c r="S260" s="381" t="n"/>
      <c r="T260" s="544" t="n"/>
      <c r="U260" s="381" t="n"/>
      <c r="V260" s="381" t="n"/>
      <c r="W260" s="381" t="n"/>
      <c r="X260" s="381" t="n"/>
      <c r="Y260" s="381" t="n"/>
      <c r="Z260" s="381" t="n"/>
      <c r="AA260" s="381" t="n"/>
      <c r="AB260" s="381" t="n"/>
      <c r="AC260" s="381" t="n"/>
      <c r="AD260" s="381" t="n"/>
      <c r="AE260" s="381" t="n"/>
      <c r="AF260" s="381" t="n"/>
      <c r="AG260" s="381" t="n"/>
      <c r="AH260" s="381" t="n"/>
      <c r="AI260" s="381" t="n"/>
      <c r="AJ260" s="381" t="n"/>
      <c r="AK260" s="381" t="n"/>
      <c r="AL260" s="381" t="n"/>
      <c r="AM260" s="381" t="n"/>
      <c r="AN260" s="381" t="n"/>
      <c r="AO260" s="381" t="n"/>
      <c r="AP260" s="381" t="n"/>
      <c r="AQ260" s="381" t="n"/>
      <c r="AR260" s="381" t="n"/>
    </row>
    <row r="261" ht="15.75" customHeight="1" s="375">
      <c r="A261" s="381" t="n"/>
      <c r="B261" s="381" t="n"/>
      <c r="C261" s="381" t="n"/>
      <c r="D261" s="381" t="n"/>
      <c r="E261" s="381" t="n"/>
      <c r="F261" s="381" t="n"/>
      <c r="G261" s="381" t="n"/>
      <c r="H261" s="381" t="n"/>
      <c r="I261" s="381" t="n"/>
      <c r="J261" s="381" t="n"/>
      <c r="K261" s="381" t="n"/>
      <c r="L261" s="381" t="n"/>
      <c r="M261" s="381" t="n"/>
      <c r="N261" s="381" t="n"/>
      <c r="O261" s="381" t="n"/>
      <c r="P261" s="381" t="n"/>
      <c r="Q261" s="381" t="n"/>
      <c r="R261" s="381" t="n"/>
      <c r="S261" s="381" t="n"/>
      <c r="T261" s="544" t="n"/>
      <c r="U261" s="381" t="n"/>
      <c r="V261" s="381" t="n"/>
      <c r="W261" s="381" t="n"/>
      <c r="X261" s="381" t="n"/>
      <c r="Y261" s="381" t="n"/>
      <c r="Z261" s="381" t="n"/>
      <c r="AA261" s="381" t="n"/>
      <c r="AB261" s="381" t="n"/>
      <c r="AC261" s="381" t="n"/>
      <c r="AD261" s="381" t="n"/>
      <c r="AE261" s="381" t="n"/>
      <c r="AF261" s="381" t="n"/>
      <c r="AG261" s="381" t="n"/>
      <c r="AH261" s="381" t="n"/>
      <c r="AI261" s="381" t="n"/>
      <c r="AJ261" s="381" t="n"/>
      <c r="AK261" s="381" t="n"/>
      <c r="AL261" s="381" t="n"/>
      <c r="AM261" s="381" t="n"/>
      <c r="AN261" s="381" t="n"/>
      <c r="AO261" s="381" t="n"/>
      <c r="AP261" s="381" t="n"/>
      <c r="AQ261" s="381" t="n"/>
      <c r="AR261" s="381" t="n"/>
    </row>
    <row r="262" ht="15.75" customHeight="1" s="375">
      <c r="A262" s="381" t="n"/>
      <c r="B262" s="381" t="n"/>
      <c r="C262" s="381" t="n"/>
      <c r="D262" s="381" t="n"/>
      <c r="E262" s="381" t="n"/>
      <c r="F262" s="381" t="n"/>
      <c r="G262" s="381" t="n"/>
      <c r="H262" s="381" t="n"/>
      <c r="I262" s="381" t="n"/>
      <c r="J262" s="381" t="n"/>
      <c r="K262" s="381" t="n"/>
      <c r="L262" s="381" t="n"/>
      <c r="M262" s="381" t="n"/>
      <c r="N262" s="381" t="n"/>
      <c r="O262" s="381" t="n"/>
      <c r="P262" s="381" t="n"/>
      <c r="Q262" s="381" t="n"/>
      <c r="R262" s="381" t="n"/>
      <c r="S262" s="381" t="n"/>
      <c r="T262" s="544" t="n"/>
      <c r="U262" s="381" t="n"/>
      <c r="V262" s="381" t="n"/>
      <c r="W262" s="381" t="n"/>
      <c r="X262" s="381" t="n"/>
      <c r="Y262" s="381" t="n"/>
      <c r="Z262" s="381" t="n"/>
      <c r="AA262" s="381" t="n"/>
      <c r="AB262" s="381" t="n"/>
      <c r="AC262" s="381" t="n"/>
      <c r="AD262" s="381" t="n"/>
      <c r="AE262" s="381" t="n"/>
      <c r="AF262" s="381" t="n"/>
      <c r="AG262" s="381" t="n"/>
      <c r="AH262" s="381" t="n"/>
      <c r="AI262" s="381" t="n"/>
      <c r="AJ262" s="381" t="n"/>
      <c r="AK262" s="381" t="n"/>
      <c r="AL262" s="381" t="n"/>
      <c r="AM262" s="381" t="n"/>
      <c r="AN262" s="381" t="n"/>
      <c r="AO262" s="381" t="n"/>
      <c r="AP262" s="381" t="n"/>
      <c r="AQ262" s="381" t="n"/>
      <c r="AR262" s="381" t="n"/>
    </row>
    <row r="263" ht="15.75" customHeight="1" s="375">
      <c r="A263" s="381" t="n"/>
      <c r="B263" s="381" t="n"/>
      <c r="C263" s="381" t="n"/>
      <c r="D263" s="381" t="n"/>
      <c r="E263" s="381" t="n"/>
      <c r="F263" s="381" t="n"/>
      <c r="G263" s="381" t="n"/>
      <c r="H263" s="381" t="n"/>
      <c r="I263" s="381" t="n"/>
      <c r="J263" s="381" t="n"/>
      <c r="K263" s="381" t="n"/>
      <c r="L263" s="381" t="n"/>
      <c r="M263" s="381" t="n"/>
      <c r="N263" s="381" t="n"/>
      <c r="O263" s="381" t="n"/>
      <c r="P263" s="381" t="n"/>
      <c r="Q263" s="381" t="n"/>
      <c r="R263" s="381" t="n"/>
      <c r="S263" s="381" t="n"/>
      <c r="T263" s="544" t="n"/>
      <c r="U263" s="381" t="n"/>
      <c r="V263" s="381" t="n"/>
      <c r="W263" s="381" t="n"/>
      <c r="X263" s="381" t="n"/>
      <c r="Y263" s="381" t="n"/>
      <c r="Z263" s="381" t="n"/>
      <c r="AA263" s="381" t="n"/>
      <c r="AB263" s="381" t="n"/>
      <c r="AC263" s="381" t="n"/>
      <c r="AD263" s="381" t="n"/>
      <c r="AE263" s="381" t="n"/>
      <c r="AF263" s="381" t="n"/>
      <c r="AG263" s="381" t="n"/>
      <c r="AH263" s="381" t="n"/>
      <c r="AI263" s="381" t="n"/>
      <c r="AJ263" s="381" t="n"/>
      <c r="AK263" s="381" t="n"/>
      <c r="AL263" s="381" t="n"/>
      <c r="AM263" s="381" t="n"/>
      <c r="AN263" s="381" t="n"/>
      <c r="AO263" s="381" t="n"/>
      <c r="AP263" s="381" t="n"/>
      <c r="AQ263" s="381" t="n"/>
      <c r="AR263" s="381" t="n"/>
    </row>
    <row r="264" ht="15.75" customHeight="1" s="375">
      <c r="A264" s="381" t="n"/>
      <c r="B264" s="381" t="n"/>
      <c r="C264" s="381" t="n"/>
      <c r="D264" s="381" t="n"/>
      <c r="E264" s="381" t="n"/>
      <c r="F264" s="381" t="n"/>
      <c r="G264" s="381" t="n"/>
      <c r="H264" s="381" t="n"/>
      <c r="I264" s="381" t="n"/>
      <c r="J264" s="381" t="n"/>
      <c r="K264" s="381" t="n"/>
      <c r="L264" s="381" t="n"/>
      <c r="M264" s="381" t="n"/>
      <c r="N264" s="381" t="n"/>
      <c r="O264" s="381" t="n"/>
      <c r="P264" s="381" t="n"/>
      <c r="Q264" s="381" t="n"/>
      <c r="R264" s="381" t="n"/>
      <c r="S264" s="381" t="n"/>
      <c r="T264" s="544" t="n"/>
      <c r="U264" s="381" t="n"/>
      <c r="V264" s="381" t="n"/>
      <c r="W264" s="381" t="n"/>
      <c r="X264" s="381" t="n"/>
      <c r="Y264" s="381" t="n"/>
      <c r="Z264" s="381" t="n"/>
      <c r="AA264" s="381" t="n"/>
      <c r="AB264" s="381" t="n"/>
      <c r="AC264" s="381" t="n"/>
      <c r="AD264" s="381" t="n"/>
      <c r="AE264" s="381" t="n"/>
      <c r="AF264" s="381" t="n"/>
      <c r="AG264" s="381" t="n"/>
      <c r="AH264" s="381" t="n"/>
      <c r="AI264" s="381" t="n"/>
      <c r="AJ264" s="381" t="n"/>
      <c r="AK264" s="381" t="n"/>
      <c r="AL264" s="381" t="n"/>
      <c r="AM264" s="381" t="n"/>
      <c r="AN264" s="381" t="n"/>
      <c r="AO264" s="381" t="n"/>
      <c r="AP264" s="381" t="n"/>
      <c r="AQ264" s="381" t="n"/>
      <c r="AR264" s="381" t="n"/>
    </row>
    <row r="265" ht="15.75" customHeight="1" s="375">
      <c r="A265" s="381" t="n"/>
      <c r="B265" s="381" t="n"/>
      <c r="C265" s="381" t="n"/>
      <c r="D265" s="381" t="n"/>
      <c r="E265" s="381" t="n"/>
      <c r="F265" s="381" t="n"/>
      <c r="G265" s="381" t="n"/>
      <c r="H265" s="381" t="n"/>
      <c r="I265" s="381" t="n"/>
      <c r="J265" s="381" t="n"/>
      <c r="K265" s="381" t="n"/>
      <c r="L265" s="381" t="n"/>
      <c r="M265" s="381" t="n"/>
      <c r="N265" s="381" t="n"/>
      <c r="O265" s="381" t="n"/>
      <c r="P265" s="381" t="n"/>
      <c r="Q265" s="381" t="n"/>
      <c r="R265" s="381" t="n"/>
      <c r="S265" s="381" t="n"/>
      <c r="T265" s="544" t="n"/>
      <c r="U265" s="381" t="n"/>
      <c r="V265" s="381" t="n"/>
      <c r="W265" s="381" t="n"/>
      <c r="X265" s="381" t="n"/>
      <c r="Y265" s="381" t="n"/>
      <c r="Z265" s="381" t="n"/>
      <c r="AA265" s="381" t="n"/>
      <c r="AB265" s="381" t="n"/>
      <c r="AC265" s="381" t="n"/>
      <c r="AD265" s="381" t="n"/>
      <c r="AE265" s="381" t="n"/>
      <c r="AF265" s="381" t="n"/>
      <c r="AG265" s="381" t="n"/>
      <c r="AH265" s="381" t="n"/>
      <c r="AI265" s="381" t="n"/>
      <c r="AJ265" s="381" t="n"/>
      <c r="AK265" s="381" t="n"/>
      <c r="AL265" s="381" t="n"/>
      <c r="AM265" s="381" t="n"/>
      <c r="AN265" s="381" t="n"/>
      <c r="AO265" s="381" t="n"/>
      <c r="AP265" s="381" t="n"/>
      <c r="AQ265" s="381" t="n"/>
      <c r="AR265" s="381" t="n"/>
    </row>
    <row r="266" ht="15.75" customHeight="1" s="375">
      <c r="A266" s="381" t="n"/>
      <c r="B266" s="381" t="n"/>
      <c r="C266" s="381" t="n"/>
      <c r="D266" s="381" t="n"/>
      <c r="E266" s="381" t="n"/>
      <c r="F266" s="381" t="n"/>
      <c r="G266" s="381" t="n"/>
      <c r="H266" s="381" t="n"/>
      <c r="I266" s="381" t="n"/>
      <c r="J266" s="381" t="n"/>
      <c r="K266" s="381" t="n"/>
      <c r="L266" s="381" t="n"/>
      <c r="M266" s="381" t="n"/>
      <c r="N266" s="381" t="n"/>
      <c r="O266" s="381" t="n"/>
      <c r="P266" s="381" t="n"/>
      <c r="Q266" s="381" t="n"/>
      <c r="R266" s="381" t="n"/>
      <c r="S266" s="381" t="n"/>
      <c r="T266" s="544" t="n"/>
      <c r="U266" s="381" t="n"/>
      <c r="V266" s="381" t="n"/>
      <c r="W266" s="381" t="n"/>
      <c r="X266" s="381" t="n"/>
      <c r="Y266" s="381" t="n"/>
      <c r="Z266" s="381" t="n"/>
      <c r="AA266" s="381" t="n"/>
      <c r="AB266" s="381" t="n"/>
      <c r="AC266" s="381" t="n"/>
      <c r="AD266" s="381" t="n"/>
      <c r="AE266" s="381" t="n"/>
      <c r="AF266" s="381" t="n"/>
      <c r="AG266" s="381" t="n"/>
      <c r="AH266" s="381" t="n"/>
      <c r="AI266" s="381" t="n"/>
      <c r="AJ266" s="381" t="n"/>
      <c r="AK266" s="381" t="n"/>
      <c r="AL266" s="381" t="n"/>
      <c r="AM266" s="381" t="n"/>
      <c r="AN266" s="381" t="n"/>
      <c r="AO266" s="381" t="n"/>
      <c r="AP266" s="381" t="n"/>
      <c r="AQ266" s="381" t="n"/>
      <c r="AR266" s="381" t="n"/>
    </row>
    <row r="267" ht="15.75" customHeight="1" s="375">
      <c r="A267" s="381" t="n"/>
      <c r="B267" s="381" t="n"/>
      <c r="C267" s="381" t="n"/>
      <c r="D267" s="381" t="n"/>
      <c r="E267" s="381" t="n"/>
      <c r="F267" s="381" t="n"/>
      <c r="G267" s="381" t="n"/>
      <c r="H267" s="381" t="n"/>
      <c r="I267" s="381" t="n"/>
      <c r="J267" s="381" t="n"/>
      <c r="K267" s="381" t="n"/>
      <c r="L267" s="381" t="n"/>
      <c r="M267" s="381" t="n"/>
      <c r="N267" s="381" t="n"/>
      <c r="O267" s="381" t="n"/>
      <c r="P267" s="381" t="n"/>
      <c r="Q267" s="381" t="n"/>
      <c r="R267" s="381" t="n"/>
      <c r="S267" s="381" t="n"/>
      <c r="T267" s="544" t="n"/>
      <c r="U267" s="381" t="n"/>
      <c r="V267" s="381" t="n"/>
      <c r="W267" s="381" t="n"/>
      <c r="X267" s="381" t="n"/>
      <c r="Y267" s="381" t="n"/>
      <c r="Z267" s="381" t="n"/>
      <c r="AA267" s="381" t="n"/>
      <c r="AB267" s="381" t="n"/>
      <c r="AC267" s="381" t="n"/>
      <c r="AD267" s="381" t="n"/>
      <c r="AE267" s="381" t="n"/>
      <c r="AF267" s="381" t="n"/>
      <c r="AG267" s="381" t="n"/>
      <c r="AH267" s="381" t="n"/>
      <c r="AI267" s="381" t="n"/>
      <c r="AJ267" s="381" t="n"/>
      <c r="AK267" s="381" t="n"/>
      <c r="AL267" s="381" t="n"/>
      <c r="AM267" s="381" t="n"/>
      <c r="AN267" s="381" t="n"/>
      <c r="AO267" s="381" t="n"/>
      <c r="AP267" s="381" t="n"/>
      <c r="AQ267" s="381" t="n"/>
      <c r="AR267" s="381" t="n"/>
    </row>
    <row r="268" ht="15.75" customHeight="1" s="375">
      <c r="A268" s="381" t="n"/>
      <c r="B268" s="381" t="n"/>
      <c r="C268" s="381" t="n"/>
      <c r="D268" s="381" t="n"/>
      <c r="E268" s="381" t="n"/>
      <c r="F268" s="381" t="n"/>
      <c r="G268" s="381" t="n"/>
      <c r="H268" s="381" t="n"/>
      <c r="I268" s="381" t="n"/>
      <c r="J268" s="381" t="n"/>
      <c r="K268" s="381" t="n"/>
      <c r="L268" s="381" t="n"/>
      <c r="M268" s="381" t="n"/>
      <c r="N268" s="381" t="n"/>
      <c r="O268" s="381" t="n"/>
      <c r="P268" s="381" t="n"/>
      <c r="Q268" s="381" t="n"/>
      <c r="R268" s="381" t="n"/>
      <c r="S268" s="381" t="n"/>
      <c r="T268" s="544" t="n"/>
      <c r="U268" s="381" t="n"/>
      <c r="V268" s="381" t="n"/>
      <c r="W268" s="381" t="n"/>
      <c r="X268" s="381" t="n"/>
      <c r="Y268" s="381" t="n"/>
      <c r="Z268" s="381" t="n"/>
      <c r="AA268" s="381" t="n"/>
      <c r="AB268" s="381" t="n"/>
      <c r="AC268" s="381" t="n"/>
      <c r="AD268" s="381" t="n"/>
      <c r="AE268" s="381" t="n"/>
      <c r="AF268" s="381" t="n"/>
      <c r="AG268" s="381" t="n"/>
      <c r="AH268" s="381" t="n"/>
      <c r="AI268" s="381" t="n"/>
      <c r="AJ268" s="381" t="n"/>
      <c r="AK268" s="381" t="n"/>
      <c r="AL268" s="381" t="n"/>
      <c r="AM268" s="381" t="n"/>
      <c r="AN268" s="381" t="n"/>
      <c r="AO268" s="381" t="n"/>
      <c r="AP268" s="381" t="n"/>
      <c r="AQ268" s="381" t="n"/>
      <c r="AR268" s="381" t="n"/>
    </row>
    <row r="269" ht="15.75" customHeight="1" s="375">
      <c r="A269" s="381" t="n"/>
      <c r="B269" s="381" t="n"/>
      <c r="C269" s="381" t="n"/>
      <c r="D269" s="381" t="n"/>
      <c r="E269" s="381" t="n"/>
      <c r="F269" s="381" t="n"/>
      <c r="G269" s="381" t="n"/>
      <c r="H269" s="381" t="n"/>
      <c r="I269" s="381" t="n"/>
      <c r="J269" s="381" t="n"/>
      <c r="K269" s="381" t="n"/>
      <c r="L269" s="381" t="n"/>
      <c r="M269" s="381" t="n"/>
      <c r="N269" s="381" t="n"/>
      <c r="O269" s="381" t="n"/>
      <c r="P269" s="381" t="n"/>
      <c r="Q269" s="381" t="n"/>
      <c r="R269" s="381" t="n"/>
      <c r="S269" s="381" t="n"/>
      <c r="T269" s="544" t="n"/>
      <c r="U269" s="381" t="n"/>
      <c r="V269" s="381" t="n"/>
      <c r="W269" s="381" t="n"/>
      <c r="X269" s="381" t="n"/>
      <c r="Y269" s="381" t="n"/>
      <c r="Z269" s="381" t="n"/>
      <c r="AA269" s="381" t="n"/>
      <c r="AB269" s="381" t="n"/>
      <c r="AC269" s="381" t="n"/>
      <c r="AD269" s="381" t="n"/>
      <c r="AE269" s="381" t="n"/>
      <c r="AF269" s="381" t="n"/>
      <c r="AG269" s="381" t="n"/>
      <c r="AH269" s="381" t="n"/>
      <c r="AI269" s="381" t="n"/>
      <c r="AJ269" s="381" t="n"/>
      <c r="AK269" s="381" t="n"/>
      <c r="AL269" s="381" t="n"/>
      <c r="AM269" s="381" t="n"/>
      <c r="AN269" s="381" t="n"/>
      <c r="AO269" s="381" t="n"/>
      <c r="AP269" s="381" t="n"/>
      <c r="AQ269" s="381" t="n"/>
      <c r="AR269" s="381" t="n"/>
    </row>
    <row r="270" ht="15.75" customHeight="1" s="375">
      <c r="A270" s="381" t="n"/>
      <c r="B270" s="381" t="n"/>
      <c r="C270" s="381" t="n"/>
      <c r="D270" s="381" t="n"/>
      <c r="E270" s="381" t="n"/>
      <c r="F270" s="381" t="n"/>
      <c r="G270" s="381" t="n"/>
      <c r="H270" s="381" t="n"/>
      <c r="I270" s="381" t="n"/>
      <c r="J270" s="381" t="n"/>
      <c r="K270" s="381" t="n"/>
      <c r="L270" s="381" t="n"/>
      <c r="M270" s="381" t="n"/>
      <c r="N270" s="381" t="n"/>
      <c r="O270" s="381" t="n"/>
      <c r="P270" s="381" t="n"/>
      <c r="Q270" s="381" t="n"/>
      <c r="R270" s="381" t="n"/>
      <c r="S270" s="381" t="n"/>
      <c r="T270" s="544" t="n"/>
      <c r="U270" s="381" t="n"/>
      <c r="V270" s="381" t="n"/>
      <c r="W270" s="381" t="n"/>
      <c r="X270" s="381" t="n"/>
      <c r="Y270" s="381" t="n"/>
      <c r="Z270" s="381" t="n"/>
      <c r="AA270" s="381" t="n"/>
      <c r="AB270" s="381" t="n"/>
      <c r="AC270" s="381" t="n"/>
      <c r="AD270" s="381" t="n"/>
      <c r="AE270" s="381" t="n"/>
      <c r="AF270" s="381" t="n"/>
      <c r="AG270" s="381" t="n"/>
      <c r="AH270" s="381" t="n"/>
      <c r="AI270" s="381" t="n"/>
      <c r="AJ270" s="381" t="n"/>
      <c r="AK270" s="381" t="n"/>
      <c r="AL270" s="381" t="n"/>
      <c r="AM270" s="381" t="n"/>
      <c r="AN270" s="381" t="n"/>
      <c r="AO270" s="381" t="n"/>
      <c r="AP270" s="381" t="n"/>
      <c r="AQ270" s="381" t="n"/>
      <c r="AR270" s="381" t="n"/>
    </row>
    <row r="271" ht="15.75" customHeight="1" s="375">
      <c r="A271" s="381" t="n"/>
      <c r="B271" s="381" t="n"/>
      <c r="C271" s="381" t="n"/>
      <c r="D271" s="381" t="n"/>
      <c r="E271" s="381" t="n"/>
      <c r="F271" s="381" t="n"/>
      <c r="G271" s="381" t="n"/>
      <c r="H271" s="381" t="n"/>
      <c r="I271" s="381" t="n"/>
      <c r="J271" s="381" t="n"/>
      <c r="K271" s="381" t="n"/>
      <c r="L271" s="381" t="n"/>
      <c r="M271" s="381" t="n"/>
      <c r="N271" s="381" t="n"/>
      <c r="O271" s="381" t="n"/>
      <c r="P271" s="381" t="n"/>
      <c r="Q271" s="381" t="n"/>
      <c r="R271" s="381" t="n"/>
      <c r="S271" s="381" t="n"/>
      <c r="T271" s="544" t="n"/>
      <c r="U271" s="381" t="n"/>
      <c r="V271" s="381" t="n"/>
      <c r="W271" s="381" t="n"/>
      <c r="X271" s="381" t="n"/>
      <c r="Y271" s="381" t="n"/>
      <c r="Z271" s="381" t="n"/>
      <c r="AA271" s="381" t="n"/>
      <c r="AB271" s="381" t="n"/>
      <c r="AC271" s="381" t="n"/>
      <c r="AD271" s="381" t="n"/>
      <c r="AE271" s="381" t="n"/>
      <c r="AF271" s="381" t="n"/>
      <c r="AG271" s="381" t="n"/>
      <c r="AH271" s="381" t="n"/>
      <c r="AI271" s="381" t="n"/>
      <c r="AJ271" s="381" t="n"/>
      <c r="AK271" s="381" t="n"/>
      <c r="AL271" s="381" t="n"/>
      <c r="AM271" s="381" t="n"/>
      <c r="AN271" s="381" t="n"/>
      <c r="AO271" s="381" t="n"/>
      <c r="AP271" s="381" t="n"/>
      <c r="AQ271" s="381" t="n"/>
      <c r="AR271" s="381" t="n"/>
    </row>
    <row r="272" ht="15.75" customHeight="1" s="375">
      <c r="A272" s="381" t="n"/>
      <c r="B272" s="381" t="n"/>
      <c r="C272" s="381" t="n"/>
      <c r="D272" s="381" t="n"/>
      <c r="E272" s="381" t="n"/>
      <c r="F272" s="381" t="n"/>
      <c r="G272" s="381" t="n"/>
      <c r="H272" s="381" t="n"/>
      <c r="I272" s="381" t="n"/>
      <c r="J272" s="381" t="n"/>
      <c r="K272" s="381" t="n"/>
      <c r="L272" s="381" t="n"/>
      <c r="M272" s="381" t="n"/>
      <c r="N272" s="381" t="n"/>
      <c r="O272" s="381" t="n"/>
      <c r="P272" s="381" t="n"/>
      <c r="Q272" s="381" t="n"/>
      <c r="R272" s="381" t="n"/>
      <c r="S272" s="381" t="n"/>
      <c r="T272" s="544" t="n"/>
      <c r="U272" s="381" t="n"/>
      <c r="V272" s="381" t="n"/>
      <c r="W272" s="381" t="n"/>
      <c r="X272" s="381" t="n"/>
      <c r="Y272" s="381" t="n"/>
      <c r="Z272" s="381" t="n"/>
      <c r="AA272" s="381" t="n"/>
      <c r="AB272" s="381" t="n"/>
      <c r="AC272" s="381" t="n"/>
      <c r="AD272" s="381" t="n"/>
      <c r="AE272" s="381" t="n"/>
      <c r="AF272" s="381" t="n"/>
      <c r="AG272" s="381" t="n"/>
      <c r="AH272" s="381" t="n"/>
      <c r="AI272" s="381" t="n"/>
      <c r="AJ272" s="381" t="n"/>
      <c r="AK272" s="381" t="n"/>
      <c r="AL272" s="381" t="n"/>
      <c r="AM272" s="381" t="n"/>
      <c r="AN272" s="381" t="n"/>
      <c r="AO272" s="381" t="n"/>
      <c r="AP272" s="381" t="n"/>
      <c r="AQ272" s="381" t="n"/>
      <c r="AR272" s="381" t="n"/>
    </row>
    <row r="273" ht="15.75" customHeight="1" s="375">
      <c r="A273" s="381" t="n"/>
      <c r="B273" s="381" t="n"/>
      <c r="C273" s="381" t="n"/>
      <c r="D273" s="381" t="n"/>
      <c r="E273" s="381" t="n"/>
      <c r="F273" s="381" t="n"/>
      <c r="G273" s="381" t="n"/>
      <c r="H273" s="381" t="n"/>
      <c r="I273" s="381" t="n"/>
      <c r="J273" s="381" t="n"/>
      <c r="K273" s="381" t="n"/>
      <c r="L273" s="381" t="n"/>
      <c r="M273" s="381" t="n"/>
      <c r="N273" s="381" t="n"/>
      <c r="O273" s="381" t="n"/>
      <c r="P273" s="381" t="n"/>
      <c r="Q273" s="381" t="n"/>
      <c r="R273" s="381" t="n"/>
      <c r="S273" s="381" t="n"/>
      <c r="T273" s="544" t="n"/>
      <c r="U273" s="381" t="n"/>
      <c r="V273" s="381" t="n"/>
      <c r="W273" s="381" t="n"/>
      <c r="X273" s="381" t="n"/>
      <c r="Y273" s="381" t="n"/>
      <c r="Z273" s="381" t="n"/>
      <c r="AA273" s="381" t="n"/>
      <c r="AB273" s="381" t="n"/>
      <c r="AC273" s="381" t="n"/>
      <c r="AD273" s="381" t="n"/>
      <c r="AE273" s="381" t="n"/>
      <c r="AF273" s="381" t="n"/>
      <c r="AG273" s="381" t="n"/>
      <c r="AH273" s="381" t="n"/>
      <c r="AI273" s="381" t="n"/>
      <c r="AJ273" s="381" t="n"/>
      <c r="AK273" s="381" t="n"/>
      <c r="AL273" s="381" t="n"/>
      <c r="AM273" s="381" t="n"/>
      <c r="AN273" s="381" t="n"/>
      <c r="AO273" s="381" t="n"/>
      <c r="AP273" s="381" t="n"/>
      <c r="AQ273" s="381" t="n"/>
      <c r="AR273" s="381" t="n"/>
    </row>
    <row r="274" ht="15.75" customHeight="1" s="375">
      <c r="A274" s="381" t="n"/>
      <c r="B274" s="381" t="n"/>
      <c r="C274" s="381" t="n"/>
      <c r="D274" s="381" t="n"/>
      <c r="E274" s="381" t="n"/>
      <c r="F274" s="381" t="n"/>
      <c r="G274" s="381" t="n"/>
      <c r="H274" s="381" t="n"/>
      <c r="I274" s="381" t="n"/>
      <c r="J274" s="381" t="n"/>
      <c r="K274" s="381" t="n"/>
      <c r="L274" s="381" t="n"/>
      <c r="M274" s="381" t="n"/>
      <c r="N274" s="381" t="n"/>
      <c r="O274" s="381" t="n"/>
      <c r="P274" s="381" t="n"/>
      <c r="Q274" s="381" t="n"/>
      <c r="R274" s="381" t="n"/>
      <c r="S274" s="381" t="n"/>
      <c r="T274" s="544" t="n"/>
      <c r="U274" s="381" t="n"/>
      <c r="V274" s="381" t="n"/>
      <c r="W274" s="381" t="n"/>
      <c r="X274" s="381" t="n"/>
      <c r="Y274" s="381" t="n"/>
      <c r="Z274" s="381" t="n"/>
      <c r="AA274" s="381" t="n"/>
      <c r="AB274" s="381" t="n"/>
      <c r="AC274" s="381" t="n"/>
      <c r="AD274" s="381" t="n"/>
      <c r="AE274" s="381" t="n"/>
      <c r="AF274" s="381" t="n"/>
      <c r="AG274" s="381" t="n"/>
      <c r="AH274" s="381" t="n"/>
      <c r="AI274" s="381" t="n"/>
      <c r="AJ274" s="381" t="n"/>
      <c r="AK274" s="381" t="n"/>
      <c r="AL274" s="381" t="n"/>
      <c r="AM274" s="381" t="n"/>
      <c r="AN274" s="381" t="n"/>
      <c r="AO274" s="381" t="n"/>
      <c r="AP274" s="381" t="n"/>
      <c r="AQ274" s="381" t="n"/>
      <c r="AR274" s="381" t="n"/>
    </row>
    <row r="275" ht="15.75" customHeight="1" s="375">
      <c r="A275" s="381" t="n"/>
      <c r="B275" s="381" t="n"/>
      <c r="C275" s="381" t="n"/>
      <c r="D275" s="381" t="n"/>
      <c r="E275" s="381" t="n"/>
      <c r="F275" s="381" t="n"/>
      <c r="G275" s="381" t="n"/>
      <c r="H275" s="381" t="n"/>
      <c r="I275" s="381" t="n"/>
      <c r="J275" s="381" t="n"/>
      <c r="K275" s="381" t="n"/>
      <c r="L275" s="381" t="n"/>
      <c r="M275" s="381" t="n"/>
      <c r="N275" s="381" t="n"/>
      <c r="O275" s="381" t="n"/>
      <c r="P275" s="381" t="n"/>
      <c r="Q275" s="381" t="n"/>
      <c r="R275" s="381" t="n"/>
      <c r="S275" s="381" t="n"/>
      <c r="T275" s="544" t="n"/>
      <c r="U275" s="381" t="n"/>
      <c r="V275" s="381" t="n"/>
      <c r="W275" s="381" t="n"/>
      <c r="X275" s="381" t="n"/>
      <c r="Y275" s="381" t="n"/>
      <c r="Z275" s="381" t="n"/>
      <c r="AA275" s="381" t="n"/>
      <c r="AB275" s="381" t="n"/>
      <c r="AC275" s="381" t="n"/>
      <c r="AD275" s="381" t="n"/>
      <c r="AE275" s="381" t="n"/>
      <c r="AF275" s="381" t="n"/>
      <c r="AG275" s="381" t="n"/>
      <c r="AH275" s="381" t="n"/>
      <c r="AI275" s="381" t="n"/>
      <c r="AJ275" s="381" t="n"/>
      <c r="AK275" s="381" t="n"/>
      <c r="AL275" s="381" t="n"/>
      <c r="AM275" s="381" t="n"/>
      <c r="AN275" s="381" t="n"/>
      <c r="AO275" s="381" t="n"/>
      <c r="AP275" s="381" t="n"/>
      <c r="AQ275" s="381" t="n"/>
      <c r="AR275" s="381" t="n"/>
    </row>
    <row r="276" ht="15.75" customHeight="1" s="375">
      <c r="A276" s="381" t="n"/>
      <c r="B276" s="381" t="n"/>
      <c r="C276" s="381" t="n"/>
      <c r="D276" s="381" t="n"/>
      <c r="E276" s="381" t="n"/>
      <c r="F276" s="381" t="n"/>
      <c r="G276" s="381" t="n"/>
      <c r="H276" s="381" t="n"/>
      <c r="I276" s="381" t="n"/>
      <c r="J276" s="381" t="n"/>
      <c r="K276" s="381" t="n"/>
      <c r="L276" s="381" t="n"/>
      <c r="M276" s="381" t="n"/>
      <c r="N276" s="381" t="n"/>
      <c r="O276" s="381" t="n"/>
      <c r="P276" s="381" t="n"/>
      <c r="Q276" s="381" t="n"/>
      <c r="R276" s="381" t="n"/>
      <c r="S276" s="381" t="n"/>
      <c r="T276" s="544" t="n"/>
      <c r="U276" s="381" t="n"/>
      <c r="V276" s="381" t="n"/>
      <c r="W276" s="381" t="n"/>
      <c r="X276" s="381" t="n"/>
      <c r="Y276" s="381" t="n"/>
      <c r="Z276" s="381" t="n"/>
      <c r="AA276" s="381" t="n"/>
      <c r="AB276" s="381" t="n"/>
      <c r="AC276" s="381" t="n"/>
      <c r="AD276" s="381" t="n"/>
      <c r="AE276" s="381" t="n"/>
      <c r="AF276" s="381" t="n"/>
      <c r="AG276" s="381" t="n"/>
      <c r="AH276" s="381" t="n"/>
      <c r="AI276" s="381" t="n"/>
      <c r="AJ276" s="381" t="n"/>
      <c r="AK276" s="381" t="n"/>
      <c r="AL276" s="381" t="n"/>
      <c r="AM276" s="381" t="n"/>
      <c r="AN276" s="381" t="n"/>
      <c r="AO276" s="381" t="n"/>
      <c r="AP276" s="381" t="n"/>
      <c r="AQ276" s="381" t="n"/>
      <c r="AR276" s="381" t="n"/>
    </row>
    <row r="277" ht="15.75" customHeight="1" s="375">
      <c r="A277" s="381" t="n"/>
      <c r="B277" s="381" t="n"/>
      <c r="C277" s="381" t="n"/>
      <c r="D277" s="381" t="n"/>
      <c r="E277" s="381" t="n"/>
      <c r="F277" s="381" t="n"/>
      <c r="G277" s="381" t="n"/>
      <c r="H277" s="381" t="n"/>
      <c r="I277" s="381" t="n"/>
      <c r="J277" s="381" t="n"/>
      <c r="K277" s="381" t="n"/>
      <c r="L277" s="381" t="n"/>
      <c r="M277" s="381" t="n"/>
      <c r="N277" s="381" t="n"/>
      <c r="O277" s="381" t="n"/>
      <c r="P277" s="381" t="n"/>
      <c r="Q277" s="381" t="n"/>
      <c r="R277" s="381" t="n"/>
      <c r="S277" s="381" t="n"/>
      <c r="T277" s="544" t="n"/>
      <c r="U277" s="381" t="n"/>
      <c r="V277" s="381" t="n"/>
      <c r="W277" s="381" t="n"/>
      <c r="X277" s="381" t="n"/>
      <c r="Y277" s="381" t="n"/>
      <c r="Z277" s="381" t="n"/>
      <c r="AA277" s="381" t="n"/>
      <c r="AB277" s="381" t="n"/>
      <c r="AC277" s="381" t="n"/>
      <c r="AD277" s="381" t="n"/>
      <c r="AE277" s="381" t="n"/>
      <c r="AF277" s="381" t="n"/>
      <c r="AG277" s="381" t="n"/>
      <c r="AH277" s="381" t="n"/>
      <c r="AI277" s="381" t="n"/>
      <c r="AJ277" s="381" t="n"/>
      <c r="AK277" s="381" t="n"/>
      <c r="AL277" s="381" t="n"/>
      <c r="AM277" s="381" t="n"/>
      <c r="AN277" s="381" t="n"/>
      <c r="AO277" s="381" t="n"/>
      <c r="AP277" s="381" t="n"/>
      <c r="AQ277" s="381" t="n"/>
      <c r="AR277" s="381" t="n"/>
    </row>
    <row r="278" ht="15.75" customHeight="1" s="375">
      <c r="A278" s="381" t="n"/>
      <c r="B278" s="381" t="n"/>
      <c r="C278" s="381" t="n"/>
      <c r="D278" s="381" t="n"/>
      <c r="E278" s="381" t="n"/>
      <c r="F278" s="381" t="n"/>
      <c r="G278" s="381" t="n"/>
      <c r="H278" s="381" t="n"/>
      <c r="I278" s="381" t="n"/>
      <c r="J278" s="381" t="n"/>
      <c r="K278" s="381" t="n"/>
      <c r="L278" s="381" t="n"/>
      <c r="M278" s="381" t="n"/>
      <c r="N278" s="381" t="n"/>
      <c r="O278" s="381" t="n"/>
      <c r="P278" s="381" t="n"/>
      <c r="Q278" s="381" t="n"/>
      <c r="R278" s="381" t="n"/>
      <c r="S278" s="381" t="n"/>
      <c r="T278" s="544" t="n"/>
      <c r="U278" s="381" t="n"/>
      <c r="V278" s="381" t="n"/>
      <c r="W278" s="381" t="n"/>
      <c r="X278" s="381" t="n"/>
      <c r="Y278" s="381" t="n"/>
      <c r="Z278" s="381" t="n"/>
      <c r="AA278" s="381" t="n"/>
      <c r="AB278" s="381" t="n"/>
      <c r="AC278" s="381" t="n"/>
      <c r="AD278" s="381" t="n"/>
      <c r="AE278" s="381" t="n"/>
      <c r="AF278" s="381" t="n"/>
      <c r="AG278" s="381" t="n"/>
      <c r="AH278" s="381" t="n"/>
      <c r="AI278" s="381" t="n"/>
      <c r="AJ278" s="381" t="n"/>
      <c r="AK278" s="381" t="n"/>
      <c r="AL278" s="381" t="n"/>
      <c r="AM278" s="381" t="n"/>
      <c r="AN278" s="381" t="n"/>
      <c r="AO278" s="381" t="n"/>
      <c r="AP278" s="381" t="n"/>
      <c r="AQ278" s="381" t="n"/>
      <c r="AR278" s="381" t="n"/>
    </row>
    <row r="279" ht="15.75" customHeight="1" s="375">
      <c r="A279" s="381" t="n"/>
      <c r="B279" s="381" t="n"/>
      <c r="C279" s="381" t="n"/>
      <c r="D279" s="381" t="n"/>
      <c r="E279" s="381" t="n"/>
      <c r="F279" s="381" t="n"/>
      <c r="G279" s="381" t="n"/>
      <c r="H279" s="381" t="n"/>
      <c r="I279" s="381" t="n"/>
      <c r="J279" s="381" t="n"/>
      <c r="K279" s="381" t="n"/>
      <c r="L279" s="381" t="n"/>
      <c r="M279" s="381" t="n"/>
      <c r="N279" s="381" t="n"/>
      <c r="O279" s="381" t="n"/>
      <c r="P279" s="381" t="n"/>
      <c r="Q279" s="381" t="n"/>
      <c r="R279" s="381" t="n"/>
      <c r="S279" s="381" t="n"/>
      <c r="T279" s="544" t="n"/>
      <c r="U279" s="381" t="n"/>
      <c r="V279" s="381" t="n"/>
      <c r="W279" s="381" t="n"/>
      <c r="X279" s="381" t="n"/>
      <c r="Y279" s="381" t="n"/>
      <c r="Z279" s="381" t="n"/>
      <c r="AA279" s="381" t="n"/>
      <c r="AB279" s="381" t="n"/>
      <c r="AC279" s="381" t="n"/>
      <c r="AD279" s="381" t="n"/>
      <c r="AE279" s="381" t="n"/>
      <c r="AF279" s="381" t="n"/>
      <c r="AG279" s="381" t="n"/>
      <c r="AH279" s="381" t="n"/>
      <c r="AI279" s="381" t="n"/>
      <c r="AJ279" s="381" t="n"/>
      <c r="AK279" s="381" t="n"/>
      <c r="AL279" s="381" t="n"/>
      <c r="AM279" s="381" t="n"/>
      <c r="AN279" s="381" t="n"/>
      <c r="AO279" s="381" t="n"/>
      <c r="AP279" s="381" t="n"/>
      <c r="AQ279" s="381" t="n"/>
      <c r="AR279" s="381" t="n"/>
    </row>
    <row r="280" ht="15.75" customHeight="1" s="375">
      <c r="A280" s="381" t="n"/>
      <c r="B280" s="381" t="n"/>
      <c r="C280" s="381" t="n"/>
      <c r="D280" s="381" t="n"/>
      <c r="E280" s="381" t="n"/>
      <c r="F280" s="381" t="n"/>
      <c r="G280" s="381" t="n"/>
      <c r="H280" s="381" t="n"/>
      <c r="I280" s="381" t="n"/>
      <c r="J280" s="381" t="n"/>
      <c r="K280" s="381" t="n"/>
      <c r="L280" s="381" t="n"/>
      <c r="M280" s="381" t="n"/>
      <c r="N280" s="381" t="n"/>
      <c r="O280" s="381" t="n"/>
      <c r="P280" s="381" t="n"/>
      <c r="Q280" s="381" t="n"/>
      <c r="R280" s="381" t="n"/>
      <c r="S280" s="381" t="n"/>
      <c r="T280" s="544" t="n"/>
      <c r="U280" s="381" t="n"/>
      <c r="V280" s="381" t="n"/>
      <c r="W280" s="381" t="n"/>
      <c r="X280" s="381" t="n"/>
      <c r="Y280" s="381" t="n"/>
      <c r="Z280" s="381" t="n"/>
      <c r="AA280" s="381" t="n"/>
      <c r="AB280" s="381" t="n"/>
      <c r="AC280" s="381" t="n"/>
      <c r="AD280" s="381" t="n"/>
      <c r="AE280" s="381" t="n"/>
      <c r="AF280" s="381" t="n"/>
      <c r="AG280" s="381" t="n"/>
      <c r="AH280" s="381" t="n"/>
      <c r="AI280" s="381" t="n"/>
      <c r="AJ280" s="381" t="n"/>
      <c r="AK280" s="381" t="n"/>
      <c r="AL280" s="381" t="n"/>
      <c r="AM280" s="381" t="n"/>
      <c r="AN280" s="381" t="n"/>
      <c r="AO280" s="381" t="n"/>
      <c r="AP280" s="381" t="n"/>
      <c r="AQ280" s="381" t="n"/>
      <c r="AR280" s="381" t="n"/>
    </row>
    <row r="281" ht="15.75" customHeight="1" s="375">
      <c r="A281" s="381" t="n"/>
      <c r="B281" s="381" t="n"/>
      <c r="C281" s="381" t="n"/>
      <c r="D281" s="381" t="n"/>
      <c r="E281" s="381" t="n"/>
      <c r="F281" s="381" t="n"/>
      <c r="G281" s="381" t="n"/>
      <c r="H281" s="381" t="n"/>
      <c r="I281" s="381" t="n"/>
      <c r="J281" s="381" t="n"/>
      <c r="K281" s="381" t="n"/>
      <c r="L281" s="381" t="n"/>
      <c r="M281" s="381" t="n"/>
      <c r="N281" s="381" t="n"/>
      <c r="O281" s="381" t="n"/>
      <c r="P281" s="381" t="n"/>
      <c r="Q281" s="381" t="n"/>
      <c r="R281" s="381" t="n"/>
      <c r="S281" s="381" t="n"/>
      <c r="T281" s="544" t="n"/>
      <c r="U281" s="381" t="n"/>
      <c r="V281" s="381" t="n"/>
      <c r="W281" s="381" t="n"/>
      <c r="X281" s="381" t="n"/>
      <c r="Y281" s="381" t="n"/>
      <c r="Z281" s="381" t="n"/>
      <c r="AA281" s="381" t="n"/>
      <c r="AB281" s="381" t="n"/>
      <c r="AC281" s="381" t="n"/>
      <c r="AD281" s="381" t="n"/>
      <c r="AE281" s="381" t="n"/>
      <c r="AF281" s="381" t="n"/>
      <c r="AG281" s="381" t="n"/>
      <c r="AH281" s="381" t="n"/>
      <c r="AI281" s="381" t="n"/>
      <c r="AJ281" s="381" t="n"/>
      <c r="AK281" s="381" t="n"/>
      <c r="AL281" s="381" t="n"/>
      <c r="AM281" s="381" t="n"/>
      <c r="AN281" s="381" t="n"/>
      <c r="AO281" s="381" t="n"/>
      <c r="AP281" s="381" t="n"/>
      <c r="AQ281" s="381" t="n"/>
      <c r="AR281" s="381" t="n"/>
    </row>
    <row r="282" ht="15.75" customHeight="1" s="375">
      <c r="A282" s="381" t="n"/>
      <c r="B282" s="381" t="n"/>
      <c r="C282" s="381" t="n"/>
      <c r="D282" s="381" t="n"/>
      <c r="E282" s="381" t="n"/>
      <c r="F282" s="381" t="n"/>
      <c r="G282" s="381" t="n"/>
      <c r="H282" s="381" t="n"/>
      <c r="I282" s="381" t="n"/>
      <c r="J282" s="381" t="n"/>
      <c r="K282" s="381" t="n"/>
      <c r="L282" s="381" t="n"/>
      <c r="M282" s="381" t="n"/>
      <c r="N282" s="381" t="n"/>
      <c r="O282" s="381" t="n"/>
      <c r="P282" s="381" t="n"/>
      <c r="Q282" s="381" t="n"/>
      <c r="R282" s="381" t="n"/>
      <c r="S282" s="381" t="n"/>
      <c r="T282" s="544" t="n"/>
      <c r="U282" s="381" t="n"/>
      <c r="V282" s="381" t="n"/>
      <c r="W282" s="381" t="n"/>
      <c r="X282" s="381" t="n"/>
      <c r="Y282" s="381" t="n"/>
      <c r="Z282" s="381" t="n"/>
      <c r="AA282" s="381" t="n"/>
      <c r="AB282" s="381" t="n"/>
      <c r="AC282" s="381" t="n"/>
      <c r="AD282" s="381" t="n"/>
      <c r="AE282" s="381" t="n"/>
      <c r="AF282" s="381" t="n"/>
      <c r="AG282" s="381" t="n"/>
      <c r="AH282" s="381" t="n"/>
      <c r="AI282" s="381" t="n"/>
      <c r="AJ282" s="381" t="n"/>
      <c r="AK282" s="381" t="n"/>
      <c r="AL282" s="381" t="n"/>
      <c r="AM282" s="381" t="n"/>
      <c r="AN282" s="381" t="n"/>
      <c r="AO282" s="381" t="n"/>
      <c r="AP282" s="381" t="n"/>
      <c r="AQ282" s="381" t="n"/>
      <c r="AR282" s="381" t="n"/>
    </row>
    <row r="283" ht="15.75" customHeight="1" s="375">
      <c r="A283" s="381" t="n"/>
      <c r="B283" s="381" t="n"/>
      <c r="C283" s="381" t="n"/>
      <c r="D283" s="381" t="n"/>
      <c r="E283" s="381" t="n"/>
      <c r="F283" s="381" t="n"/>
      <c r="G283" s="381" t="n"/>
      <c r="H283" s="381" t="n"/>
      <c r="I283" s="381" t="n"/>
      <c r="J283" s="381" t="n"/>
      <c r="K283" s="381" t="n"/>
      <c r="L283" s="381" t="n"/>
      <c r="M283" s="381" t="n"/>
      <c r="N283" s="381" t="n"/>
      <c r="O283" s="381" t="n"/>
      <c r="P283" s="381" t="n"/>
      <c r="Q283" s="381" t="n"/>
      <c r="R283" s="381" t="n"/>
      <c r="S283" s="381" t="n"/>
      <c r="T283" s="544" t="n"/>
      <c r="U283" s="381" t="n"/>
      <c r="V283" s="381" t="n"/>
      <c r="W283" s="381" t="n"/>
      <c r="X283" s="381" t="n"/>
      <c r="Y283" s="381" t="n"/>
      <c r="Z283" s="381" t="n"/>
      <c r="AA283" s="381" t="n"/>
      <c r="AB283" s="381" t="n"/>
      <c r="AC283" s="381" t="n"/>
      <c r="AD283" s="381" t="n"/>
      <c r="AE283" s="381" t="n"/>
      <c r="AF283" s="381" t="n"/>
      <c r="AG283" s="381" t="n"/>
      <c r="AH283" s="381" t="n"/>
      <c r="AI283" s="381" t="n"/>
      <c r="AJ283" s="381" t="n"/>
      <c r="AK283" s="381" t="n"/>
      <c r="AL283" s="381" t="n"/>
      <c r="AM283" s="381" t="n"/>
      <c r="AN283" s="381" t="n"/>
      <c r="AO283" s="381" t="n"/>
      <c r="AP283" s="381" t="n"/>
      <c r="AQ283" s="381" t="n"/>
      <c r="AR283" s="381" t="n"/>
    </row>
    <row r="284" ht="15.75" customHeight="1" s="375">
      <c r="A284" s="381" t="n"/>
      <c r="B284" s="381" t="n"/>
      <c r="C284" s="381" t="n"/>
      <c r="D284" s="381" t="n"/>
      <c r="E284" s="381" t="n"/>
      <c r="F284" s="381" t="n"/>
      <c r="G284" s="381" t="n"/>
      <c r="H284" s="381" t="n"/>
      <c r="I284" s="381" t="n"/>
      <c r="J284" s="381" t="n"/>
      <c r="K284" s="381" t="n"/>
      <c r="L284" s="381" t="n"/>
      <c r="M284" s="381" t="n"/>
      <c r="N284" s="381" t="n"/>
      <c r="O284" s="381" t="n"/>
      <c r="P284" s="381" t="n"/>
      <c r="Q284" s="381" t="n"/>
      <c r="R284" s="381" t="n"/>
      <c r="S284" s="381" t="n"/>
      <c r="T284" s="544" t="n"/>
      <c r="U284" s="381" t="n"/>
      <c r="V284" s="381" t="n"/>
      <c r="W284" s="381" t="n"/>
      <c r="X284" s="381" t="n"/>
      <c r="Y284" s="381" t="n"/>
      <c r="Z284" s="381" t="n"/>
      <c r="AA284" s="381" t="n"/>
      <c r="AB284" s="381" t="n"/>
      <c r="AC284" s="381" t="n"/>
      <c r="AD284" s="381" t="n"/>
      <c r="AE284" s="381" t="n"/>
      <c r="AF284" s="381" t="n"/>
      <c r="AG284" s="381" t="n"/>
      <c r="AH284" s="381" t="n"/>
      <c r="AI284" s="381" t="n"/>
      <c r="AJ284" s="381" t="n"/>
      <c r="AK284" s="381" t="n"/>
      <c r="AL284" s="381" t="n"/>
      <c r="AM284" s="381" t="n"/>
      <c r="AN284" s="381" t="n"/>
      <c r="AO284" s="381" t="n"/>
      <c r="AP284" s="381" t="n"/>
      <c r="AQ284" s="381" t="n"/>
      <c r="AR284" s="381" t="n"/>
    </row>
    <row r="285" ht="15.75" customHeight="1" s="375">
      <c r="A285" s="381" t="n"/>
      <c r="B285" s="381" t="n"/>
      <c r="C285" s="381" t="n"/>
      <c r="D285" s="381" t="n"/>
      <c r="E285" s="381" t="n"/>
      <c r="F285" s="381" t="n"/>
      <c r="G285" s="381" t="n"/>
      <c r="H285" s="381" t="n"/>
      <c r="I285" s="381" t="n"/>
      <c r="J285" s="381" t="n"/>
      <c r="K285" s="381" t="n"/>
      <c r="L285" s="381" t="n"/>
      <c r="M285" s="381" t="n"/>
      <c r="N285" s="381" t="n"/>
      <c r="O285" s="381" t="n"/>
      <c r="P285" s="381" t="n"/>
      <c r="Q285" s="381" t="n"/>
      <c r="R285" s="381" t="n"/>
      <c r="S285" s="381" t="n"/>
      <c r="T285" s="544" t="n"/>
      <c r="U285" s="381" t="n"/>
      <c r="V285" s="381" t="n"/>
      <c r="W285" s="381" t="n"/>
      <c r="X285" s="381" t="n"/>
      <c r="Y285" s="381" t="n"/>
      <c r="Z285" s="381" t="n"/>
      <c r="AA285" s="381" t="n"/>
      <c r="AB285" s="381" t="n"/>
      <c r="AC285" s="381" t="n"/>
      <c r="AD285" s="381" t="n"/>
      <c r="AE285" s="381" t="n"/>
      <c r="AF285" s="381" t="n"/>
      <c r="AG285" s="381" t="n"/>
      <c r="AH285" s="381" t="n"/>
      <c r="AI285" s="381" t="n"/>
      <c r="AJ285" s="381" t="n"/>
      <c r="AK285" s="381" t="n"/>
      <c r="AL285" s="381" t="n"/>
      <c r="AM285" s="381" t="n"/>
      <c r="AN285" s="381" t="n"/>
      <c r="AO285" s="381" t="n"/>
      <c r="AP285" s="381" t="n"/>
      <c r="AQ285" s="381" t="n"/>
      <c r="AR285" s="381" t="n"/>
    </row>
    <row r="286" ht="15.75" customHeight="1" s="375">
      <c r="A286" s="381" t="n"/>
      <c r="B286" s="381" t="n"/>
      <c r="C286" s="381" t="n"/>
      <c r="D286" s="381" t="n"/>
      <c r="E286" s="381" t="n"/>
      <c r="F286" s="381" t="n"/>
      <c r="G286" s="381" t="n"/>
      <c r="H286" s="381" t="n"/>
      <c r="I286" s="381" t="n"/>
      <c r="J286" s="381" t="n"/>
      <c r="K286" s="381" t="n"/>
      <c r="L286" s="381" t="n"/>
      <c r="M286" s="381" t="n"/>
      <c r="N286" s="381" t="n"/>
      <c r="O286" s="381" t="n"/>
      <c r="P286" s="381" t="n"/>
      <c r="Q286" s="381" t="n"/>
      <c r="R286" s="381" t="n"/>
      <c r="S286" s="381" t="n"/>
      <c r="T286" s="544" t="n"/>
      <c r="U286" s="381" t="n"/>
      <c r="V286" s="381" t="n"/>
      <c r="W286" s="381" t="n"/>
      <c r="X286" s="381" t="n"/>
      <c r="Y286" s="381" t="n"/>
      <c r="Z286" s="381" t="n"/>
      <c r="AA286" s="381" t="n"/>
      <c r="AB286" s="381" t="n"/>
      <c r="AC286" s="381" t="n"/>
      <c r="AD286" s="381" t="n"/>
      <c r="AE286" s="381" t="n"/>
      <c r="AF286" s="381" t="n"/>
      <c r="AG286" s="381" t="n"/>
      <c r="AH286" s="381" t="n"/>
      <c r="AI286" s="381" t="n"/>
      <c r="AJ286" s="381" t="n"/>
      <c r="AK286" s="381" t="n"/>
      <c r="AL286" s="381" t="n"/>
      <c r="AM286" s="381" t="n"/>
      <c r="AN286" s="381" t="n"/>
      <c r="AO286" s="381" t="n"/>
      <c r="AP286" s="381" t="n"/>
      <c r="AQ286" s="381" t="n"/>
      <c r="AR286" s="381" t="n"/>
    </row>
    <row r="287" ht="15.75" customHeight="1" s="375">
      <c r="A287" s="381" t="n"/>
      <c r="B287" s="381" t="n"/>
      <c r="C287" s="381" t="n"/>
      <c r="D287" s="381" t="n"/>
      <c r="E287" s="381" t="n"/>
      <c r="F287" s="381" t="n"/>
      <c r="G287" s="381" t="n"/>
      <c r="H287" s="381" t="n"/>
      <c r="I287" s="381" t="n"/>
      <c r="J287" s="381" t="n"/>
      <c r="K287" s="381" t="n"/>
      <c r="L287" s="381" t="n"/>
      <c r="M287" s="381" t="n"/>
      <c r="N287" s="381" t="n"/>
      <c r="O287" s="381" t="n"/>
      <c r="P287" s="381" t="n"/>
      <c r="Q287" s="381" t="n"/>
      <c r="R287" s="381" t="n"/>
      <c r="S287" s="381" t="n"/>
      <c r="T287" s="544" t="n"/>
      <c r="U287" s="381" t="n"/>
      <c r="V287" s="381" t="n"/>
      <c r="W287" s="381" t="n"/>
      <c r="X287" s="381" t="n"/>
      <c r="Y287" s="381" t="n"/>
      <c r="Z287" s="381" t="n"/>
      <c r="AA287" s="381" t="n"/>
      <c r="AB287" s="381" t="n"/>
      <c r="AC287" s="381" t="n"/>
      <c r="AD287" s="381" t="n"/>
      <c r="AE287" s="381" t="n"/>
      <c r="AF287" s="381" t="n"/>
      <c r="AG287" s="381" t="n"/>
      <c r="AH287" s="381" t="n"/>
      <c r="AI287" s="381" t="n"/>
      <c r="AJ287" s="381" t="n"/>
      <c r="AK287" s="381" t="n"/>
      <c r="AL287" s="381" t="n"/>
      <c r="AM287" s="381" t="n"/>
      <c r="AN287" s="381" t="n"/>
      <c r="AO287" s="381" t="n"/>
      <c r="AP287" s="381" t="n"/>
      <c r="AQ287" s="381" t="n"/>
      <c r="AR287" s="381" t="n"/>
    </row>
    <row r="288" ht="15.75" customHeight="1" s="375">
      <c r="A288" s="381" t="n"/>
      <c r="B288" s="381" t="n"/>
      <c r="C288" s="381" t="n"/>
      <c r="D288" s="381" t="n"/>
      <c r="E288" s="381" t="n"/>
      <c r="F288" s="381" t="n"/>
      <c r="G288" s="381" t="n"/>
      <c r="H288" s="381" t="n"/>
      <c r="I288" s="381" t="n"/>
      <c r="J288" s="381" t="n"/>
      <c r="K288" s="381" t="n"/>
      <c r="L288" s="381" t="n"/>
      <c r="M288" s="381" t="n"/>
      <c r="N288" s="381" t="n"/>
      <c r="O288" s="381" t="n"/>
      <c r="P288" s="381" t="n"/>
      <c r="Q288" s="381" t="n"/>
      <c r="R288" s="381" t="n"/>
      <c r="S288" s="381" t="n"/>
      <c r="T288" s="544" t="n"/>
      <c r="U288" s="381" t="n"/>
      <c r="V288" s="381" t="n"/>
      <c r="W288" s="381" t="n"/>
      <c r="X288" s="381" t="n"/>
      <c r="Y288" s="381" t="n"/>
      <c r="Z288" s="381" t="n"/>
      <c r="AA288" s="381" t="n"/>
      <c r="AB288" s="381" t="n"/>
      <c r="AC288" s="381" t="n"/>
      <c r="AD288" s="381" t="n"/>
      <c r="AE288" s="381" t="n"/>
      <c r="AF288" s="381" t="n"/>
      <c r="AG288" s="381" t="n"/>
      <c r="AH288" s="381" t="n"/>
      <c r="AI288" s="381" t="n"/>
      <c r="AJ288" s="381" t="n"/>
      <c r="AK288" s="381" t="n"/>
      <c r="AL288" s="381" t="n"/>
      <c r="AM288" s="381" t="n"/>
      <c r="AN288" s="381" t="n"/>
      <c r="AO288" s="381" t="n"/>
      <c r="AP288" s="381" t="n"/>
      <c r="AQ288" s="381" t="n"/>
      <c r="AR288" s="381" t="n"/>
    </row>
    <row r="289" ht="15.75" customHeight="1" s="375">
      <c r="A289" s="381" t="n"/>
      <c r="B289" s="381" t="n"/>
      <c r="C289" s="381" t="n"/>
      <c r="D289" s="381" t="n"/>
      <c r="E289" s="381" t="n"/>
      <c r="F289" s="381" t="n"/>
      <c r="G289" s="381" t="n"/>
      <c r="H289" s="381" t="n"/>
      <c r="I289" s="381" t="n"/>
      <c r="J289" s="381" t="n"/>
      <c r="K289" s="381" t="n"/>
      <c r="L289" s="381" t="n"/>
      <c r="M289" s="381" t="n"/>
      <c r="N289" s="381" t="n"/>
      <c r="O289" s="381" t="n"/>
      <c r="P289" s="381" t="n"/>
      <c r="Q289" s="381" t="n"/>
      <c r="R289" s="381" t="n"/>
      <c r="S289" s="381" t="n"/>
      <c r="T289" s="544" t="n"/>
      <c r="U289" s="381" t="n"/>
      <c r="V289" s="381" t="n"/>
      <c r="W289" s="381" t="n"/>
      <c r="X289" s="381" t="n"/>
      <c r="Y289" s="381" t="n"/>
      <c r="Z289" s="381" t="n"/>
      <c r="AA289" s="381" t="n"/>
      <c r="AB289" s="381" t="n"/>
      <c r="AC289" s="381" t="n"/>
      <c r="AD289" s="381" t="n"/>
      <c r="AE289" s="381" t="n"/>
      <c r="AF289" s="381" t="n"/>
      <c r="AG289" s="381" t="n"/>
      <c r="AH289" s="381" t="n"/>
      <c r="AI289" s="381" t="n"/>
      <c r="AJ289" s="381" t="n"/>
      <c r="AK289" s="381" t="n"/>
      <c r="AL289" s="381" t="n"/>
      <c r="AM289" s="381" t="n"/>
      <c r="AN289" s="381" t="n"/>
      <c r="AO289" s="381" t="n"/>
      <c r="AP289" s="381" t="n"/>
      <c r="AQ289" s="381" t="n"/>
      <c r="AR289" s="381" t="n"/>
    </row>
    <row r="290" ht="15.75" customHeight="1" s="375">
      <c r="A290" s="381" t="n"/>
      <c r="B290" s="381" t="n"/>
      <c r="C290" s="381" t="n"/>
      <c r="D290" s="381" t="n"/>
      <c r="E290" s="381" t="n"/>
      <c r="F290" s="381" t="n"/>
      <c r="G290" s="381" t="n"/>
      <c r="H290" s="381" t="n"/>
      <c r="I290" s="381" t="n"/>
      <c r="J290" s="381" t="n"/>
      <c r="K290" s="381" t="n"/>
      <c r="L290" s="381" t="n"/>
      <c r="M290" s="381" t="n"/>
      <c r="N290" s="381" t="n"/>
      <c r="O290" s="381" t="n"/>
      <c r="P290" s="381" t="n"/>
      <c r="Q290" s="381" t="n"/>
      <c r="R290" s="381" t="n"/>
      <c r="S290" s="381" t="n"/>
      <c r="T290" s="544" t="n"/>
      <c r="U290" s="381" t="n"/>
      <c r="V290" s="381" t="n"/>
      <c r="W290" s="381" t="n"/>
      <c r="X290" s="381" t="n"/>
      <c r="Y290" s="381" t="n"/>
      <c r="Z290" s="381" t="n"/>
      <c r="AA290" s="381" t="n"/>
      <c r="AB290" s="381" t="n"/>
      <c r="AC290" s="381" t="n"/>
      <c r="AD290" s="381" t="n"/>
      <c r="AE290" s="381" t="n"/>
      <c r="AF290" s="381" t="n"/>
      <c r="AG290" s="381" t="n"/>
      <c r="AH290" s="381" t="n"/>
      <c r="AI290" s="381" t="n"/>
      <c r="AJ290" s="381" t="n"/>
      <c r="AK290" s="381" t="n"/>
      <c r="AL290" s="381" t="n"/>
      <c r="AM290" s="381" t="n"/>
      <c r="AN290" s="381" t="n"/>
      <c r="AO290" s="381" t="n"/>
      <c r="AP290" s="381" t="n"/>
      <c r="AQ290" s="381" t="n"/>
      <c r="AR290" s="381" t="n"/>
    </row>
    <row r="291" ht="15.75" customHeight="1" s="375">
      <c r="A291" s="381" t="n"/>
      <c r="B291" s="381" t="n"/>
      <c r="C291" s="381" t="n"/>
      <c r="D291" s="381" t="n"/>
      <c r="E291" s="381" t="n"/>
      <c r="F291" s="381" t="n"/>
      <c r="G291" s="381" t="n"/>
      <c r="H291" s="381" t="n"/>
      <c r="I291" s="381" t="n"/>
      <c r="J291" s="381" t="n"/>
      <c r="K291" s="381" t="n"/>
      <c r="L291" s="381" t="n"/>
      <c r="M291" s="381" t="n"/>
      <c r="N291" s="381" t="n"/>
      <c r="O291" s="381" t="n"/>
      <c r="P291" s="381" t="n"/>
      <c r="Q291" s="381" t="n"/>
      <c r="R291" s="381" t="n"/>
      <c r="S291" s="381" t="n"/>
      <c r="T291" s="544" t="n"/>
      <c r="U291" s="381" t="n"/>
      <c r="V291" s="381" t="n"/>
      <c r="W291" s="381" t="n"/>
      <c r="X291" s="381" t="n"/>
      <c r="Y291" s="381" t="n"/>
      <c r="Z291" s="381" t="n"/>
      <c r="AA291" s="381" t="n"/>
      <c r="AB291" s="381" t="n"/>
      <c r="AC291" s="381" t="n"/>
      <c r="AD291" s="381" t="n"/>
      <c r="AE291" s="381" t="n"/>
      <c r="AF291" s="381" t="n"/>
      <c r="AG291" s="381" t="n"/>
      <c r="AH291" s="381" t="n"/>
      <c r="AI291" s="381" t="n"/>
      <c r="AJ291" s="381" t="n"/>
      <c r="AK291" s="381" t="n"/>
      <c r="AL291" s="381" t="n"/>
      <c r="AM291" s="381" t="n"/>
      <c r="AN291" s="381" t="n"/>
      <c r="AO291" s="381" t="n"/>
      <c r="AP291" s="381" t="n"/>
      <c r="AQ291" s="381" t="n"/>
      <c r="AR291" s="381" t="n"/>
    </row>
    <row r="292" ht="15.75" customHeight="1" s="375">
      <c r="A292" s="381" t="n"/>
      <c r="B292" s="381" t="n"/>
      <c r="C292" s="381" t="n"/>
      <c r="D292" s="381" t="n"/>
      <c r="E292" s="381" t="n"/>
      <c r="F292" s="381" t="n"/>
      <c r="G292" s="381" t="n"/>
      <c r="H292" s="381" t="n"/>
      <c r="I292" s="381" t="n"/>
      <c r="J292" s="381" t="n"/>
      <c r="K292" s="381" t="n"/>
      <c r="L292" s="381" t="n"/>
      <c r="M292" s="381" t="n"/>
      <c r="N292" s="381" t="n"/>
      <c r="O292" s="381" t="n"/>
      <c r="P292" s="381" t="n"/>
      <c r="Q292" s="381" t="n"/>
      <c r="R292" s="381" t="n"/>
      <c r="S292" s="381" t="n"/>
      <c r="T292" s="544" t="n"/>
      <c r="U292" s="381" t="n"/>
      <c r="V292" s="381" t="n"/>
      <c r="W292" s="381" t="n"/>
      <c r="X292" s="381" t="n"/>
      <c r="Y292" s="381" t="n"/>
      <c r="Z292" s="381" t="n"/>
      <c r="AA292" s="381" t="n"/>
      <c r="AB292" s="381" t="n"/>
      <c r="AC292" s="381" t="n"/>
      <c r="AD292" s="381" t="n"/>
      <c r="AE292" s="381" t="n"/>
      <c r="AF292" s="381" t="n"/>
      <c r="AG292" s="381" t="n"/>
      <c r="AH292" s="381" t="n"/>
      <c r="AI292" s="381" t="n"/>
      <c r="AJ292" s="381" t="n"/>
      <c r="AK292" s="381" t="n"/>
      <c r="AL292" s="381" t="n"/>
      <c r="AM292" s="381" t="n"/>
      <c r="AN292" s="381" t="n"/>
      <c r="AO292" s="381" t="n"/>
      <c r="AP292" s="381" t="n"/>
      <c r="AQ292" s="381" t="n"/>
      <c r="AR292" s="381" t="n"/>
    </row>
    <row r="293" ht="15.75" customHeight="1" s="375">
      <c r="A293" s="381" t="n"/>
      <c r="B293" s="381" t="n"/>
      <c r="C293" s="381" t="n"/>
      <c r="D293" s="381" t="n"/>
      <c r="E293" s="381" t="n"/>
      <c r="F293" s="381" t="n"/>
      <c r="G293" s="381" t="n"/>
      <c r="H293" s="381" t="n"/>
      <c r="I293" s="381" t="n"/>
      <c r="J293" s="381" t="n"/>
      <c r="K293" s="381" t="n"/>
      <c r="L293" s="381" t="n"/>
      <c r="M293" s="381" t="n"/>
      <c r="N293" s="381" t="n"/>
      <c r="O293" s="381" t="n"/>
      <c r="P293" s="381" t="n"/>
      <c r="Q293" s="381" t="n"/>
      <c r="R293" s="381" t="n"/>
      <c r="S293" s="381" t="n"/>
      <c r="T293" s="544" t="n"/>
      <c r="U293" s="381" t="n"/>
      <c r="V293" s="381" t="n"/>
      <c r="W293" s="381" t="n"/>
      <c r="X293" s="381" t="n"/>
      <c r="Y293" s="381" t="n"/>
      <c r="Z293" s="381" t="n"/>
      <c r="AA293" s="381" t="n"/>
      <c r="AB293" s="381" t="n"/>
      <c r="AC293" s="381" t="n"/>
      <c r="AD293" s="381" t="n"/>
      <c r="AE293" s="381" t="n"/>
      <c r="AF293" s="381" t="n"/>
      <c r="AG293" s="381" t="n"/>
      <c r="AH293" s="381" t="n"/>
      <c r="AI293" s="381" t="n"/>
      <c r="AJ293" s="381" t="n"/>
      <c r="AK293" s="381" t="n"/>
      <c r="AL293" s="381" t="n"/>
      <c r="AM293" s="381" t="n"/>
      <c r="AN293" s="381" t="n"/>
      <c r="AO293" s="381" t="n"/>
      <c r="AP293" s="381" t="n"/>
      <c r="AQ293" s="381" t="n"/>
      <c r="AR293" s="381" t="n"/>
    </row>
    <row r="294" ht="15.75" customHeight="1" s="375">
      <c r="A294" s="381" t="n"/>
      <c r="B294" s="381" t="n"/>
      <c r="C294" s="381" t="n"/>
      <c r="D294" s="381" t="n"/>
      <c r="E294" s="381" t="n"/>
      <c r="F294" s="381" t="n"/>
      <c r="G294" s="381" t="n"/>
      <c r="H294" s="381" t="n"/>
      <c r="I294" s="381" t="n"/>
      <c r="J294" s="381" t="n"/>
      <c r="K294" s="381" t="n"/>
      <c r="L294" s="381" t="n"/>
      <c r="M294" s="381" t="n"/>
      <c r="N294" s="381" t="n"/>
      <c r="O294" s="381" t="n"/>
      <c r="P294" s="381" t="n"/>
      <c r="Q294" s="381" t="n"/>
      <c r="R294" s="381" t="n"/>
      <c r="S294" s="381" t="n"/>
      <c r="T294" s="544" t="n"/>
      <c r="U294" s="381" t="n"/>
      <c r="V294" s="381" t="n"/>
      <c r="W294" s="381" t="n"/>
      <c r="X294" s="381" t="n"/>
      <c r="Y294" s="381" t="n"/>
      <c r="Z294" s="381" t="n"/>
      <c r="AA294" s="381" t="n"/>
      <c r="AB294" s="381" t="n"/>
      <c r="AC294" s="381" t="n"/>
      <c r="AD294" s="381" t="n"/>
      <c r="AE294" s="381" t="n"/>
      <c r="AF294" s="381" t="n"/>
      <c r="AG294" s="381" t="n"/>
      <c r="AH294" s="381" t="n"/>
      <c r="AI294" s="381" t="n"/>
      <c r="AJ294" s="381" t="n"/>
      <c r="AK294" s="381" t="n"/>
      <c r="AL294" s="381" t="n"/>
      <c r="AM294" s="381" t="n"/>
      <c r="AN294" s="381" t="n"/>
      <c r="AO294" s="381" t="n"/>
      <c r="AP294" s="381" t="n"/>
      <c r="AQ294" s="381" t="n"/>
      <c r="AR294" s="381" t="n"/>
    </row>
    <row r="295" ht="15.75" customHeight="1" s="375">
      <c r="A295" s="381" t="n"/>
      <c r="B295" s="381" t="n"/>
      <c r="C295" s="381" t="n"/>
      <c r="D295" s="381" t="n"/>
      <c r="E295" s="381" t="n"/>
      <c r="F295" s="381" t="n"/>
      <c r="G295" s="381" t="n"/>
      <c r="H295" s="381" t="n"/>
      <c r="I295" s="381" t="n"/>
      <c r="J295" s="381" t="n"/>
      <c r="K295" s="381" t="n"/>
      <c r="L295" s="381" t="n"/>
      <c r="M295" s="381" t="n"/>
      <c r="N295" s="381" t="n"/>
      <c r="O295" s="381" t="n"/>
      <c r="P295" s="381" t="n"/>
      <c r="Q295" s="381" t="n"/>
      <c r="R295" s="381" t="n"/>
      <c r="S295" s="381" t="n"/>
      <c r="T295" s="544" t="n"/>
      <c r="U295" s="381" t="n"/>
      <c r="V295" s="381" t="n"/>
      <c r="W295" s="381" t="n"/>
      <c r="X295" s="381" t="n"/>
      <c r="Y295" s="381" t="n"/>
      <c r="Z295" s="381" t="n"/>
      <c r="AA295" s="381" t="n"/>
      <c r="AB295" s="381" t="n"/>
      <c r="AC295" s="381" t="n"/>
      <c r="AD295" s="381" t="n"/>
      <c r="AE295" s="381" t="n"/>
      <c r="AF295" s="381" t="n"/>
      <c r="AG295" s="381" t="n"/>
      <c r="AH295" s="381" t="n"/>
      <c r="AI295" s="381" t="n"/>
      <c r="AJ295" s="381" t="n"/>
      <c r="AK295" s="381" t="n"/>
      <c r="AL295" s="381" t="n"/>
      <c r="AM295" s="381" t="n"/>
      <c r="AN295" s="381" t="n"/>
      <c r="AO295" s="381" t="n"/>
      <c r="AP295" s="381" t="n"/>
      <c r="AQ295" s="381" t="n"/>
      <c r="AR295" s="381" t="n"/>
    </row>
    <row r="296" ht="15.75" customHeight="1" s="375">
      <c r="A296" s="381" t="n"/>
      <c r="B296" s="381" t="n"/>
      <c r="C296" s="381" t="n"/>
      <c r="D296" s="381" t="n"/>
      <c r="E296" s="381" t="n"/>
      <c r="F296" s="381" t="n"/>
      <c r="G296" s="381" t="n"/>
      <c r="H296" s="381" t="n"/>
      <c r="I296" s="381" t="n"/>
      <c r="J296" s="381" t="n"/>
      <c r="K296" s="381" t="n"/>
      <c r="L296" s="381" t="n"/>
      <c r="M296" s="381" t="n"/>
      <c r="N296" s="381" t="n"/>
      <c r="O296" s="381" t="n"/>
      <c r="P296" s="381" t="n"/>
      <c r="Q296" s="381" t="n"/>
      <c r="R296" s="381" t="n"/>
      <c r="S296" s="381" t="n"/>
      <c r="T296" s="544" t="n"/>
      <c r="U296" s="381" t="n"/>
      <c r="V296" s="381" t="n"/>
      <c r="W296" s="381" t="n"/>
      <c r="X296" s="381" t="n"/>
      <c r="Y296" s="381" t="n"/>
      <c r="Z296" s="381" t="n"/>
      <c r="AA296" s="381" t="n"/>
      <c r="AB296" s="381" t="n"/>
      <c r="AC296" s="381" t="n"/>
      <c r="AD296" s="381" t="n"/>
      <c r="AE296" s="381" t="n"/>
      <c r="AF296" s="381" t="n"/>
      <c r="AG296" s="381" t="n"/>
      <c r="AH296" s="381" t="n"/>
      <c r="AI296" s="381" t="n"/>
      <c r="AJ296" s="381" t="n"/>
      <c r="AK296" s="381" t="n"/>
      <c r="AL296" s="381" t="n"/>
      <c r="AM296" s="381" t="n"/>
      <c r="AN296" s="381" t="n"/>
      <c r="AO296" s="381" t="n"/>
      <c r="AP296" s="381" t="n"/>
      <c r="AQ296" s="381" t="n"/>
      <c r="AR296" s="381" t="n"/>
    </row>
    <row r="297" ht="15.75" customHeight="1" s="375">
      <c r="A297" s="381" t="n"/>
      <c r="B297" s="381" t="n"/>
      <c r="C297" s="381" t="n"/>
      <c r="D297" s="381" t="n"/>
      <c r="E297" s="381" t="n"/>
      <c r="F297" s="381" t="n"/>
      <c r="G297" s="381" t="n"/>
      <c r="H297" s="381" t="n"/>
      <c r="I297" s="381" t="n"/>
      <c r="J297" s="381" t="n"/>
      <c r="K297" s="381" t="n"/>
      <c r="L297" s="381" t="n"/>
      <c r="M297" s="381" t="n"/>
      <c r="N297" s="381" t="n"/>
      <c r="O297" s="381" t="n"/>
      <c r="P297" s="381" t="n"/>
      <c r="Q297" s="381" t="n"/>
      <c r="R297" s="381" t="n"/>
      <c r="S297" s="381" t="n"/>
      <c r="T297" s="544" t="n"/>
      <c r="U297" s="381" t="n"/>
      <c r="V297" s="381" t="n"/>
      <c r="W297" s="381" t="n"/>
      <c r="X297" s="381" t="n"/>
      <c r="Y297" s="381" t="n"/>
      <c r="Z297" s="381" t="n"/>
      <c r="AA297" s="381" t="n"/>
      <c r="AB297" s="381" t="n"/>
      <c r="AC297" s="381" t="n"/>
      <c r="AD297" s="381" t="n"/>
      <c r="AE297" s="381" t="n"/>
      <c r="AF297" s="381" t="n"/>
      <c r="AG297" s="381" t="n"/>
      <c r="AH297" s="381" t="n"/>
      <c r="AI297" s="381" t="n"/>
      <c r="AJ297" s="381" t="n"/>
      <c r="AK297" s="381" t="n"/>
      <c r="AL297" s="381" t="n"/>
      <c r="AM297" s="381" t="n"/>
      <c r="AN297" s="381" t="n"/>
      <c r="AO297" s="381" t="n"/>
      <c r="AP297" s="381" t="n"/>
      <c r="AQ297" s="381" t="n"/>
      <c r="AR297" s="381" t="n"/>
    </row>
    <row r="298" ht="15.75" customHeight="1" s="375">
      <c r="A298" s="381" t="n"/>
      <c r="B298" s="381" t="n"/>
      <c r="C298" s="381" t="n"/>
      <c r="D298" s="381" t="n"/>
      <c r="E298" s="381" t="n"/>
      <c r="F298" s="381" t="n"/>
      <c r="G298" s="381" t="n"/>
      <c r="H298" s="381" t="n"/>
      <c r="I298" s="381" t="n"/>
      <c r="J298" s="381" t="n"/>
      <c r="K298" s="381" t="n"/>
      <c r="L298" s="381" t="n"/>
      <c r="M298" s="381" t="n"/>
      <c r="N298" s="381" t="n"/>
      <c r="O298" s="381" t="n"/>
      <c r="P298" s="381" t="n"/>
      <c r="Q298" s="381" t="n"/>
      <c r="R298" s="381" t="n"/>
      <c r="S298" s="381" t="n"/>
      <c r="T298" s="544" t="n"/>
      <c r="U298" s="381" t="n"/>
      <c r="V298" s="381" t="n"/>
      <c r="W298" s="381" t="n"/>
      <c r="X298" s="381" t="n"/>
      <c r="Y298" s="381" t="n"/>
      <c r="Z298" s="381" t="n"/>
      <c r="AA298" s="381" t="n"/>
      <c r="AB298" s="381" t="n"/>
      <c r="AC298" s="381" t="n"/>
      <c r="AD298" s="381" t="n"/>
      <c r="AE298" s="381" t="n"/>
      <c r="AF298" s="381" t="n"/>
      <c r="AG298" s="381" t="n"/>
      <c r="AH298" s="381" t="n"/>
      <c r="AI298" s="381" t="n"/>
      <c r="AJ298" s="381" t="n"/>
      <c r="AK298" s="381" t="n"/>
      <c r="AL298" s="381" t="n"/>
      <c r="AM298" s="381" t="n"/>
      <c r="AN298" s="381" t="n"/>
      <c r="AO298" s="381" t="n"/>
      <c r="AP298" s="381" t="n"/>
      <c r="AQ298" s="381" t="n"/>
      <c r="AR298" s="381" t="n"/>
    </row>
    <row r="299" ht="15.75" customHeight="1" s="375">
      <c r="A299" s="381" t="n"/>
      <c r="B299" s="381" t="n"/>
      <c r="C299" s="381" t="n"/>
      <c r="D299" s="381" t="n"/>
      <c r="E299" s="381" t="n"/>
      <c r="F299" s="381" t="n"/>
      <c r="G299" s="381" t="n"/>
      <c r="H299" s="381" t="n"/>
      <c r="I299" s="381" t="n"/>
      <c r="J299" s="381" t="n"/>
      <c r="K299" s="381" t="n"/>
      <c r="L299" s="381" t="n"/>
      <c r="M299" s="381" t="n"/>
      <c r="N299" s="381" t="n"/>
      <c r="O299" s="381" t="n"/>
      <c r="P299" s="381" t="n"/>
      <c r="Q299" s="381" t="n"/>
      <c r="R299" s="381" t="n"/>
      <c r="S299" s="381" t="n"/>
      <c r="T299" s="544" t="n"/>
      <c r="U299" s="381" t="n"/>
      <c r="V299" s="381" t="n"/>
      <c r="W299" s="381" t="n"/>
      <c r="X299" s="381" t="n"/>
      <c r="Y299" s="381" t="n"/>
      <c r="Z299" s="381" t="n"/>
      <c r="AA299" s="381" t="n"/>
      <c r="AB299" s="381" t="n"/>
      <c r="AC299" s="381" t="n"/>
      <c r="AD299" s="381" t="n"/>
      <c r="AE299" s="381" t="n"/>
      <c r="AF299" s="381" t="n"/>
      <c r="AG299" s="381" t="n"/>
      <c r="AH299" s="381" t="n"/>
      <c r="AI299" s="381" t="n"/>
      <c r="AJ299" s="381" t="n"/>
      <c r="AK299" s="381" t="n"/>
      <c r="AL299" s="381" t="n"/>
      <c r="AM299" s="381" t="n"/>
      <c r="AN299" s="381" t="n"/>
      <c r="AO299" s="381" t="n"/>
      <c r="AP299" s="381" t="n"/>
      <c r="AQ299" s="381" t="n"/>
      <c r="AR299" s="381" t="n"/>
    </row>
    <row r="300" ht="15.75" customHeight="1" s="375">
      <c r="A300" s="381" t="n"/>
      <c r="B300" s="381" t="n"/>
      <c r="C300" s="381" t="n"/>
      <c r="D300" s="381" t="n"/>
      <c r="E300" s="381" t="n"/>
      <c r="F300" s="381" t="n"/>
      <c r="G300" s="381" t="n"/>
      <c r="H300" s="381" t="n"/>
      <c r="I300" s="381" t="n"/>
      <c r="J300" s="381" t="n"/>
      <c r="K300" s="381" t="n"/>
      <c r="L300" s="381" t="n"/>
      <c r="M300" s="381" t="n"/>
      <c r="N300" s="381" t="n"/>
      <c r="O300" s="381" t="n"/>
      <c r="P300" s="381" t="n"/>
      <c r="Q300" s="381" t="n"/>
      <c r="R300" s="381" t="n"/>
      <c r="S300" s="381" t="n"/>
      <c r="T300" s="544" t="n"/>
      <c r="U300" s="381" t="n"/>
      <c r="V300" s="381" t="n"/>
      <c r="W300" s="381" t="n"/>
      <c r="X300" s="381" t="n"/>
      <c r="Y300" s="381" t="n"/>
      <c r="Z300" s="381" t="n"/>
      <c r="AA300" s="381" t="n"/>
      <c r="AB300" s="381" t="n"/>
      <c r="AC300" s="381" t="n"/>
      <c r="AD300" s="381" t="n"/>
      <c r="AE300" s="381" t="n"/>
      <c r="AF300" s="381" t="n"/>
      <c r="AG300" s="381" t="n"/>
      <c r="AH300" s="381" t="n"/>
      <c r="AI300" s="381" t="n"/>
      <c r="AJ300" s="381" t="n"/>
      <c r="AK300" s="381" t="n"/>
      <c r="AL300" s="381" t="n"/>
      <c r="AM300" s="381" t="n"/>
      <c r="AN300" s="381" t="n"/>
      <c r="AO300" s="381" t="n"/>
      <c r="AP300" s="381" t="n"/>
      <c r="AQ300" s="381" t="n"/>
      <c r="AR300" s="381" t="n"/>
    </row>
    <row r="301" ht="15.75" customHeight="1" s="375">
      <c r="A301" s="381" t="n"/>
      <c r="B301" s="381" t="n"/>
      <c r="C301" s="381" t="n"/>
      <c r="D301" s="381" t="n"/>
      <c r="E301" s="381" t="n"/>
      <c r="F301" s="381" t="n"/>
      <c r="G301" s="381" t="n"/>
      <c r="H301" s="381" t="n"/>
      <c r="I301" s="381" t="n"/>
      <c r="J301" s="381" t="n"/>
      <c r="K301" s="381" t="n"/>
      <c r="L301" s="381" t="n"/>
      <c r="M301" s="381" t="n"/>
      <c r="N301" s="381" t="n"/>
      <c r="O301" s="381" t="n"/>
      <c r="P301" s="381" t="n"/>
      <c r="Q301" s="381" t="n"/>
      <c r="R301" s="381" t="n"/>
      <c r="S301" s="381" t="n"/>
      <c r="T301" s="544" t="n"/>
      <c r="U301" s="381" t="n"/>
      <c r="V301" s="381" t="n"/>
      <c r="W301" s="381" t="n"/>
      <c r="X301" s="381" t="n"/>
      <c r="Y301" s="381" t="n"/>
      <c r="Z301" s="381" t="n"/>
      <c r="AA301" s="381" t="n"/>
      <c r="AB301" s="381" t="n"/>
      <c r="AC301" s="381" t="n"/>
      <c r="AD301" s="381" t="n"/>
      <c r="AE301" s="381" t="n"/>
      <c r="AF301" s="381" t="n"/>
      <c r="AG301" s="381" t="n"/>
      <c r="AH301" s="381" t="n"/>
      <c r="AI301" s="381" t="n"/>
      <c r="AJ301" s="381" t="n"/>
      <c r="AK301" s="381" t="n"/>
      <c r="AL301" s="381" t="n"/>
      <c r="AM301" s="381" t="n"/>
      <c r="AN301" s="381" t="n"/>
      <c r="AO301" s="381" t="n"/>
      <c r="AP301" s="381" t="n"/>
      <c r="AQ301" s="381" t="n"/>
      <c r="AR301" s="381" t="n"/>
    </row>
    <row r="302" ht="15.75" customHeight="1" s="375">
      <c r="A302" s="381" t="n"/>
      <c r="B302" s="381" t="n"/>
      <c r="C302" s="381" t="n"/>
      <c r="D302" s="381" t="n"/>
      <c r="E302" s="381" t="n"/>
      <c r="F302" s="381" t="n"/>
      <c r="G302" s="381" t="n"/>
      <c r="H302" s="381" t="n"/>
      <c r="I302" s="381" t="n"/>
      <c r="J302" s="381" t="n"/>
      <c r="K302" s="381" t="n"/>
      <c r="L302" s="381" t="n"/>
      <c r="M302" s="381" t="n"/>
      <c r="N302" s="381" t="n"/>
      <c r="O302" s="381" t="n"/>
      <c r="P302" s="381" t="n"/>
      <c r="Q302" s="381" t="n"/>
      <c r="R302" s="381" t="n"/>
      <c r="S302" s="381" t="n"/>
      <c r="T302" s="544" t="n"/>
      <c r="U302" s="381" t="n"/>
      <c r="V302" s="381" t="n"/>
      <c r="W302" s="381" t="n"/>
      <c r="X302" s="381" t="n"/>
      <c r="Y302" s="381" t="n"/>
      <c r="Z302" s="381" t="n"/>
      <c r="AA302" s="381" t="n"/>
      <c r="AB302" s="381" t="n"/>
      <c r="AC302" s="381" t="n"/>
      <c r="AD302" s="381" t="n"/>
      <c r="AE302" s="381" t="n"/>
      <c r="AF302" s="381" t="n"/>
      <c r="AG302" s="381" t="n"/>
      <c r="AH302" s="381" t="n"/>
      <c r="AI302" s="381" t="n"/>
      <c r="AJ302" s="381" t="n"/>
      <c r="AK302" s="381" t="n"/>
      <c r="AL302" s="381" t="n"/>
      <c r="AM302" s="381" t="n"/>
      <c r="AN302" s="381" t="n"/>
      <c r="AO302" s="381" t="n"/>
      <c r="AP302" s="381" t="n"/>
      <c r="AQ302" s="381" t="n"/>
      <c r="AR302" s="381" t="n"/>
    </row>
    <row r="303" ht="15.75" customHeight="1" s="375">
      <c r="A303" s="381" t="n"/>
      <c r="B303" s="381" t="n"/>
      <c r="C303" s="381" t="n"/>
      <c r="D303" s="381" t="n"/>
      <c r="E303" s="381" t="n"/>
      <c r="F303" s="381" t="n"/>
      <c r="G303" s="381" t="n"/>
      <c r="H303" s="381" t="n"/>
      <c r="I303" s="381" t="n"/>
      <c r="J303" s="381" t="n"/>
      <c r="K303" s="381" t="n"/>
      <c r="L303" s="381" t="n"/>
      <c r="M303" s="381" t="n"/>
      <c r="N303" s="381" t="n"/>
      <c r="O303" s="381" t="n"/>
      <c r="P303" s="381" t="n"/>
      <c r="Q303" s="381" t="n"/>
      <c r="R303" s="381" t="n"/>
      <c r="S303" s="381" t="n"/>
      <c r="T303" s="544" t="n"/>
      <c r="U303" s="381" t="n"/>
      <c r="V303" s="381" t="n"/>
      <c r="W303" s="381" t="n"/>
      <c r="X303" s="381" t="n"/>
      <c r="Y303" s="381" t="n"/>
      <c r="Z303" s="381" t="n"/>
      <c r="AA303" s="381" t="n"/>
      <c r="AB303" s="381" t="n"/>
      <c r="AC303" s="381" t="n"/>
      <c r="AD303" s="381" t="n"/>
      <c r="AE303" s="381" t="n"/>
      <c r="AF303" s="381" t="n"/>
      <c r="AG303" s="381" t="n"/>
      <c r="AH303" s="381" t="n"/>
      <c r="AI303" s="381" t="n"/>
      <c r="AJ303" s="381" t="n"/>
      <c r="AK303" s="381" t="n"/>
      <c r="AL303" s="381" t="n"/>
      <c r="AM303" s="381" t="n"/>
      <c r="AN303" s="381" t="n"/>
      <c r="AO303" s="381" t="n"/>
      <c r="AP303" s="381" t="n"/>
      <c r="AQ303" s="381" t="n"/>
      <c r="AR303" s="381" t="n"/>
    </row>
    <row r="304" ht="15.75" customHeight="1" s="375">
      <c r="A304" s="381" t="n"/>
      <c r="B304" s="381" t="n"/>
      <c r="C304" s="381" t="n"/>
      <c r="D304" s="381" t="n"/>
      <c r="E304" s="381" t="n"/>
      <c r="F304" s="381" t="n"/>
      <c r="G304" s="381" t="n"/>
      <c r="H304" s="381" t="n"/>
      <c r="I304" s="381" t="n"/>
      <c r="J304" s="381" t="n"/>
      <c r="K304" s="381" t="n"/>
      <c r="L304" s="381" t="n"/>
      <c r="M304" s="381" t="n"/>
      <c r="N304" s="381" t="n"/>
      <c r="O304" s="381" t="n"/>
      <c r="P304" s="381" t="n"/>
      <c r="Q304" s="381" t="n"/>
      <c r="R304" s="381" t="n"/>
      <c r="S304" s="381" t="n"/>
      <c r="T304" s="544" t="n"/>
      <c r="U304" s="381" t="n"/>
      <c r="V304" s="381" t="n"/>
      <c r="W304" s="381" t="n"/>
      <c r="X304" s="381" t="n"/>
      <c r="Y304" s="381" t="n"/>
      <c r="Z304" s="381" t="n"/>
      <c r="AA304" s="381" t="n"/>
      <c r="AB304" s="381" t="n"/>
      <c r="AC304" s="381" t="n"/>
      <c r="AD304" s="381" t="n"/>
      <c r="AE304" s="381" t="n"/>
      <c r="AF304" s="381" t="n"/>
      <c r="AG304" s="381" t="n"/>
      <c r="AH304" s="381" t="n"/>
      <c r="AI304" s="381" t="n"/>
      <c r="AJ304" s="381" t="n"/>
      <c r="AK304" s="381" t="n"/>
      <c r="AL304" s="381" t="n"/>
      <c r="AM304" s="381" t="n"/>
      <c r="AN304" s="381" t="n"/>
      <c r="AO304" s="381" t="n"/>
      <c r="AP304" s="381" t="n"/>
      <c r="AQ304" s="381" t="n"/>
      <c r="AR304" s="381" t="n"/>
    </row>
    <row r="305" ht="15.75" customHeight="1" s="375">
      <c r="A305" s="381" t="n"/>
      <c r="B305" s="381" t="n"/>
      <c r="C305" s="381" t="n"/>
      <c r="D305" s="381" t="n"/>
      <c r="E305" s="381" t="n"/>
      <c r="F305" s="381" t="n"/>
      <c r="G305" s="381" t="n"/>
      <c r="H305" s="381" t="n"/>
      <c r="I305" s="381" t="n"/>
      <c r="J305" s="381" t="n"/>
      <c r="K305" s="381" t="n"/>
      <c r="L305" s="381" t="n"/>
      <c r="M305" s="381" t="n"/>
      <c r="N305" s="381" t="n"/>
      <c r="O305" s="381" t="n"/>
      <c r="P305" s="381" t="n"/>
      <c r="Q305" s="381" t="n"/>
      <c r="R305" s="381" t="n"/>
      <c r="S305" s="381" t="n"/>
      <c r="T305" s="544" t="n"/>
      <c r="U305" s="381" t="n"/>
      <c r="V305" s="381" t="n"/>
      <c r="W305" s="381" t="n"/>
      <c r="X305" s="381" t="n"/>
      <c r="Y305" s="381" t="n"/>
      <c r="Z305" s="381" t="n"/>
      <c r="AA305" s="381" t="n"/>
      <c r="AB305" s="381" t="n"/>
      <c r="AC305" s="381" t="n"/>
      <c r="AD305" s="381" t="n"/>
      <c r="AE305" s="381" t="n"/>
      <c r="AF305" s="381" t="n"/>
      <c r="AG305" s="381" t="n"/>
      <c r="AH305" s="381" t="n"/>
      <c r="AI305" s="381" t="n"/>
      <c r="AJ305" s="381" t="n"/>
      <c r="AK305" s="381" t="n"/>
      <c r="AL305" s="381" t="n"/>
      <c r="AM305" s="381" t="n"/>
      <c r="AN305" s="381" t="n"/>
      <c r="AO305" s="381" t="n"/>
      <c r="AP305" s="381" t="n"/>
      <c r="AQ305" s="381" t="n"/>
      <c r="AR305" s="381" t="n"/>
    </row>
    <row r="306" ht="15.75" customHeight="1" s="375">
      <c r="A306" s="381" t="n"/>
      <c r="B306" s="381" t="n"/>
      <c r="C306" s="381" t="n"/>
      <c r="D306" s="381" t="n"/>
      <c r="E306" s="381" t="n"/>
      <c r="F306" s="381" t="n"/>
      <c r="G306" s="381" t="n"/>
      <c r="H306" s="381" t="n"/>
      <c r="I306" s="381" t="n"/>
      <c r="J306" s="381" t="n"/>
      <c r="K306" s="381" t="n"/>
      <c r="L306" s="381" t="n"/>
      <c r="M306" s="381" t="n"/>
      <c r="N306" s="381" t="n"/>
      <c r="O306" s="381" t="n"/>
      <c r="P306" s="381" t="n"/>
      <c r="Q306" s="381" t="n"/>
      <c r="R306" s="381" t="n"/>
      <c r="S306" s="381" t="n"/>
      <c r="T306" s="544" t="n"/>
      <c r="U306" s="381" t="n"/>
      <c r="V306" s="381" t="n"/>
      <c r="W306" s="381" t="n"/>
      <c r="X306" s="381" t="n"/>
      <c r="Y306" s="381" t="n"/>
      <c r="Z306" s="381" t="n"/>
      <c r="AA306" s="381" t="n"/>
      <c r="AB306" s="381" t="n"/>
      <c r="AC306" s="381" t="n"/>
      <c r="AD306" s="381" t="n"/>
      <c r="AE306" s="381" t="n"/>
      <c r="AF306" s="381" t="n"/>
      <c r="AG306" s="381" t="n"/>
      <c r="AH306" s="381" t="n"/>
      <c r="AI306" s="381" t="n"/>
      <c r="AJ306" s="381" t="n"/>
      <c r="AK306" s="381" t="n"/>
      <c r="AL306" s="381" t="n"/>
      <c r="AM306" s="381" t="n"/>
      <c r="AN306" s="381" t="n"/>
      <c r="AO306" s="381" t="n"/>
      <c r="AP306" s="381" t="n"/>
      <c r="AQ306" s="381" t="n"/>
      <c r="AR306" s="381" t="n"/>
    </row>
    <row r="307" ht="15.75" customHeight="1" s="375">
      <c r="A307" s="381" t="n"/>
      <c r="B307" s="381" t="n"/>
      <c r="C307" s="381" t="n"/>
      <c r="D307" s="381" t="n"/>
      <c r="E307" s="381" t="n"/>
      <c r="F307" s="381" t="n"/>
      <c r="G307" s="381" t="n"/>
      <c r="H307" s="381" t="n"/>
      <c r="I307" s="381" t="n"/>
      <c r="J307" s="381" t="n"/>
      <c r="K307" s="381" t="n"/>
      <c r="L307" s="381" t="n"/>
      <c r="M307" s="381" t="n"/>
      <c r="N307" s="381" t="n"/>
      <c r="O307" s="381" t="n"/>
      <c r="P307" s="381" t="n"/>
      <c r="Q307" s="381" t="n"/>
      <c r="R307" s="381" t="n"/>
      <c r="S307" s="381" t="n"/>
      <c r="T307" s="544" t="n"/>
      <c r="U307" s="381" t="n"/>
      <c r="V307" s="381" t="n"/>
      <c r="W307" s="381" t="n"/>
      <c r="X307" s="381" t="n"/>
      <c r="Y307" s="381" t="n"/>
      <c r="Z307" s="381" t="n"/>
      <c r="AA307" s="381" t="n"/>
      <c r="AB307" s="381" t="n"/>
      <c r="AC307" s="381" t="n"/>
      <c r="AD307" s="381" t="n"/>
      <c r="AE307" s="381" t="n"/>
      <c r="AF307" s="381" t="n"/>
      <c r="AG307" s="381" t="n"/>
      <c r="AH307" s="381" t="n"/>
      <c r="AI307" s="381" t="n"/>
      <c r="AJ307" s="381" t="n"/>
      <c r="AK307" s="381" t="n"/>
      <c r="AL307" s="381" t="n"/>
      <c r="AM307" s="381" t="n"/>
      <c r="AN307" s="381" t="n"/>
      <c r="AO307" s="381" t="n"/>
      <c r="AP307" s="381" t="n"/>
      <c r="AQ307" s="381" t="n"/>
      <c r="AR307" s="381" t="n"/>
    </row>
    <row r="308" ht="15.75" customHeight="1" s="375">
      <c r="A308" s="381" t="n"/>
      <c r="B308" s="381" t="n"/>
      <c r="C308" s="381" t="n"/>
      <c r="D308" s="381" t="n"/>
      <c r="E308" s="381" t="n"/>
      <c r="F308" s="381" t="n"/>
      <c r="G308" s="381" t="n"/>
      <c r="H308" s="381" t="n"/>
      <c r="I308" s="381" t="n"/>
      <c r="J308" s="381" t="n"/>
      <c r="K308" s="381" t="n"/>
      <c r="L308" s="381" t="n"/>
      <c r="M308" s="381" t="n"/>
      <c r="N308" s="381" t="n"/>
      <c r="O308" s="381" t="n"/>
      <c r="P308" s="381" t="n"/>
      <c r="Q308" s="381" t="n"/>
      <c r="R308" s="381" t="n"/>
      <c r="S308" s="381" t="n"/>
      <c r="T308" s="544" t="n"/>
      <c r="U308" s="381" t="n"/>
      <c r="V308" s="381" t="n"/>
      <c r="W308" s="381" t="n"/>
      <c r="X308" s="381" t="n"/>
      <c r="Y308" s="381" t="n"/>
      <c r="Z308" s="381" t="n"/>
      <c r="AA308" s="381" t="n"/>
      <c r="AB308" s="381" t="n"/>
      <c r="AC308" s="381" t="n"/>
      <c r="AD308" s="381" t="n"/>
      <c r="AE308" s="381" t="n"/>
      <c r="AF308" s="381" t="n"/>
      <c r="AG308" s="381" t="n"/>
      <c r="AH308" s="381" t="n"/>
      <c r="AI308" s="381" t="n"/>
      <c r="AJ308" s="381" t="n"/>
      <c r="AK308" s="381" t="n"/>
      <c r="AL308" s="381" t="n"/>
      <c r="AM308" s="381" t="n"/>
      <c r="AN308" s="381" t="n"/>
      <c r="AO308" s="381" t="n"/>
      <c r="AP308" s="381" t="n"/>
      <c r="AQ308" s="381" t="n"/>
      <c r="AR308" s="381" t="n"/>
    </row>
    <row r="309" ht="15.75" customHeight="1" s="375">
      <c r="A309" s="381" t="n"/>
      <c r="B309" s="381" t="n"/>
      <c r="C309" s="381" t="n"/>
      <c r="D309" s="381" t="n"/>
      <c r="E309" s="381" t="n"/>
      <c r="F309" s="381" t="n"/>
      <c r="G309" s="381" t="n"/>
      <c r="H309" s="381" t="n"/>
      <c r="I309" s="381" t="n"/>
      <c r="J309" s="381" t="n"/>
      <c r="K309" s="381" t="n"/>
      <c r="L309" s="381" t="n"/>
      <c r="M309" s="381" t="n"/>
      <c r="N309" s="381" t="n"/>
      <c r="O309" s="381" t="n"/>
      <c r="P309" s="381" t="n"/>
      <c r="Q309" s="381" t="n"/>
      <c r="R309" s="381" t="n"/>
      <c r="S309" s="381" t="n"/>
      <c r="T309" s="544" t="n"/>
      <c r="U309" s="381" t="n"/>
      <c r="V309" s="381" t="n"/>
      <c r="W309" s="381" t="n"/>
      <c r="X309" s="381" t="n"/>
      <c r="Y309" s="381" t="n"/>
      <c r="Z309" s="381" t="n"/>
      <c r="AA309" s="381" t="n"/>
      <c r="AB309" s="381" t="n"/>
      <c r="AC309" s="381" t="n"/>
      <c r="AD309" s="381" t="n"/>
      <c r="AE309" s="381" t="n"/>
      <c r="AF309" s="381" t="n"/>
      <c r="AG309" s="381" t="n"/>
      <c r="AH309" s="381" t="n"/>
      <c r="AI309" s="381" t="n"/>
      <c r="AJ309" s="381" t="n"/>
      <c r="AK309" s="381" t="n"/>
      <c r="AL309" s="381" t="n"/>
      <c r="AM309" s="381" t="n"/>
      <c r="AN309" s="381" t="n"/>
      <c r="AO309" s="381" t="n"/>
      <c r="AP309" s="381" t="n"/>
      <c r="AQ309" s="381" t="n"/>
      <c r="AR309" s="381" t="n"/>
    </row>
    <row r="310" ht="15.75" customHeight="1" s="375">
      <c r="A310" s="381" t="n"/>
      <c r="B310" s="381" t="n"/>
      <c r="C310" s="381" t="n"/>
      <c r="D310" s="381" t="n"/>
      <c r="E310" s="381" t="n"/>
      <c r="F310" s="381" t="n"/>
      <c r="G310" s="381" t="n"/>
      <c r="H310" s="381" t="n"/>
      <c r="I310" s="381" t="n"/>
      <c r="J310" s="381" t="n"/>
      <c r="K310" s="381" t="n"/>
      <c r="L310" s="381" t="n"/>
      <c r="M310" s="381" t="n"/>
      <c r="N310" s="381" t="n"/>
      <c r="O310" s="381" t="n"/>
      <c r="P310" s="381" t="n"/>
      <c r="Q310" s="381" t="n"/>
      <c r="R310" s="381" t="n"/>
      <c r="S310" s="381" t="n"/>
      <c r="T310" s="544" t="n"/>
      <c r="U310" s="381" t="n"/>
      <c r="V310" s="381" t="n"/>
      <c r="W310" s="381" t="n"/>
      <c r="X310" s="381" t="n"/>
      <c r="Y310" s="381" t="n"/>
      <c r="Z310" s="381" t="n"/>
      <c r="AA310" s="381" t="n"/>
      <c r="AB310" s="381" t="n"/>
      <c r="AC310" s="381" t="n"/>
      <c r="AD310" s="381" t="n"/>
      <c r="AE310" s="381" t="n"/>
      <c r="AF310" s="381" t="n"/>
      <c r="AG310" s="381" t="n"/>
      <c r="AH310" s="381" t="n"/>
      <c r="AI310" s="381" t="n"/>
      <c r="AJ310" s="381" t="n"/>
      <c r="AK310" s="381" t="n"/>
      <c r="AL310" s="381" t="n"/>
      <c r="AM310" s="381" t="n"/>
      <c r="AN310" s="381" t="n"/>
      <c r="AO310" s="381" t="n"/>
      <c r="AP310" s="381" t="n"/>
      <c r="AQ310" s="381" t="n"/>
      <c r="AR310" s="381" t="n"/>
    </row>
    <row r="311" ht="15.75" customHeight="1" s="375">
      <c r="A311" s="381" t="n"/>
      <c r="B311" s="381" t="n"/>
      <c r="C311" s="381" t="n"/>
      <c r="D311" s="381" t="n"/>
      <c r="E311" s="381" t="n"/>
      <c r="F311" s="381" t="n"/>
      <c r="G311" s="381" t="n"/>
      <c r="H311" s="381" t="n"/>
      <c r="I311" s="381" t="n"/>
      <c r="J311" s="381" t="n"/>
      <c r="K311" s="381" t="n"/>
      <c r="L311" s="381" t="n"/>
      <c r="M311" s="381" t="n"/>
      <c r="N311" s="381" t="n"/>
      <c r="O311" s="381" t="n"/>
      <c r="P311" s="381" t="n"/>
      <c r="Q311" s="381" t="n"/>
      <c r="R311" s="381" t="n"/>
      <c r="S311" s="381" t="n"/>
      <c r="T311" s="544" t="n"/>
      <c r="U311" s="381" t="n"/>
      <c r="V311" s="381" t="n"/>
      <c r="W311" s="381" t="n"/>
      <c r="X311" s="381" t="n"/>
      <c r="Y311" s="381" t="n"/>
      <c r="Z311" s="381" t="n"/>
      <c r="AA311" s="381" t="n"/>
      <c r="AB311" s="381" t="n"/>
      <c r="AC311" s="381" t="n"/>
      <c r="AD311" s="381" t="n"/>
      <c r="AE311" s="381" t="n"/>
      <c r="AF311" s="381" t="n"/>
      <c r="AG311" s="381" t="n"/>
      <c r="AH311" s="381" t="n"/>
      <c r="AI311" s="381" t="n"/>
      <c r="AJ311" s="381" t="n"/>
      <c r="AK311" s="381" t="n"/>
      <c r="AL311" s="381" t="n"/>
      <c r="AM311" s="381" t="n"/>
      <c r="AN311" s="381" t="n"/>
      <c r="AO311" s="381" t="n"/>
      <c r="AP311" s="381" t="n"/>
      <c r="AQ311" s="381" t="n"/>
      <c r="AR311" s="381" t="n"/>
    </row>
    <row r="312" ht="15.75" customHeight="1" s="375">
      <c r="A312" s="381" t="n"/>
      <c r="B312" s="381" t="n"/>
      <c r="C312" s="381" t="n"/>
      <c r="D312" s="381" t="n"/>
      <c r="E312" s="381" t="n"/>
      <c r="F312" s="381" t="n"/>
      <c r="G312" s="381" t="n"/>
      <c r="H312" s="381" t="n"/>
      <c r="I312" s="381" t="n"/>
      <c r="J312" s="381" t="n"/>
      <c r="K312" s="381" t="n"/>
      <c r="L312" s="381" t="n"/>
      <c r="M312" s="381" t="n"/>
      <c r="N312" s="381" t="n"/>
      <c r="O312" s="381" t="n"/>
      <c r="P312" s="381" t="n"/>
      <c r="Q312" s="381" t="n"/>
      <c r="R312" s="381" t="n"/>
      <c r="S312" s="381" t="n"/>
      <c r="T312" s="544" t="n"/>
      <c r="U312" s="381" t="n"/>
      <c r="V312" s="381" t="n"/>
      <c r="W312" s="381" t="n"/>
      <c r="X312" s="381" t="n"/>
      <c r="Y312" s="381" t="n"/>
      <c r="Z312" s="381" t="n"/>
      <c r="AA312" s="381" t="n"/>
      <c r="AB312" s="381" t="n"/>
      <c r="AC312" s="381" t="n"/>
      <c r="AD312" s="381" t="n"/>
      <c r="AE312" s="381" t="n"/>
      <c r="AF312" s="381" t="n"/>
      <c r="AG312" s="381" t="n"/>
      <c r="AH312" s="381" t="n"/>
      <c r="AI312" s="381" t="n"/>
      <c r="AJ312" s="381" t="n"/>
      <c r="AK312" s="381" t="n"/>
      <c r="AL312" s="381" t="n"/>
      <c r="AM312" s="381" t="n"/>
      <c r="AN312" s="381" t="n"/>
      <c r="AO312" s="381" t="n"/>
      <c r="AP312" s="381" t="n"/>
      <c r="AQ312" s="381" t="n"/>
      <c r="AR312" s="381" t="n"/>
    </row>
    <row r="313" ht="15.75" customHeight="1" s="375">
      <c r="A313" s="381" t="n"/>
      <c r="B313" s="381" t="n"/>
      <c r="C313" s="381" t="n"/>
      <c r="D313" s="381" t="n"/>
      <c r="E313" s="381" t="n"/>
      <c r="F313" s="381" t="n"/>
      <c r="G313" s="381" t="n"/>
      <c r="H313" s="381" t="n"/>
      <c r="I313" s="381" t="n"/>
      <c r="J313" s="381" t="n"/>
      <c r="K313" s="381" t="n"/>
      <c r="L313" s="381" t="n"/>
      <c r="M313" s="381" t="n"/>
      <c r="N313" s="381" t="n"/>
      <c r="O313" s="381" t="n"/>
      <c r="P313" s="381" t="n"/>
      <c r="Q313" s="381" t="n"/>
      <c r="R313" s="381" t="n"/>
      <c r="S313" s="381" t="n"/>
      <c r="T313" s="544" t="n"/>
      <c r="U313" s="381" t="n"/>
      <c r="V313" s="381" t="n"/>
      <c r="W313" s="381" t="n"/>
      <c r="X313" s="381" t="n"/>
      <c r="Y313" s="381" t="n"/>
      <c r="Z313" s="381" t="n"/>
      <c r="AA313" s="381" t="n"/>
      <c r="AB313" s="381" t="n"/>
      <c r="AC313" s="381" t="n"/>
      <c r="AD313" s="381" t="n"/>
      <c r="AE313" s="381" t="n"/>
      <c r="AF313" s="381" t="n"/>
      <c r="AG313" s="381" t="n"/>
      <c r="AH313" s="381" t="n"/>
      <c r="AI313" s="381" t="n"/>
      <c r="AJ313" s="381" t="n"/>
      <c r="AK313" s="381" t="n"/>
      <c r="AL313" s="381" t="n"/>
      <c r="AM313" s="381" t="n"/>
      <c r="AN313" s="381" t="n"/>
      <c r="AO313" s="381" t="n"/>
      <c r="AP313" s="381" t="n"/>
      <c r="AQ313" s="381" t="n"/>
      <c r="AR313" s="381" t="n"/>
    </row>
    <row r="314" ht="15.75" customHeight="1" s="375">
      <c r="A314" s="381" t="n"/>
      <c r="B314" s="381" t="n"/>
      <c r="C314" s="381" t="n"/>
      <c r="D314" s="381" t="n"/>
      <c r="E314" s="381" t="n"/>
      <c r="F314" s="381" t="n"/>
      <c r="G314" s="381" t="n"/>
      <c r="H314" s="381" t="n"/>
      <c r="I314" s="381" t="n"/>
      <c r="J314" s="381" t="n"/>
      <c r="K314" s="381" t="n"/>
      <c r="L314" s="381" t="n"/>
      <c r="M314" s="381" t="n"/>
      <c r="N314" s="381" t="n"/>
      <c r="O314" s="381" t="n"/>
      <c r="P314" s="381" t="n"/>
      <c r="Q314" s="381" t="n"/>
      <c r="R314" s="381" t="n"/>
      <c r="S314" s="381" t="n"/>
      <c r="T314" s="544" t="n"/>
      <c r="U314" s="381" t="n"/>
      <c r="V314" s="381" t="n"/>
      <c r="W314" s="381" t="n"/>
      <c r="X314" s="381" t="n"/>
      <c r="Y314" s="381" t="n"/>
      <c r="Z314" s="381" t="n"/>
      <c r="AA314" s="381" t="n"/>
      <c r="AB314" s="381" t="n"/>
      <c r="AC314" s="381" t="n"/>
      <c r="AD314" s="381" t="n"/>
      <c r="AE314" s="381" t="n"/>
      <c r="AF314" s="381" t="n"/>
      <c r="AG314" s="381" t="n"/>
      <c r="AH314" s="381" t="n"/>
      <c r="AI314" s="381" t="n"/>
      <c r="AJ314" s="381" t="n"/>
      <c r="AK314" s="381" t="n"/>
      <c r="AL314" s="381" t="n"/>
      <c r="AM314" s="381" t="n"/>
      <c r="AN314" s="381" t="n"/>
      <c r="AO314" s="381" t="n"/>
      <c r="AP314" s="381" t="n"/>
      <c r="AQ314" s="381" t="n"/>
      <c r="AR314" s="381" t="n"/>
    </row>
    <row r="315" ht="15.75" customHeight="1" s="375">
      <c r="A315" s="381" t="n"/>
      <c r="B315" s="381" t="n"/>
      <c r="C315" s="381" t="n"/>
      <c r="D315" s="381" t="n"/>
      <c r="E315" s="381" t="n"/>
      <c r="F315" s="381" t="n"/>
      <c r="G315" s="381" t="n"/>
      <c r="H315" s="381" t="n"/>
      <c r="I315" s="381" t="n"/>
      <c r="J315" s="381" t="n"/>
      <c r="K315" s="381" t="n"/>
      <c r="L315" s="381" t="n"/>
      <c r="M315" s="381" t="n"/>
      <c r="N315" s="381" t="n"/>
      <c r="O315" s="381" t="n"/>
      <c r="P315" s="381" t="n"/>
      <c r="Q315" s="381" t="n"/>
      <c r="R315" s="381" t="n"/>
      <c r="S315" s="381" t="n"/>
      <c r="T315" s="544" t="n"/>
      <c r="U315" s="381" t="n"/>
      <c r="V315" s="381" t="n"/>
      <c r="W315" s="381" t="n"/>
      <c r="X315" s="381" t="n"/>
      <c r="Y315" s="381" t="n"/>
      <c r="Z315" s="381" t="n"/>
      <c r="AA315" s="381" t="n"/>
      <c r="AB315" s="381" t="n"/>
      <c r="AC315" s="381" t="n"/>
      <c r="AD315" s="381" t="n"/>
      <c r="AE315" s="381" t="n"/>
      <c r="AF315" s="381" t="n"/>
      <c r="AG315" s="381" t="n"/>
      <c r="AH315" s="381" t="n"/>
      <c r="AI315" s="381" t="n"/>
      <c r="AJ315" s="381" t="n"/>
      <c r="AK315" s="381" t="n"/>
      <c r="AL315" s="381" t="n"/>
      <c r="AM315" s="381" t="n"/>
      <c r="AN315" s="381" t="n"/>
      <c r="AO315" s="381" t="n"/>
      <c r="AP315" s="381" t="n"/>
      <c r="AQ315" s="381" t="n"/>
      <c r="AR315" s="381" t="n"/>
    </row>
    <row r="316" ht="15.75" customHeight="1" s="375"/>
    <row r="317" ht="15.75" customHeight="1" s="375"/>
    <row r="318" ht="15.75" customHeight="1" s="375"/>
    <row r="319" ht="15.75" customHeight="1" s="375"/>
    <row r="320" ht="15.75" customHeight="1" s="375"/>
    <row r="321" ht="15.75" customHeight="1" s="375"/>
    <row r="322" ht="15.75" customHeight="1" s="375"/>
    <row r="323" ht="15.75" customHeight="1" s="375"/>
    <row r="324" ht="15.75" customHeight="1" s="375"/>
    <row r="325" ht="15.75" customHeight="1" s="375"/>
    <row r="326" ht="15.75" customHeight="1" s="375"/>
    <row r="327" ht="15.75" customHeight="1" s="375"/>
    <row r="328" ht="15.75" customHeight="1" s="375"/>
    <row r="329" ht="15.75" customHeight="1" s="375"/>
    <row r="330" ht="15.75" customHeight="1" s="375"/>
    <row r="331" ht="15.75" customHeight="1" s="375"/>
    <row r="332" ht="15.75" customHeight="1" s="375"/>
    <row r="333" ht="15.75" customHeight="1" s="375"/>
    <row r="334" ht="15.75" customHeight="1" s="375"/>
    <row r="335" ht="15.75" customHeight="1" s="375"/>
    <row r="336" ht="15.75" customHeight="1" s="375"/>
    <row r="337" ht="15.75" customHeight="1" s="375"/>
    <row r="338" ht="15.75" customHeight="1" s="375"/>
    <row r="339" ht="15.75" customHeight="1" s="375"/>
    <row r="340" ht="15.75" customHeight="1" s="375"/>
    <row r="341" ht="15.75" customHeight="1" s="375"/>
    <row r="342" ht="15.75" customHeight="1" s="375"/>
    <row r="343" ht="15.75" customHeight="1" s="375"/>
    <row r="344" ht="15.75" customHeight="1" s="375"/>
    <row r="345" ht="15.75" customHeight="1" s="375"/>
    <row r="346" ht="15.75" customHeight="1" s="375"/>
    <row r="347" ht="15.75" customHeight="1" s="375"/>
    <row r="348" ht="15.75" customHeight="1" s="375"/>
    <row r="349" ht="15.75" customHeight="1" s="375"/>
    <row r="350" ht="15.75" customHeight="1" s="375"/>
    <row r="351" ht="15.75" customHeight="1" s="375"/>
    <row r="352" ht="15.75" customHeight="1" s="375"/>
    <row r="353" ht="15.75" customHeight="1" s="375"/>
    <row r="354" ht="15.75" customHeight="1" s="375"/>
    <row r="355" ht="15.75" customHeight="1" s="375"/>
    <row r="356" ht="15.75" customHeight="1" s="375"/>
    <row r="357" ht="15.75" customHeight="1" s="375"/>
    <row r="358" ht="15.75" customHeight="1" s="375"/>
    <row r="359" ht="15.75" customHeight="1" s="375"/>
    <row r="360" ht="15.75" customHeight="1" s="375"/>
    <row r="361" ht="15.75" customHeight="1" s="375"/>
    <row r="362" ht="15.75" customHeight="1" s="375"/>
    <row r="363" ht="15.75" customHeight="1" s="375"/>
    <row r="364" ht="15.75" customHeight="1" s="375"/>
    <row r="365" ht="15.75" customHeight="1" s="375"/>
    <row r="366" ht="15.75" customHeight="1" s="375"/>
    <row r="367" ht="15.75" customHeight="1" s="375"/>
    <row r="368" ht="15.75" customHeight="1" s="375"/>
    <row r="369" ht="15.75" customHeight="1" s="375"/>
    <row r="370" ht="15.75" customHeight="1" s="375"/>
    <row r="371" ht="15.75" customHeight="1" s="375"/>
    <row r="372" ht="15.75" customHeight="1" s="375"/>
    <row r="373" ht="15.75" customHeight="1" s="375"/>
    <row r="374" ht="15.75" customHeight="1" s="375"/>
    <row r="375" ht="15.75" customHeight="1" s="375"/>
    <row r="376" ht="15.75" customHeight="1" s="375"/>
    <row r="377" ht="15.75" customHeight="1" s="375"/>
    <row r="378" ht="15.75" customHeight="1" s="375"/>
    <row r="379" ht="15.75" customHeight="1" s="375"/>
    <row r="380" ht="15.75" customHeight="1" s="375"/>
    <row r="381" ht="15.75" customHeight="1" s="375"/>
    <row r="382" ht="15.75" customHeight="1" s="375"/>
    <row r="383" ht="15.75" customHeight="1" s="375"/>
    <row r="384" ht="15.75" customHeight="1" s="375"/>
    <row r="385" ht="15.75" customHeight="1" s="375"/>
    <row r="386" ht="15.75" customHeight="1" s="375"/>
    <row r="387" ht="15.75" customHeight="1" s="375"/>
    <row r="388" ht="15.75" customHeight="1" s="375"/>
    <row r="389" ht="15.75" customHeight="1" s="375"/>
    <row r="390" ht="15.75" customHeight="1" s="375"/>
    <row r="391" ht="15.75" customHeight="1" s="375"/>
    <row r="392" ht="15.75" customHeight="1" s="375"/>
    <row r="393" ht="15.75" customHeight="1" s="375"/>
    <row r="394" ht="15.75" customHeight="1" s="375"/>
    <row r="395" ht="15.75" customHeight="1" s="375"/>
    <row r="396" ht="15.75" customHeight="1" s="375"/>
    <row r="397" ht="15.75" customHeight="1" s="375"/>
    <row r="398" ht="15.75" customHeight="1" s="375"/>
    <row r="399" ht="15.75" customHeight="1" s="375"/>
    <row r="400" ht="15.75" customHeight="1" s="375"/>
    <row r="401" ht="15.75" customHeight="1" s="375"/>
    <row r="402" ht="15.75" customHeight="1" s="375"/>
    <row r="403" ht="15.75" customHeight="1" s="375"/>
    <row r="404" ht="15.75" customHeight="1" s="375"/>
    <row r="405" ht="15.75" customHeight="1" s="375"/>
    <row r="406" ht="15.75" customHeight="1" s="375"/>
    <row r="407" ht="15.75" customHeight="1" s="375"/>
    <row r="408" ht="15.75" customHeight="1" s="375"/>
    <row r="409" ht="15.75" customHeight="1" s="375"/>
    <row r="410" ht="15.75" customHeight="1" s="375"/>
    <row r="411" ht="15.75" customHeight="1" s="375"/>
    <row r="412" ht="15.75" customHeight="1" s="375"/>
    <row r="413" ht="15.75" customHeight="1" s="375"/>
    <row r="414" ht="15.75" customHeight="1" s="375"/>
    <row r="415" ht="15.75" customHeight="1" s="375"/>
    <row r="416" ht="15.75" customHeight="1" s="375"/>
    <row r="417" ht="15.75" customHeight="1" s="375"/>
    <row r="418" ht="15.75" customHeight="1" s="375"/>
    <row r="419" ht="15.75" customHeight="1" s="375"/>
    <row r="420" ht="15.75" customHeight="1" s="375"/>
    <row r="421" ht="15.75" customHeight="1" s="375"/>
    <row r="422" ht="15.75" customHeight="1" s="375"/>
    <row r="423" ht="15.75" customHeight="1" s="375"/>
    <row r="424" ht="15.75" customHeight="1" s="375"/>
    <row r="425" ht="15.75" customHeight="1" s="375"/>
    <row r="426" ht="15.75" customHeight="1" s="375"/>
    <row r="427" ht="15.75" customHeight="1" s="375"/>
    <row r="428" ht="15.75" customHeight="1" s="375"/>
    <row r="429" ht="15.75" customHeight="1" s="375"/>
    <row r="430" ht="15.75" customHeight="1" s="375"/>
    <row r="431" ht="15.75" customHeight="1" s="375"/>
    <row r="432" ht="15.75" customHeight="1" s="375"/>
    <row r="433" ht="15.75" customHeight="1" s="375"/>
    <row r="434" ht="15.75" customHeight="1" s="375"/>
    <row r="435" ht="15.75" customHeight="1" s="375"/>
    <row r="436" ht="15.75" customHeight="1" s="375"/>
    <row r="437" ht="15.75" customHeight="1" s="375"/>
    <row r="438" ht="15.75" customHeight="1" s="375"/>
    <row r="439" ht="15.75" customHeight="1" s="375"/>
    <row r="440" ht="15.75" customHeight="1" s="375"/>
    <row r="441" ht="15.75" customHeight="1" s="375"/>
    <row r="442" ht="15.75" customHeight="1" s="375"/>
    <row r="443" ht="15.75" customHeight="1" s="375"/>
    <row r="444" ht="15.75" customHeight="1" s="375"/>
    <row r="445" ht="15.75" customHeight="1" s="375"/>
    <row r="446" ht="15.75" customHeight="1" s="375"/>
    <row r="447" ht="15.75" customHeight="1" s="375"/>
    <row r="448" ht="15.75" customHeight="1" s="375"/>
    <row r="449" ht="15.75" customHeight="1" s="375"/>
    <row r="450" ht="15.75" customHeight="1" s="375"/>
    <row r="451" ht="15.75" customHeight="1" s="375"/>
    <row r="452" ht="15.75" customHeight="1" s="375"/>
    <row r="453" ht="15.75" customHeight="1" s="375"/>
    <row r="454" ht="15.75" customHeight="1" s="375"/>
    <row r="455" ht="15.75" customHeight="1" s="375"/>
    <row r="456" ht="15.75" customHeight="1" s="375"/>
    <row r="457" ht="15.75" customHeight="1" s="375"/>
    <row r="458" ht="15.75" customHeight="1" s="375"/>
    <row r="459" ht="15.75" customHeight="1" s="375"/>
    <row r="460" ht="15.75" customHeight="1" s="375"/>
    <row r="461" ht="15.75" customHeight="1" s="375"/>
    <row r="462" ht="15.75" customHeight="1" s="375"/>
    <row r="463" ht="15.75" customHeight="1" s="375"/>
    <row r="464" ht="15.75" customHeight="1" s="375"/>
    <row r="465" ht="15.75" customHeight="1" s="375"/>
    <row r="466" ht="15.75" customHeight="1" s="375"/>
    <row r="467" ht="15.75" customHeight="1" s="375"/>
    <row r="468" ht="15.75" customHeight="1" s="375"/>
    <row r="469" ht="15.75" customHeight="1" s="375"/>
    <row r="470" ht="15.75" customHeight="1" s="375"/>
    <row r="471" ht="15.75" customHeight="1" s="375"/>
    <row r="472" ht="15.75" customHeight="1" s="375"/>
    <row r="473" ht="15.75" customHeight="1" s="375"/>
    <row r="474" ht="15.75" customHeight="1" s="375"/>
    <row r="475" ht="15.75" customHeight="1" s="375"/>
    <row r="476" ht="15.75" customHeight="1" s="375"/>
    <row r="477" ht="15.75" customHeight="1" s="375"/>
    <row r="478" ht="15.75" customHeight="1" s="375"/>
    <row r="479" ht="15.75" customHeight="1" s="375"/>
    <row r="480" ht="15.75" customHeight="1" s="375"/>
    <row r="481" ht="15.75" customHeight="1" s="375"/>
    <row r="482" ht="15.75" customHeight="1" s="375"/>
    <row r="483" ht="15.75" customHeight="1" s="375"/>
    <row r="484" ht="15.75" customHeight="1" s="375"/>
    <row r="485" ht="15.75" customHeight="1" s="375"/>
    <row r="486" ht="15.75" customHeight="1" s="375"/>
    <row r="487" ht="15.75" customHeight="1" s="375"/>
    <row r="488" ht="15.75" customHeight="1" s="375"/>
    <row r="489" ht="15.75" customHeight="1" s="375"/>
    <row r="490" ht="15.75" customHeight="1" s="375"/>
    <row r="491" ht="15.75" customHeight="1" s="375"/>
    <row r="492" ht="15.75" customHeight="1" s="375"/>
    <row r="493" ht="15.75" customHeight="1" s="375"/>
    <row r="494" ht="15.75" customHeight="1" s="375"/>
    <row r="495" ht="15.75" customHeight="1" s="375"/>
    <row r="496" ht="15.75" customHeight="1" s="375"/>
    <row r="497" ht="15.75" customHeight="1" s="375"/>
    <row r="498" ht="15.75" customHeight="1" s="375"/>
    <row r="499" ht="15.75" customHeight="1" s="375"/>
    <row r="500" ht="15.75" customHeight="1" s="375"/>
    <row r="501" ht="15.75" customHeight="1" s="375"/>
    <row r="502" ht="15.75" customHeight="1" s="375"/>
    <row r="503" ht="15.75" customHeight="1" s="375"/>
    <row r="504" ht="15.75" customHeight="1" s="375"/>
    <row r="505" ht="15.75" customHeight="1" s="375"/>
    <row r="506" ht="15.75" customHeight="1" s="375"/>
    <row r="507" ht="15.75" customHeight="1" s="375"/>
    <row r="508" ht="15.75" customHeight="1" s="375"/>
    <row r="509" ht="15.75" customHeight="1" s="375"/>
    <row r="510" ht="15.75" customHeight="1" s="375"/>
    <row r="511" ht="15.75" customHeight="1" s="375"/>
    <row r="512" ht="15.75" customHeight="1" s="375"/>
    <row r="513" ht="15.75" customHeight="1" s="375"/>
    <row r="514" ht="15.75" customHeight="1" s="375"/>
    <row r="515" ht="15.75" customHeight="1" s="375"/>
    <row r="516" ht="15.75" customHeight="1" s="375"/>
    <row r="517" ht="15.75" customHeight="1" s="375"/>
    <row r="518" ht="15.75" customHeight="1" s="375"/>
    <row r="519" ht="15.75" customHeight="1" s="375"/>
    <row r="520" ht="15.75" customHeight="1" s="375"/>
    <row r="521" ht="15.75" customHeight="1" s="375"/>
    <row r="522" ht="15.75" customHeight="1" s="375"/>
    <row r="523" ht="15.75" customHeight="1" s="375"/>
    <row r="524" ht="15.75" customHeight="1" s="375"/>
    <row r="525" ht="15.75" customHeight="1" s="375"/>
    <row r="526" ht="15.75" customHeight="1" s="375"/>
    <row r="527" ht="15.75" customHeight="1" s="375"/>
    <row r="528" ht="15.75" customHeight="1" s="375"/>
    <row r="529" ht="15.75" customHeight="1" s="375"/>
    <row r="530" ht="15.75" customHeight="1" s="375"/>
    <row r="531" ht="15.75" customHeight="1" s="375"/>
    <row r="532" ht="15.75" customHeight="1" s="375"/>
    <row r="533" ht="15.75" customHeight="1" s="375"/>
    <row r="534" ht="15.75" customHeight="1" s="375"/>
    <row r="535" ht="15.75" customHeight="1" s="375"/>
    <row r="536" ht="15.75" customHeight="1" s="375"/>
    <row r="537" ht="15.75" customHeight="1" s="375"/>
    <row r="538" ht="15.75" customHeight="1" s="375"/>
    <row r="539" ht="15.75" customHeight="1" s="375"/>
    <row r="540" ht="15.75" customHeight="1" s="375"/>
    <row r="541" ht="15.75" customHeight="1" s="375"/>
    <row r="542" ht="15.75" customHeight="1" s="375"/>
    <row r="543" ht="15.75" customHeight="1" s="375"/>
    <row r="544" ht="15.75" customHeight="1" s="375"/>
    <row r="545" ht="15.75" customHeight="1" s="375"/>
    <row r="546" ht="15.75" customHeight="1" s="375"/>
    <row r="547" ht="15.75" customHeight="1" s="375"/>
    <row r="548" ht="15.75" customHeight="1" s="375"/>
    <row r="549" ht="15.75" customHeight="1" s="375"/>
    <row r="550" ht="15.75" customHeight="1" s="375"/>
    <row r="551" ht="15.75" customHeight="1" s="375"/>
    <row r="552" ht="15.75" customHeight="1" s="375"/>
    <row r="553" ht="15.75" customHeight="1" s="375"/>
    <row r="554" ht="15.75" customHeight="1" s="375"/>
    <row r="555" ht="15.75" customHeight="1" s="375"/>
    <row r="556" ht="15.75" customHeight="1" s="375"/>
    <row r="557" ht="15.75" customHeight="1" s="375"/>
    <row r="558" ht="15.75" customHeight="1" s="375"/>
    <row r="559" ht="15.75" customHeight="1" s="375"/>
    <row r="560" ht="15.75" customHeight="1" s="375"/>
    <row r="561" ht="15.75" customHeight="1" s="375"/>
    <row r="562" ht="15.75" customHeight="1" s="375"/>
    <row r="563" ht="15.75" customHeight="1" s="375"/>
    <row r="564" ht="15.75" customHeight="1" s="375"/>
    <row r="565" ht="15.75" customHeight="1" s="375"/>
    <row r="566" ht="15.75" customHeight="1" s="375"/>
    <row r="567" ht="15.75" customHeight="1" s="375"/>
    <row r="568" ht="15.75" customHeight="1" s="375"/>
    <row r="569" ht="15.75" customHeight="1" s="375"/>
    <row r="570" ht="15.75" customHeight="1" s="375"/>
    <row r="571" ht="15.75" customHeight="1" s="375"/>
    <row r="572" ht="15.75" customHeight="1" s="375"/>
    <row r="573" ht="15.75" customHeight="1" s="375"/>
    <row r="574" ht="15.75" customHeight="1" s="375"/>
    <row r="575" ht="15.75" customHeight="1" s="375"/>
    <row r="576" ht="15.75" customHeight="1" s="375"/>
    <row r="577" ht="15.75" customHeight="1" s="375"/>
    <row r="578" ht="15.75" customHeight="1" s="375"/>
    <row r="579" ht="15.75" customHeight="1" s="375"/>
    <row r="580" ht="15.75" customHeight="1" s="375"/>
    <row r="581" ht="15.75" customHeight="1" s="375"/>
    <row r="582" ht="15.75" customHeight="1" s="375"/>
    <row r="583" ht="15.75" customHeight="1" s="375"/>
    <row r="584" ht="15.75" customHeight="1" s="375"/>
    <row r="585" ht="15.75" customHeight="1" s="375"/>
    <row r="586" ht="15.75" customHeight="1" s="375"/>
    <row r="587" ht="15.75" customHeight="1" s="375"/>
    <row r="588" ht="15.75" customHeight="1" s="375"/>
    <row r="589" ht="15.75" customHeight="1" s="375"/>
    <row r="590" ht="15.75" customHeight="1" s="375"/>
    <row r="591" ht="15.75" customHeight="1" s="375"/>
    <row r="592" ht="15.75" customHeight="1" s="375"/>
    <row r="593" ht="15.75" customHeight="1" s="375"/>
    <row r="594" ht="15.75" customHeight="1" s="375"/>
    <row r="595" ht="15.75" customHeight="1" s="375"/>
    <row r="596" ht="15.75" customHeight="1" s="375"/>
    <row r="597" ht="15.75" customHeight="1" s="375"/>
    <row r="598" ht="15.75" customHeight="1" s="375"/>
    <row r="599" ht="15.75" customHeight="1" s="375"/>
    <row r="600" ht="15.75" customHeight="1" s="375"/>
    <row r="601" ht="15.75" customHeight="1" s="375"/>
    <row r="602" ht="15.75" customHeight="1" s="375"/>
    <row r="603" ht="15.75" customHeight="1" s="375"/>
    <row r="604" ht="15.75" customHeight="1" s="375"/>
    <row r="605" ht="15.75" customHeight="1" s="375"/>
    <row r="606" ht="15.75" customHeight="1" s="375"/>
    <row r="607" ht="15.75" customHeight="1" s="375"/>
    <row r="608" ht="15.75" customHeight="1" s="375"/>
    <row r="609" ht="15.75" customHeight="1" s="375"/>
    <row r="610" ht="15.75" customHeight="1" s="375"/>
    <row r="611" ht="15.75" customHeight="1" s="375"/>
    <row r="612" ht="15.75" customHeight="1" s="375"/>
    <row r="613" ht="15.75" customHeight="1" s="375"/>
    <row r="614" ht="15.75" customHeight="1" s="375"/>
    <row r="615" ht="15.75" customHeight="1" s="375"/>
    <row r="616" ht="15.75" customHeight="1" s="375"/>
    <row r="617" ht="15.75" customHeight="1" s="375"/>
    <row r="618" ht="15.75" customHeight="1" s="375"/>
    <row r="619" ht="15.75" customHeight="1" s="375"/>
    <row r="620" ht="15.75" customHeight="1" s="375"/>
    <row r="621" ht="15.75" customHeight="1" s="375"/>
    <row r="622" ht="15.75" customHeight="1" s="375"/>
    <row r="623" ht="15.75" customHeight="1" s="375"/>
    <row r="624" ht="15.75" customHeight="1" s="375"/>
    <row r="625" ht="15.75" customHeight="1" s="375"/>
    <row r="626" ht="15.75" customHeight="1" s="375"/>
    <row r="627" ht="15.75" customHeight="1" s="375"/>
    <row r="628" ht="15.75" customHeight="1" s="375"/>
    <row r="629" ht="15.75" customHeight="1" s="375"/>
    <row r="630" ht="15.75" customHeight="1" s="375"/>
    <row r="631" ht="15.75" customHeight="1" s="375"/>
    <row r="632" ht="15.75" customHeight="1" s="375"/>
    <row r="633" ht="15.75" customHeight="1" s="375"/>
    <row r="634" ht="15.75" customHeight="1" s="375"/>
    <row r="635" ht="15.75" customHeight="1" s="375"/>
    <row r="636" ht="15.75" customHeight="1" s="375"/>
    <row r="637" ht="15.75" customHeight="1" s="375"/>
    <row r="638" ht="15.75" customHeight="1" s="375"/>
    <row r="639" ht="15.75" customHeight="1" s="375"/>
    <row r="640" ht="15.75" customHeight="1" s="375"/>
    <row r="641" ht="15.75" customHeight="1" s="375"/>
    <row r="642" ht="15.75" customHeight="1" s="375"/>
    <row r="643" ht="15.75" customHeight="1" s="375"/>
    <row r="644" ht="15.75" customHeight="1" s="375"/>
    <row r="645" ht="15.75" customHeight="1" s="375"/>
    <row r="646" ht="15.75" customHeight="1" s="375"/>
    <row r="647" ht="15.75" customHeight="1" s="375"/>
    <row r="648" ht="15.75" customHeight="1" s="375"/>
    <row r="649" ht="15.75" customHeight="1" s="375"/>
    <row r="650" ht="15.75" customHeight="1" s="375"/>
    <row r="651" ht="15.75" customHeight="1" s="375"/>
    <row r="652" ht="15.75" customHeight="1" s="375"/>
    <row r="653" ht="15.75" customHeight="1" s="375"/>
    <row r="654" ht="15.75" customHeight="1" s="375"/>
    <row r="655" ht="15.75" customHeight="1" s="375"/>
    <row r="656" ht="15.75" customHeight="1" s="375"/>
    <row r="657" ht="15.75" customHeight="1" s="375"/>
    <row r="658" ht="15.75" customHeight="1" s="375"/>
    <row r="659" ht="15.75" customHeight="1" s="375"/>
    <row r="660" ht="15.75" customHeight="1" s="375"/>
    <row r="661" ht="15.75" customHeight="1" s="375"/>
    <row r="662" ht="15.75" customHeight="1" s="375"/>
    <row r="663" ht="15.75" customHeight="1" s="375"/>
    <row r="664" ht="15.75" customHeight="1" s="375"/>
    <row r="665" ht="15.75" customHeight="1" s="375"/>
    <row r="666" ht="15.75" customHeight="1" s="375"/>
    <row r="667" ht="15.75" customHeight="1" s="375"/>
    <row r="668" ht="15.75" customHeight="1" s="375"/>
    <row r="669" ht="15.75" customHeight="1" s="375"/>
    <row r="670" ht="15.75" customHeight="1" s="375"/>
    <row r="671" ht="15.75" customHeight="1" s="375"/>
    <row r="672" ht="15.75" customHeight="1" s="375"/>
    <row r="673" ht="15.75" customHeight="1" s="375"/>
    <row r="674" ht="15.75" customHeight="1" s="375"/>
    <row r="675" ht="15.75" customHeight="1" s="375"/>
    <row r="676" ht="15.75" customHeight="1" s="375"/>
    <row r="677" ht="15.75" customHeight="1" s="375"/>
    <row r="678" ht="15.75" customHeight="1" s="375"/>
    <row r="679" ht="15.75" customHeight="1" s="375"/>
    <row r="680" ht="15.75" customHeight="1" s="375"/>
    <row r="681" ht="15.75" customHeight="1" s="375"/>
    <row r="682" ht="15.75" customHeight="1" s="375"/>
    <row r="683" ht="15.75" customHeight="1" s="375"/>
    <row r="684" ht="15.75" customHeight="1" s="375"/>
    <row r="685" ht="15.75" customHeight="1" s="375"/>
    <row r="686" ht="15.75" customHeight="1" s="375"/>
    <row r="687" ht="15.75" customHeight="1" s="375"/>
    <row r="688" ht="15.75" customHeight="1" s="375"/>
    <row r="689" ht="15.75" customHeight="1" s="375"/>
    <row r="690" ht="15.75" customHeight="1" s="375"/>
    <row r="691" ht="15.75" customHeight="1" s="375"/>
    <row r="692" ht="15.75" customHeight="1" s="375"/>
    <row r="693" ht="15.75" customHeight="1" s="375"/>
    <row r="694" ht="15.75" customHeight="1" s="375"/>
    <row r="695" ht="15.75" customHeight="1" s="375"/>
    <row r="696" ht="15.75" customHeight="1" s="375"/>
    <row r="697" ht="15.75" customHeight="1" s="375"/>
    <row r="698" ht="15.75" customHeight="1" s="375"/>
    <row r="699" ht="15.75" customHeight="1" s="375"/>
    <row r="700" ht="15.75" customHeight="1" s="375"/>
    <row r="701" ht="15.75" customHeight="1" s="375"/>
    <row r="702" ht="15.75" customHeight="1" s="375"/>
    <row r="703" ht="15.75" customHeight="1" s="375"/>
    <row r="704" ht="15.75" customHeight="1" s="375"/>
    <row r="705" ht="15.75" customHeight="1" s="375"/>
    <row r="706" ht="15.75" customHeight="1" s="375"/>
    <row r="707" ht="15.75" customHeight="1" s="375"/>
    <row r="708" ht="15.75" customHeight="1" s="375"/>
    <row r="709" ht="15.75" customHeight="1" s="375"/>
    <row r="710" ht="15.75" customHeight="1" s="375"/>
    <row r="711" ht="15.75" customHeight="1" s="375"/>
    <row r="712" ht="15.75" customHeight="1" s="375"/>
    <row r="713" ht="15.75" customHeight="1" s="375"/>
    <row r="714" ht="15.75" customHeight="1" s="375"/>
    <row r="715" ht="15.75" customHeight="1" s="375"/>
    <row r="716" ht="15.75" customHeight="1" s="375"/>
    <row r="717" ht="15.75" customHeight="1" s="375"/>
    <row r="718" ht="15.75" customHeight="1" s="375"/>
    <row r="719" ht="15.75" customHeight="1" s="375"/>
    <row r="720" ht="15.75" customHeight="1" s="375"/>
    <row r="721" ht="15.75" customHeight="1" s="375"/>
    <row r="722" ht="15.75" customHeight="1" s="375"/>
    <row r="723" ht="15.75" customHeight="1" s="375"/>
    <row r="724" ht="15.75" customHeight="1" s="375"/>
    <row r="725" ht="15.75" customHeight="1" s="375"/>
    <row r="726" ht="15.75" customHeight="1" s="375"/>
    <row r="727" ht="15.75" customHeight="1" s="375"/>
    <row r="728" ht="15.75" customHeight="1" s="375"/>
    <row r="729" ht="15.75" customHeight="1" s="375"/>
    <row r="730" ht="15.75" customHeight="1" s="375"/>
    <row r="731" ht="15.75" customHeight="1" s="375"/>
    <row r="732" ht="15.75" customHeight="1" s="375"/>
    <row r="733" ht="15.75" customHeight="1" s="375"/>
    <row r="734" ht="15.75" customHeight="1" s="375"/>
    <row r="735" ht="15.75" customHeight="1" s="375"/>
    <row r="736" ht="15.75" customHeight="1" s="375"/>
    <row r="737" ht="15.75" customHeight="1" s="375"/>
    <row r="738" ht="15.75" customHeight="1" s="375"/>
    <row r="739" ht="15.75" customHeight="1" s="375"/>
    <row r="740" ht="15.75" customHeight="1" s="375"/>
    <row r="741" ht="15.75" customHeight="1" s="375"/>
    <row r="742" ht="15.75" customHeight="1" s="375"/>
    <row r="743" ht="15.75" customHeight="1" s="375"/>
    <row r="744" ht="15.75" customHeight="1" s="375"/>
    <row r="745" ht="15.75" customHeight="1" s="375"/>
    <row r="746" ht="15.75" customHeight="1" s="375"/>
    <row r="747" ht="15.75" customHeight="1" s="375"/>
    <row r="748" ht="15.75" customHeight="1" s="375"/>
    <row r="749" ht="15.75" customHeight="1" s="375"/>
    <row r="750" ht="15.75" customHeight="1" s="375"/>
    <row r="751" ht="15.75" customHeight="1" s="375"/>
    <row r="752" ht="15.75" customHeight="1" s="375"/>
    <row r="753" ht="15.75" customHeight="1" s="375"/>
    <row r="754" ht="15.75" customHeight="1" s="375"/>
    <row r="755" ht="15.75" customHeight="1" s="375"/>
    <row r="756" ht="15.75" customHeight="1" s="375"/>
    <row r="757" ht="15.75" customHeight="1" s="375"/>
    <row r="758" ht="15.75" customHeight="1" s="375"/>
    <row r="759" ht="15.75" customHeight="1" s="375"/>
    <row r="760" ht="15.75" customHeight="1" s="375"/>
    <row r="761" ht="15.75" customHeight="1" s="375"/>
    <row r="762" ht="15.75" customHeight="1" s="375"/>
    <row r="763" ht="15.75" customHeight="1" s="375"/>
    <row r="764" ht="15.75" customHeight="1" s="375"/>
    <row r="765" ht="15.75" customHeight="1" s="375"/>
    <row r="766" ht="15.75" customHeight="1" s="375"/>
    <row r="767" ht="15.75" customHeight="1" s="375"/>
    <row r="768" ht="15.75" customHeight="1" s="375"/>
    <row r="769" ht="15.75" customHeight="1" s="375"/>
    <row r="770" ht="15.75" customHeight="1" s="375"/>
    <row r="771" ht="15.75" customHeight="1" s="375"/>
    <row r="772" ht="15.75" customHeight="1" s="375"/>
    <row r="773" ht="15.75" customHeight="1" s="375"/>
    <row r="774" ht="15.75" customHeight="1" s="375"/>
    <row r="775" ht="15.75" customHeight="1" s="375"/>
    <row r="776" ht="15.75" customHeight="1" s="375"/>
    <row r="777" ht="15.75" customHeight="1" s="375"/>
    <row r="778" ht="15.75" customHeight="1" s="375"/>
    <row r="779" ht="15.75" customHeight="1" s="375"/>
    <row r="780" ht="15.75" customHeight="1" s="375"/>
    <row r="781" ht="15.75" customHeight="1" s="375"/>
    <row r="782" ht="15.75" customHeight="1" s="375"/>
    <row r="783" ht="15.75" customHeight="1" s="375"/>
    <row r="784" ht="15.75" customHeight="1" s="375"/>
    <row r="785" ht="15.75" customHeight="1" s="375"/>
    <row r="786" ht="15.75" customHeight="1" s="375"/>
    <row r="787" ht="15.75" customHeight="1" s="375"/>
    <row r="788" ht="15.75" customHeight="1" s="375"/>
    <row r="789" ht="15.75" customHeight="1" s="375"/>
    <row r="790" ht="15.75" customHeight="1" s="375"/>
    <row r="791" ht="15.75" customHeight="1" s="375"/>
    <row r="792" ht="15.75" customHeight="1" s="375"/>
    <row r="793" ht="15.75" customHeight="1" s="375"/>
    <row r="794" ht="15.75" customHeight="1" s="375"/>
    <row r="795" ht="15.75" customHeight="1" s="375"/>
    <row r="796" ht="15.75" customHeight="1" s="375"/>
    <row r="797" ht="15.75" customHeight="1" s="375"/>
    <row r="798" ht="15.75" customHeight="1" s="375"/>
    <row r="799" ht="15.75" customHeight="1" s="375"/>
    <row r="800" ht="15.75" customHeight="1" s="375"/>
    <row r="801" ht="15.75" customHeight="1" s="375"/>
    <row r="802" ht="15.75" customHeight="1" s="375"/>
    <row r="803" ht="15.75" customHeight="1" s="375"/>
    <row r="804" ht="15.75" customHeight="1" s="375"/>
    <row r="805" ht="15.75" customHeight="1" s="375"/>
    <row r="806" ht="15.75" customHeight="1" s="375"/>
    <row r="807" ht="15.75" customHeight="1" s="375"/>
    <row r="808" ht="15.75" customHeight="1" s="375"/>
    <row r="809" ht="15.75" customHeight="1" s="375"/>
    <row r="810" ht="15.75" customHeight="1" s="375"/>
    <row r="811" ht="15.75" customHeight="1" s="375"/>
    <row r="812" ht="15.75" customHeight="1" s="375"/>
    <row r="813" ht="15.75" customHeight="1" s="375"/>
    <row r="814" ht="15.75" customHeight="1" s="375"/>
    <row r="815" ht="15.75" customHeight="1" s="375"/>
    <row r="816" ht="15.75" customHeight="1" s="375"/>
    <row r="817" ht="15.75" customHeight="1" s="375"/>
    <row r="818" ht="15.75" customHeight="1" s="375"/>
    <row r="819" ht="15.75" customHeight="1" s="375"/>
    <row r="820" ht="15.75" customHeight="1" s="375"/>
    <row r="821" ht="15.75" customHeight="1" s="375"/>
    <row r="822" ht="15.75" customHeight="1" s="375"/>
    <row r="823" ht="15.75" customHeight="1" s="375"/>
    <row r="824" ht="15.75" customHeight="1" s="375"/>
    <row r="825" ht="15.75" customHeight="1" s="375"/>
    <row r="826" ht="15.75" customHeight="1" s="375"/>
    <row r="827" ht="15.75" customHeight="1" s="375"/>
    <row r="828" ht="15.75" customHeight="1" s="375"/>
    <row r="829" ht="15.75" customHeight="1" s="375"/>
    <row r="830" ht="15.75" customHeight="1" s="375"/>
    <row r="831" ht="15.75" customHeight="1" s="375"/>
    <row r="832" ht="15.75" customHeight="1" s="375"/>
    <row r="833" ht="15.75" customHeight="1" s="375"/>
    <row r="834" ht="15.75" customHeight="1" s="375"/>
    <row r="835" ht="15.75" customHeight="1" s="375"/>
    <row r="836" ht="15.75" customHeight="1" s="375"/>
    <row r="837" ht="15.75" customHeight="1" s="375"/>
    <row r="838" ht="15.75" customHeight="1" s="375"/>
    <row r="839" ht="15.75" customHeight="1" s="375"/>
    <row r="840" ht="15.75" customHeight="1" s="375"/>
    <row r="841" ht="15.75" customHeight="1" s="375"/>
    <row r="842" ht="15.75" customHeight="1" s="375"/>
    <row r="843" ht="15.75" customHeight="1" s="375"/>
    <row r="844" ht="15.75" customHeight="1" s="375"/>
    <row r="845" ht="15.75" customHeight="1" s="375"/>
    <row r="846" ht="15.75" customHeight="1" s="375"/>
    <row r="847" ht="15.75" customHeight="1" s="375"/>
    <row r="848" ht="15.75" customHeight="1" s="375"/>
    <row r="849" ht="15.75" customHeight="1" s="375"/>
    <row r="850" ht="15.75" customHeight="1" s="375"/>
    <row r="851" ht="15.75" customHeight="1" s="375"/>
    <row r="852" ht="15.75" customHeight="1" s="375"/>
    <row r="853" ht="15.75" customHeight="1" s="375"/>
    <row r="854" ht="15.75" customHeight="1" s="375"/>
    <row r="855" ht="15.75" customHeight="1" s="375"/>
    <row r="856" ht="15.75" customHeight="1" s="375"/>
    <row r="857" ht="15.75" customHeight="1" s="375"/>
    <row r="858" ht="15.75" customHeight="1" s="375"/>
    <row r="859" ht="15.75" customHeight="1" s="375"/>
    <row r="860" ht="15.75" customHeight="1" s="375"/>
    <row r="861" ht="15.75" customHeight="1" s="375"/>
    <row r="862" ht="15.75" customHeight="1" s="375"/>
    <row r="863" ht="15.75" customHeight="1" s="375"/>
    <row r="864" ht="15.75" customHeight="1" s="375"/>
    <row r="865" ht="15.75" customHeight="1" s="375"/>
    <row r="866" ht="15.75" customHeight="1" s="375"/>
    <row r="867" ht="15.75" customHeight="1" s="375"/>
    <row r="868" ht="15.75" customHeight="1" s="375"/>
    <row r="869" ht="15.75" customHeight="1" s="375"/>
    <row r="870" ht="15.75" customHeight="1" s="375"/>
    <row r="871" ht="15.75" customHeight="1" s="375"/>
    <row r="872" ht="15.75" customHeight="1" s="375"/>
    <row r="873" ht="15.75" customHeight="1" s="375"/>
    <row r="874" ht="15.75" customHeight="1" s="375"/>
    <row r="875" ht="15.75" customHeight="1" s="375"/>
    <row r="876" ht="15.75" customHeight="1" s="375"/>
    <row r="877" ht="15.75" customHeight="1" s="375"/>
    <row r="878" ht="15.75" customHeight="1" s="375"/>
    <row r="879" ht="15.75" customHeight="1" s="375"/>
    <row r="880" ht="15.75" customHeight="1" s="375"/>
    <row r="881" ht="15.75" customHeight="1" s="375"/>
    <row r="882" ht="15.75" customHeight="1" s="375"/>
    <row r="883" ht="15.75" customHeight="1" s="375"/>
    <row r="884" ht="15.75" customHeight="1" s="375"/>
    <row r="885" ht="15.75" customHeight="1" s="375"/>
    <row r="886" ht="15.75" customHeight="1" s="375"/>
    <row r="887" ht="15.75" customHeight="1" s="375"/>
    <row r="888" ht="15.75" customHeight="1" s="375"/>
    <row r="889" ht="15.75" customHeight="1" s="375"/>
    <row r="890" ht="15.75" customHeight="1" s="375"/>
    <row r="891" ht="15.75" customHeight="1" s="375"/>
    <row r="892" ht="15.75" customHeight="1" s="375"/>
    <row r="893" ht="15.75" customHeight="1" s="375"/>
    <row r="894" ht="15.75" customHeight="1" s="375"/>
    <row r="895" ht="15.75" customHeight="1" s="375"/>
    <row r="896" ht="15.75" customHeight="1" s="375"/>
    <row r="897" ht="15.75" customHeight="1" s="375"/>
    <row r="898" ht="15.75" customHeight="1" s="375"/>
    <row r="899" ht="15.75" customHeight="1" s="375"/>
    <row r="900" ht="15.75" customHeight="1" s="375"/>
    <row r="901" ht="15.75" customHeight="1" s="375"/>
    <row r="902" ht="15.75" customHeight="1" s="375"/>
    <row r="903" ht="15.75" customHeight="1" s="375"/>
    <row r="904" ht="15.75" customHeight="1" s="375"/>
    <row r="905" ht="15.75" customHeight="1" s="375"/>
    <row r="906" ht="15.75" customHeight="1" s="375"/>
    <row r="907" ht="15.75" customHeight="1" s="375"/>
    <row r="908" ht="15.75" customHeight="1" s="375"/>
    <row r="909" ht="15.75" customHeight="1" s="375"/>
    <row r="910" ht="15.75" customHeight="1" s="375"/>
    <row r="911" ht="15.75" customHeight="1" s="375"/>
    <row r="912" ht="15.75" customHeight="1" s="375"/>
    <row r="913" ht="15.75" customHeight="1" s="375"/>
    <row r="914" ht="15.75" customHeight="1" s="375"/>
    <row r="915" ht="15.75" customHeight="1" s="375"/>
    <row r="916" ht="15.75" customHeight="1" s="375"/>
    <row r="917" ht="15.75" customHeight="1" s="375"/>
    <row r="918" ht="15.75" customHeight="1" s="375"/>
    <row r="919" ht="15.75" customHeight="1" s="375"/>
    <row r="920" ht="15.75" customHeight="1" s="375"/>
    <row r="921" ht="15.75" customHeight="1" s="375"/>
    <row r="922" ht="15.75" customHeight="1" s="375"/>
    <row r="923" ht="15.75" customHeight="1" s="375"/>
    <row r="924" ht="15.75" customHeight="1" s="375"/>
    <row r="925" ht="15.75" customHeight="1" s="375"/>
    <row r="926" ht="15.75" customHeight="1" s="375"/>
    <row r="927" ht="15.75" customHeight="1" s="375"/>
    <row r="928" ht="15.75" customHeight="1" s="375"/>
    <row r="929" ht="15.75" customHeight="1" s="375"/>
    <row r="930" ht="15.75" customHeight="1" s="375"/>
    <row r="931" ht="15.75" customHeight="1" s="375"/>
    <row r="932" ht="15.75" customHeight="1" s="375"/>
    <row r="933" ht="15.75" customHeight="1" s="375"/>
    <row r="934" ht="15.75" customHeight="1" s="375"/>
    <row r="935" ht="15.75" customHeight="1" s="375"/>
    <row r="936" ht="15.75" customHeight="1" s="375"/>
    <row r="937" ht="15.75" customHeight="1" s="375"/>
    <row r="938" ht="15.75" customHeight="1" s="375"/>
    <row r="939" ht="15.75" customHeight="1" s="375"/>
    <row r="940" ht="15.75" customHeight="1" s="375"/>
    <row r="941" ht="15.75" customHeight="1" s="375"/>
    <row r="942" ht="15.75" customHeight="1" s="375"/>
    <row r="943" ht="15.75" customHeight="1" s="375"/>
    <row r="944" ht="15.75" customHeight="1" s="375"/>
    <row r="945" ht="15.75" customHeight="1" s="375"/>
    <row r="946" ht="15.75" customHeight="1" s="375"/>
    <row r="947" ht="15.75" customHeight="1" s="375"/>
    <row r="948" ht="15.75" customHeight="1" s="375"/>
    <row r="949" ht="15.75" customHeight="1" s="375"/>
    <row r="950" ht="15.75" customHeight="1" s="375"/>
    <row r="951" ht="15.75" customHeight="1" s="375"/>
    <row r="952" ht="15.75" customHeight="1" s="375"/>
    <row r="953" ht="15.75" customHeight="1" s="375"/>
    <row r="954" ht="15.75" customHeight="1" s="375"/>
    <row r="955" ht="15.75" customHeight="1" s="375"/>
    <row r="956" ht="15.75" customHeight="1" s="375"/>
    <row r="957" ht="15.75" customHeight="1" s="375"/>
    <row r="958" ht="15.75" customHeight="1" s="375"/>
    <row r="959" ht="15.75" customHeight="1" s="375"/>
    <row r="960" ht="15.75" customHeight="1" s="375"/>
    <row r="961" ht="15.75" customHeight="1" s="375"/>
    <row r="962" ht="15.75" customHeight="1" s="375"/>
    <row r="963" ht="15.75" customHeight="1" s="375"/>
    <row r="964" ht="15.75" customHeight="1" s="375"/>
    <row r="965" ht="15.75" customHeight="1" s="375"/>
    <row r="966" ht="15.75" customHeight="1" s="375"/>
    <row r="967" ht="15.75" customHeight="1" s="375"/>
    <row r="968" ht="15.75" customHeight="1" s="375"/>
    <row r="969" ht="15.75" customHeight="1" s="375"/>
    <row r="970" ht="15.75" customHeight="1" s="375"/>
    <row r="971" ht="15.75" customHeight="1" s="375"/>
    <row r="972" ht="15.75" customHeight="1" s="375"/>
    <row r="973" ht="15.75" customHeight="1" s="375"/>
    <row r="974" ht="15.75" customHeight="1" s="375"/>
    <row r="975" ht="15.75" customHeight="1" s="375"/>
    <row r="976" ht="15.75" customHeight="1" s="375"/>
    <row r="977" ht="15.75" customHeight="1" s="375"/>
    <row r="978" ht="15.75" customHeight="1" s="375"/>
    <row r="979" ht="15.75" customHeight="1" s="375"/>
    <row r="980" ht="15.75" customHeight="1" s="375"/>
    <row r="981" ht="15.75" customHeight="1" s="375"/>
    <row r="982" ht="15.75" customHeight="1" s="375"/>
    <row r="983" ht="15.75" customHeight="1" s="375"/>
    <row r="984" ht="15.75" customHeight="1" s="375"/>
    <row r="985" ht="15.75" customHeight="1" s="375"/>
    <row r="986" ht="15.75" customHeight="1" s="375"/>
    <row r="987" ht="15.75" customHeight="1" s="375"/>
    <row r="988" ht="15.75" customHeight="1" s="375"/>
    <row r="989" ht="15.75" customHeight="1" s="375"/>
    <row r="990" ht="15.75" customHeight="1" s="375"/>
    <row r="991" ht="15.75" customHeight="1" s="375"/>
    <row r="992" ht="15.75" customHeight="1" s="375"/>
    <row r="993" ht="15.75" customHeight="1" s="375"/>
    <row r="994" ht="15.75" customHeight="1" s="375"/>
    <row r="995" ht="15.75" customHeight="1" s="375"/>
    <row r="996" ht="15.75" customHeight="1" s="375"/>
    <row r="997" ht="15.75" customHeight="1" s="375"/>
    <row r="998" ht="15.75" customHeight="1" s="375"/>
    <row r="999" ht="15.75" customHeight="1" s="375"/>
    <row r="1000" ht="15.75" customHeight="1" s="375"/>
    <row r="1001" ht="15.75" customHeight="1" s="375"/>
  </sheetData>
  <mergeCells count="18">
    <mergeCell ref="C14:I14"/>
    <mergeCell ref="C6:D6"/>
    <mergeCell ref="J5:U5"/>
    <mergeCell ref="J6:U6"/>
    <mergeCell ref="C2:D2"/>
    <mergeCell ref="C7:D7"/>
    <mergeCell ref="J7:U7"/>
    <mergeCell ref="C10:D10"/>
    <mergeCell ref="J2:U3"/>
    <mergeCell ref="J10:U10"/>
    <mergeCell ref="C5:D5"/>
    <mergeCell ref="C3:D3"/>
    <mergeCell ref="C8:D8"/>
    <mergeCell ref="C9:D9"/>
    <mergeCell ref="J8:U8"/>
    <mergeCell ref="J4:U4"/>
    <mergeCell ref="J9:U9"/>
    <mergeCell ref="C4:D4"/>
  </mergeCells>
  <printOptions horizontalCentered="1" verticalCentered="0" headings="0" gridLines="1" gridLinesSet="1"/>
  <pageMargins left="0.7" right="0.7" top="0.75" bottom="0.75" header="0.511811023622047" footer="0.511811023622047"/>
  <pageSetup orientation="landscape" paperSize="9" scale="100" fitToHeight="0" fitToWidth="1" pageOrder="overThenDown" blackAndWhite="0" draft="0" horizontalDpi="300" verticalDpi="300" copies="1"/>
</worksheet>
</file>

<file path=xl/worksheets/sheet2.xml><?xml version="1.0" encoding="utf-8"?>
<worksheet xmlns="http://schemas.openxmlformats.org/spreadsheetml/2006/main">
  <sheetPr filterMode="0">
    <tabColor rgb="FFFF0000"/>
    <outlinePr summaryBelow="1" summaryRight="1"/>
    <pageSetUpPr fitToPage="0"/>
  </sheetPr>
  <dimension ref="A1:AB5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38.13" customWidth="1" style="374" min="4" max="4"/>
    <col width="15.88" customWidth="1" style="374" min="7" max="7"/>
    <col width="19.13" customWidth="1" style="374" min="10" max="12"/>
    <col width="22.13" customWidth="1" style="374" min="13" max="13"/>
    <col width="15.13" customWidth="1" style="374" min="14" max="15"/>
  </cols>
  <sheetData>
    <row r="1" ht="15.75" customHeight="1" s="375">
      <c r="A1" s="545" t="inlineStr">
        <is>
          <t>Investor, team and advisor breakdown. Investor-room copy: individual wallet addresses are held in tier 2.</t>
        </is>
      </c>
      <c r="B1" s="546" t="n"/>
      <c r="C1" s="546" t="n"/>
      <c r="D1" s="546" t="n"/>
      <c r="E1" s="546" t="n"/>
      <c r="F1" s="547" t="n"/>
      <c r="G1" s="546" t="n"/>
      <c r="H1" s="374" t="n"/>
      <c r="I1" s="374" t="n"/>
      <c r="J1" s="374" t="n"/>
      <c r="K1" s="374" t="n"/>
      <c r="L1" s="374" t="n"/>
      <c r="M1" s="374" t="n"/>
      <c r="N1" s="374" t="n"/>
      <c r="O1" s="374" t="n"/>
    </row>
    <row r="2" ht="15.75" customHeight="1" s="375">
      <c r="A2" s="548" t="n"/>
      <c r="B2" s="546" t="n"/>
      <c r="C2" s="546" t="n"/>
      <c r="D2" s="546" t="n"/>
      <c r="E2" s="546" t="n"/>
      <c r="F2" s="547" t="n"/>
      <c r="G2" s="546" t="n"/>
      <c r="H2" s="374" t="n"/>
      <c r="I2" s="374" t="n"/>
      <c r="J2" s="374" t="n"/>
      <c r="K2" s="374" t="n"/>
      <c r="L2" s="374" t="n"/>
      <c r="M2" s="374" t="n"/>
      <c r="N2" s="374" t="n"/>
      <c r="O2" s="374" t="n"/>
    </row>
    <row r="3" ht="15.75" customHeight="1" s="375">
      <c r="A3" s="549" t="n"/>
      <c r="B3" s="546" t="n"/>
      <c r="C3" s="546" t="n"/>
      <c r="D3" s="546" t="n"/>
      <c r="E3" s="546" t="n"/>
      <c r="F3" s="547" t="n"/>
      <c r="G3" s="546" t="n"/>
      <c r="H3" s="374" t="n"/>
      <c r="I3" s="374" t="n"/>
      <c r="J3" s="545" t="n"/>
      <c r="K3" s="545" t="n"/>
      <c r="L3" s="545" t="n"/>
      <c r="M3" s="374" t="n"/>
      <c r="N3" s="550" t="n"/>
      <c r="O3" s="374" t="n"/>
    </row>
    <row r="4" ht="15.75" customHeight="1" s="375">
      <c r="A4" s="549" t="n"/>
      <c r="B4" s="546" t="n"/>
      <c r="C4" s="546" t="n"/>
      <c r="D4" s="546" t="n"/>
      <c r="E4" s="546" t="n"/>
      <c r="F4" s="547" t="n"/>
      <c r="G4" s="546" t="n"/>
      <c r="H4" s="374" t="n"/>
      <c r="I4" s="374" t="n"/>
      <c r="J4" s="545" t="n"/>
      <c r="K4" s="545" t="n"/>
      <c r="L4" s="551" t="n"/>
      <c r="M4" s="374" t="n"/>
      <c r="N4" s="550" t="n"/>
      <c r="O4" s="374" t="n"/>
    </row>
    <row r="5" ht="15.75" customHeight="1" s="375">
      <c r="A5" s="552" t="n"/>
      <c r="B5" s="546" t="n"/>
      <c r="C5" s="546" t="n"/>
      <c r="D5" s="546" t="n"/>
      <c r="E5" s="546" t="n"/>
      <c r="F5" s="547" t="n"/>
      <c r="G5" s="546" t="n"/>
      <c r="H5" s="374" t="n"/>
      <c r="I5" s="374" t="n"/>
      <c r="J5" s="545" t="n"/>
      <c r="K5" s="545" t="n"/>
      <c r="L5" s="545" t="n"/>
      <c r="M5" s="374" t="n"/>
      <c r="N5" s="550" t="n"/>
      <c r="O5" s="374" t="n"/>
    </row>
    <row r="6" ht="15.75" customHeight="1" s="375">
      <c r="A6" s="545" t="inlineStr">
        <is>
          <t>Investor/Insiders breakdown (full cap table) -- add rows if necessary</t>
        </is>
      </c>
      <c r="B6" s="546" t="n"/>
      <c r="C6" s="546" t="n"/>
      <c r="D6" s="546" t="n"/>
      <c r="E6" s="546" t="n"/>
      <c r="F6" s="547" t="n"/>
      <c r="G6" s="546" t="n"/>
      <c r="H6" s="374" t="n"/>
      <c r="I6" s="374" t="n"/>
      <c r="J6" s="545" t="n"/>
      <c r="K6" s="545" t="n"/>
      <c r="L6" s="545" t="inlineStr">
        <is>
          <t>Top 10 investors (excluding team)</t>
        </is>
      </c>
      <c r="M6" s="374" t="n"/>
      <c r="N6" s="550" t="inlineStr">
        <is>
          <t>Divide by the current circulating supply in Token Release Schedule tab</t>
        </is>
      </c>
      <c r="O6" s="374" t="n"/>
    </row>
    <row r="7" ht="54.75" customHeight="1" s="375">
      <c r="A7" s="553" t="inlineStr">
        <is>
          <t>Date</t>
        </is>
      </c>
      <c r="B7" s="554" t="inlineStr">
        <is>
          <t>Investment Round</t>
        </is>
      </c>
      <c r="C7" s="554" t="inlineStr">
        <is>
          <t>Cost per token</t>
        </is>
      </c>
      <c r="D7" s="554" t="inlineStr">
        <is>
          <t>Investor</t>
        </is>
      </c>
      <c r="E7" s="554" t="inlineStr">
        <is>
          <t>No. of Tokens Issued</t>
        </is>
      </c>
      <c r="F7" s="554" t="inlineStr">
        <is>
          <t>Allocation %</t>
        </is>
      </c>
      <c r="G7" s="554" t="inlineStr">
        <is>
          <t>ETH/BNB/USDT Contribution Address</t>
        </is>
      </c>
      <c r="H7" s="553" t="inlineStr">
        <is>
          <t>FDV</t>
        </is>
      </c>
      <c r="I7" s="553" t="inlineStr">
        <is>
          <t>Amount Raised</t>
        </is>
      </c>
      <c r="J7" s="554" t="inlineStr">
        <is>
          <t>Token Receiving Address</t>
        </is>
      </c>
      <c r="K7" s="555" t="n"/>
      <c r="L7" s="556" t="inlineStr">
        <is>
          <t>Wallet Identity</t>
        </is>
      </c>
      <c r="M7" s="556" t="inlineStr">
        <is>
          <t>Wallet Address</t>
        </is>
      </c>
      <c r="N7" s="556" t="inlineStr">
        <is>
          <t xml:space="preserve">
% of circulating supply</t>
        </is>
      </c>
      <c r="O7" s="556" t="inlineStr">
        <is>
          <t xml:space="preserve">
% of total supply </t>
        </is>
      </c>
      <c r="P7" s="554" t="inlineStr">
        <is>
          <t>Token Receiving Address</t>
        </is>
      </c>
      <c r="Q7" s="557" t="n"/>
      <c r="R7" s="557" t="n"/>
      <c r="S7" s="557" t="n"/>
      <c r="T7" s="557" t="n"/>
      <c r="U7" s="557" t="n"/>
      <c r="V7" s="557" t="n"/>
      <c r="W7" s="557" t="n"/>
      <c r="X7" s="557" t="n"/>
      <c r="Y7" s="557" t="n"/>
      <c r="Z7" s="557" t="n"/>
      <c r="AA7" s="557" t="n"/>
      <c r="AB7" s="557" t="n"/>
    </row>
    <row r="8" ht="15.75" customHeight="1" s="375">
      <c r="A8" s="558" t="n"/>
      <c r="B8" s="559" t="inlineStr">
        <is>
          <t>Equity</t>
        </is>
      </c>
      <c r="C8" s="560" t="inlineStr">
        <is>
          <t>n/a</t>
        </is>
      </c>
      <c r="D8" s="561" t="inlineStr">
        <is>
          <t>Investor 0 - Brandon Torres Declet - Equity</t>
        </is>
      </c>
      <c r="E8" s="562" t="inlineStr">
        <is>
          <t>n/a</t>
        </is>
      </c>
      <c r="F8" s="559" t="inlineStr">
        <is>
          <t>n/a</t>
        </is>
      </c>
      <c r="G8" s="559" t="inlineStr">
        <is>
          <t>n/a</t>
        </is>
      </c>
      <c r="H8" s="563" t="inlineStr">
        <is>
          <t>n/a</t>
        </is>
      </c>
      <c r="I8" s="563" t="n">
        <v>2000000</v>
      </c>
      <c r="J8" s="559" t="inlineStr">
        <is>
          <t>n/a</t>
        </is>
      </c>
      <c r="K8" s="564" t="n"/>
      <c r="L8" s="565" t="n"/>
      <c r="M8" s="566" t="n"/>
      <c r="N8" s="567" t="n"/>
      <c r="O8" s="568" t="n"/>
      <c r="P8" s="569" t="n"/>
      <c r="Q8" s="557" t="n"/>
      <c r="R8" s="557" t="n"/>
      <c r="S8" s="557" t="n"/>
      <c r="T8" s="557" t="n"/>
      <c r="U8" s="557" t="n"/>
      <c r="V8" s="557" t="n"/>
      <c r="W8" s="557" t="n"/>
      <c r="X8" s="557" t="n"/>
      <c r="Y8" s="557" t="n"/>
      <c r="Z8" s="557" t="n"/>
      <c r="AA8" s="557" t="n"/>
      <c r="AB8" s="557" t="n"/>
    </row>
    <row r="9" ht="15.75" customHeight="1" s="375">
      <c r="A9" s="570" t="n"/>
      <c r="B9" s="569" t="inlineStr">
        <is>
          <t>Pre-Seed</t>
        </is>
      </c>
      <c r="C9" s="571" t="n">
        <v>0.0967923486375</v>
      </c>
      <c r="D9" s="550" t="inlineStr">
        <is>
          <t>Investor 1 - Brandon Torres Declet - Pre Seed Investor</t>
        </is>
      </c>
      <c r="E9" s="572" t="n">
        <v>10331395.2660156</v>
      </c>
      <c r="F9" s="569" t="n">
        <v>0.0103313952660156</v>
      </c>
      <c r="G9" s="569" t="inlineStr">
        <is>
          <t>N/A</t>
        </is>
      </c>
      <c r="H9" s="573">
        <f>C9*'Token Release Schedule'!$C$9</f>
        <v>96792348.6375</v>
      </c>
      <c r="I9" s="573">
        <f>C9*E9</f>
        <v>1000000.012499999</v>
      </c>
      <c r="J9" s="569" t="inlineStr">
        <is>
          <t>Held in tier 2</t>
        </is>
      </c>
      <c r="K9" s="564" t="n"/>
      <c r="L9" s="565" t="n"/>
      <c r="M9" s="566" t="n"/>
      <c r="N9" s="567" t="n"/>
      <c r="O9" s="568" t="n"/>
      <c r="P9" s="569" t="n"/>
      <c r="Q9" s="557" t="n"/>
      <c r="R9" s="557" t="n"/>
      <c r="S9" s="557" t="n"/>
      <c r="T9" s="557" t="n"/>
      <c r="U9" s="557" t="n"/>
      <c r="V9" s="557" t="n"/>
      <c r="W9" s="557" t="n"/>
      <c r="X9" s="557" t="n"/>
      <c r="Y9" s="557" t="n"/>
      <c r="Z9" s="557" t="n"/>
      <c r="AA9" s="557" t="n"/>
      <c r="AB9" s="557" t="n"/>
    </row>
    <row r="10" ht="15.75" customHeight="1" s="375">
      <c r="A10" s="570" t="inlineStr">
        <is>
          <t>18/12/2025</t>
        </is>
      </c>
      <c r="B10" s="569" t="inlineStr">
        <is>
          <t>Seed</t>
        </is>
      </c>
      <c r="C10" s="571" t="n">
        <v>0.1716450982505</v>
      </c>
      <c r="D10" s="550" t="inlineStr">
        <is>
          <t>Investor 2 - LD Capital - Seed Investor</t>
        </is>
      </c>
      <c r="E10" s="574" t="n">
        <v>27309256.4103347</v>
      </c>
      <c r="F10" s="569" t="n">
        <v>0.0273092564103347</v>
      </c>
      <c r="G10" s="569" t="inlineStr">
        <is>
          <t>N/A</t>
        </is>
      </c>
      <c r="H10" s="573">
        <f>C10*'Token Release Schedule'!$C$9</f>
        <v>171645098.2505</v>
      </c>
      <c r="I10" s="573">
        <f>C10*E10</f>
        <v>4687499.999699997</v>
      </c>
      <c r="J10" s="569" t="inlineStr">
        <is>
          <t>Held in tier 2</t>
        </is>
      </c>
      <c r="K10" s="555" t="n"/>
      <c r="L10" s="575" t="n"/>
      <c r="M10" s="565" t="n"/>
      <c r="N10" s="565" t="n"/>
      <c r="O10" s="542" t="n"/>
      <c r="P10" s="569" t="n"/>
      <c r="Q10" s="557" t="n"/>
      <c r="R10" s="557" t="n"/>
      <c r="S10" s="557" t="n"/>
      <c r="T10" s="557" t="n"/>
      <c r="U10" s="557" t="n"/>
      <c r="V10" s="557" t="n"/>
      <c r="W10" s="557" t="n"/>
      <c r="X10" s="557" t="n"/>
      <c r="Y10" s="557" t="n"/>
      <c r="Z10" s="557" t="n"/>
      <c r="AA10" s="557" t="n"/>
      <c r="AB10" s="557" t="n"/>
    </row>
    <row r="11" ht="15.75" customHeight="1" s="375">
      <c r="A11" s="570" t="inlineStr">
        <is>
          <t>13/12/2025</t>
        </is>
      </c>
      <c r="B11" s="569" t="inlineStr">
        <is>
          <t>Seed</t>
        </is>
      </c>
      <c r="C11" s="571" t="n">
        <v>0.1716450982505</v>
      </c>
      <c r="D11" s="550" t="inlineStr">
        <is>
          <t>Investor 3 - Cogitent - Seed Investor</t>
        </is>
      </c>
      <c r="E11" s="569" t="n">
        <v>16385553.8462008</v>
      </c>
      <c r="F11" s="569" t="n">
        <v>0.0163855538462008</v>
      </c>
      <c r="G11" s="569" t="inlineStr">
        <is>
          <t>N/A</t>
        </is>
      </c>
      <c r="H11" s="573">
        <f>C11*'Token Release Schedule'!$C$9</f>
        <v>171645098.2505</v>
      </c>
      <c r="I11" s="573">
        <f>C11*E11</f>
        <v>2812499.9998199944</v>
      </c>
      <c r="J11" s="569" t="inlineStr">
        <is>
          <t>Held in tier 2</t>
        </is>
      </c>
      <c r="K11" s="555" t="n"/>
      <c r="L11" s="576" t="n"/>
      <c r="M11" s="565" t="n"/>
      <c r="N11" s="565" t="n"/>
      <c r="O11" s="542" t="n"/>
      <c r="P11" s="569" t="n"/>
      <c r="Q11" s="557" t="n"/>
      <c r="R11" s="557" t="n"/>
      <c r="S11" s="557" t="n"/>
      <c r="T11" s="557" t="n"/>
      <c r="U11" s="557" t="n"/>
      <c r="V11" s="557" t="n"/>
      <c r="W11" s="557" t="n"/>
      <c r="X11" s="557" t="n"/>
      <c r="Y11" s="557" t="n"/>
      <c r="Z11" s="557" t="n"/>
      <c r="AA11" s="557" t="n"/>
      <c r="AB11" s="557" t="n"/>
    </row>
    <row r="12" ht="15.75" customHeight="1" s="375">
      <c r="A12" s="570" t="inlineStr">
        <is>
          <t>19/12/2025</t>
        </is>
      </c>
      <c r="B12" s="569" t="inlineStr">
        <is>
          <t>Seed</t>
        </is>
      </c>
      <c r="C12" s="571" t="n">
        <v>0.1716450982505</v>
      </c>
      <c r="D12" s="550" t="inlineStr">
        <is>
          <t>Investor 4 - Leland - Seed Investor</t>
        </is>
      </c>
      <c r="E12" s="569" t="n">
        <v>10923702.5641339</v>
      </c>
      <c r="F12" s="569" t="n">
        <v>0.0109237025641339</v>
      </c>
      <c r="G12" s="569" t="inlineStr">
        <is>
          <t>N/A</t>
        </is>
      </c>
      <c r="H12" s="573">
        <f>C12*'Token Release Schedule'!$C$9</f>
        <v>171645098.2505</v>
      </c>
      <c r="I12" s="573">
        <f>C12*E12</f>
        <v>1874999.9998800019</v>
      </c>
      <c r="J12" s="569" t="inlineStr">
        <is>
          <t>Held in tier 2</t>
        </is>
      </c>
      <c r="K12" s="555" t="n"/>
      <c r="L12" s="575" t="n"/>
      <c r="M12" s="565" t="n"/>
      <c r="N12" s="565" t="n"/>
      <c r="O12" s="542" t="n"/>
      <c r="P12" s="569" t="n"/>
      <c r="Q12" s="557" t="n"/>
      <c r="R12" s="557" t="n"/>
      <c r="S12" s="557" t="n"/>
      <c r="T12" s="557" t="n"/>
      <c r="U12" s="557" t="n"/>
      <c r="V12" s="557" t="n"/>
      <c r="W12" s="557" t="n"/>
      <c r="X12" s="557" t="n"/>
      <c r="Y12" s="557" t="n"/>
      <c r="Z12" s="557" t="n"/>
      <c r="AA12" s="557" t="n"/>
      <c r="AB12" s="557" t="n"/>
    </row>
    <row r="13" ht="15.75" customHeight="1" s="375">
      <c r="A13" s="570" t="inlineStr">
        <is>
          <t>13/12/2025</t>
        </is>
      </c>
      <c r="B13" s="569" t="inlineStr">
        <is>
          <t>Seed</t>
        </is>
      </c>
      <c r="C13" s="571" t="n">
        <v>0.1716450982505</v>
      </c>
      <c r="D13" s="550" t="inlineStr">
        <is>
          <t>Investor 5 - M77 - Seed Investor</t>
        </is>
      </c>
      <c r="E13" s="569" t="n">
        <v>10923702.5641339</v>
      </c>
      <c r="F13" s="569" t="n">
        <v>0.0109237025641339</v>
      </c>
      <c r="G13" s="569" t="inlineStr">
        <is>
          <t>N/A</t>
        </is>
      </c>
      <c r="H13" s="573">
        <f>C13*'Token Release Schedule'!$C$9</f>
        <v>171645098.2505</v>
      </c>
      <c r="I13" s="573">
        <f>C13*E13</f>
        <v>1874999.9998800019</v>
      </c>
      <c r="J13" s="569" t="inlineStr">
        <is>
          <t>Held in tier 2</t>
        </is>
      </c>
      <c r="K13" s="555" t="n"/>
      <c r="L13" s="576" t="n"/>
      <c r="M13" s="565" t="n"/>
      <c r="N13" s="565" t="n"/>
      <c r="O13" s="542" t="n"/>
      <c r="P13" s="569" t="n"/>
      <c r="Q13" s="557" t="n"/>
      <c r="R13" s="557" t="n"/>
      <c r="S13" s="557" t="n"/>
      <c r="T13" s="557" t="n"/>
      <c r="U13" s="557" t="n"/>
      <c r="V13" s="557" t="n"/>
      <c r="W13" s="557" t="n"/>
      <c r="X13" s="557" t="n"/>
      <c r="Y13" s="557" t="n"/>
      <c r="Z13" s="557" t="n"/>
      <c r="AA13" s="557" t="n"/>
      <c r="AB13" s="557" t="n"/>
    </row>
    <row r="14" ht="15.75" customHeight="1" s="375">
      <c r="A14" s="577" t="n">
        <v>46174</v>
      </c>
      <c r="B14" s="569" t="inlineStr">
        <is>
          <t>Seed</t>
        </is>
      </c>
      <c r="C14" s="571" t="n">
        <v>0.1716450982505</v>
      </c>
      <c r="D14" s="550" t="inlineStr">
        <is>
          <t>Investor 6 - Block Maven - Seed Investor</t>
        </is>
      </c>
      <c r="E14" s="569" t="n">
        <v>10923702.5641339</v>
      </c>
      <c r="F14" s="569" t="n">
        <v>0.0109237025641339</v>
      </c>
      <c r="G14" s="569" t="inlineStr">
        <is>
          <t>N/A</t>
        </is>
      </c>
      <c r="H14" s="573">
        <f>C14*'Token Release Schedule'!$C$9</f>
        <v>171645098.2505</v>
      </c>
      <c r="I14" s="573">
        <f>C14*E14</f>
        <v>1874999.9998800019</v>
      </c>
      <c r="J14" s="569" t="inlineStr">
        <is>
          <t>Held in tier 2</t>
        </is>
      </c>
      <c r="K14" s="555" t="n"/>
      <c r="L14" s="565" t="n"/>
      <c r="M14" s="565" t="n"/>
      <c r="N14" s="565" t="n"/>
      <c r="O14" s="542" t="n"/>
      <c r="P14" s="569" t="n"/>
      <c r="Q14" s="557" t="n"/>
      <c r="R14" s="557" t="n"/>
      <c r="S14" s="557" t="n"/>
      <c r="T14" s="557" t="n"/>
      <c r="U14" s="557" t="n"/>
      <c r="V14" s="557" t="n"/>
      <c r="W14" s="557" t="n"/>
      <c r="X14" s="557" t="n"/>
      <c r="Y14" s="557" t="n"/>
      <c r="Z14" s="557" t="n"/>
      <c r="AA14" s="557" t="n"/>
      <c r="AB14" s="557" t="n"/>
    </row>
    <row r="15" ht="15.75" customHeight="1" s="375">
      <c r="A15" s="570" t="inlineStr">
        <is>
          <t>13/12/2025</t>
        </is>
      </c>
      <c r="B15" s="569" t="inlineStr">
        <is>
          <t>Seed</t>
        </is>
      </c>
      <c r="C15" s="571" t="n">
        <v>0.1716450982505</v>
      </c>
      <c r="D15" s="550" t="inlineStr">
        <is>
          <t>Investor 7 - Covey - Seed Investor</t>
        </is>
      </c>
      <c r="E15" s="569" t="n">
        <v>10923702.5641339</v>
      </c>
      <c r="F15" s="569" t="n">
        <v>0.0109237025641339</v>
      </c>
      <c r="G15" s="569" t="inlineStr">
        <is>
          <t>N/A</t>
        </is>
      </c>
      <c r="H15" s="563">
        <f>C15*'Token Release Schedule'!$C$9</f>
        <v>171645098.2505</v>
      </c>
      <c r="I15" s="573">
        <f>C15*E15</f>
        <v>1874999.9998800019</v>
      </c>
      <c r="J15" s="569" t="inlineStr">
        <is>
          <t>Held in tier 2</t>
        </is>
      </c>
      <c r="K15" s="555" t="n"/>
      <c r="L15" s="565" t="n"/>
      <c r="M15" s="565" t="n"/>
      <c r="N15" s="565" t="n"/>
      <c r="O15" s="542" t="n"/>
      <c r="P15" s="569" t="n"/>
      <c r="Q15" s="557" t="n"/>
      <c r="R15" s="557" t="n"/>
      <c r="S15" s="557" t="n"/>
      <c r="T15" s="557" t="n"/>
      <c r="U15" s="557" t="n"/>
      <c r="V15" s="557" t="n"/>
      <c r="W15" s="557" t="n"/>
      <c r="X15" s="557" t="n"/>
      <c r="Y15" s="557" t="n"/>
      <c r="Z15" s="557" t="n"/>
      <c r="AA15" s="557" t="n"/>
      <c r="AB15" s="557" t="n"/>
    </row>
    <row r="16" ht="15.75" customHeight="1" s="375">
      <c r="A16" s="570" t="n"/>
      <c r="B16" s="569" t="inlineStr">
        <is>
          <t>Seed</t>
        </is>
      </c>
      <c r="C16" s="571" t="n">
        <v>0.219395990245</v>
      </c>
      <c r="D16" s="578" t="inlineStr">
        <is>
          <t>Investor 8 - KOL Round</t>
        </is>
      </c>
      <c r="E16" s="569" t="n">
        <v>2278984.22091329</v>
      </c>
      <c r="F16" s="569" t="n">
        <v>0.00227898422091329</v>
      </c>
      <c r="G16" s="569" t="inlineStr">
        <is>
          <t>N/A</t>
        </is>
      </c>
      <c r="H16" s="563">
        <f>C16*'Token Release Schedule'!$C$9</f>
        <v>219395990.245</v>
      </c>
      <c r="I16" s="573">
        <f>C16*E16</f>
        <v>499999.9999000011</v>
      </c>
      <c r="J16" s="569" t="inlineStr">
        <is>
          <t>Held in tier 2</t>
        </is>
      </c>
      <c r="K16" s="555" t="n"/>
      <c r="L16" s="565" t="n"/>
      <c r="M16" s="565" t="n"/>
      <c r="N16" s="565" t="n"/>
      <c r="O16" s="542" t="n"/>
      <c r="P16" s="569" t="n"/>
      <c r="Q16" s="557" t="n"/>
      <c r="R16" s="557" t="n"/>
      <c r="S16" s="557" t="n"/>
      <c r="T16" s="557" t="n"/>
      <c r="U16" s="557" t="n"/>
      <c r="V16" s="557" t="n"/>
      <c r="W16" s="557" t="n"/>
      <c r="X16" s="557" t="n"/>
      <c r="Y16" s="557" t="n"/>
      <c r="Z16" s="557" t="n"/>
      <c r="AA16" s="557" t="n"/>
      <c r="AB16" s="557" t="n"/>
    </row>
    <row r="17" ht="15.75" customHeight="1" s="375">
      <c r="A17" s="570" t="n"/>
      <c r="B17" s="569" t="inlineStr">
        <is>
          <t>New Round (2026)</t>
        </is>
      </c>
      <c r="C17" s="571" t="n">
        <v>0.16</v>
      </c>
      <c r="D17" s="569" t="inlineStr">
        <is>
          <t>New Round - anchor + 2 syndicate + strategic ring (names &amp; wallets at close)</t>
        </is>
      </c>
      <c r="E17" s="572" t="n">
        <v>200000000</v>
      </c>
      <c r="F17" s="569" t="n">
        <v>0.2</v>
      </c>
      <c r="G17" s="569" t="inlineStr">
        <is>
          <t>N/A</t>
        </is>
      </c>
      <c r="H17" s="573">
        <f>C17*'Token Release Schedule'!$C$9</f>
        <v>160000000.0</v>
      </c>
      <c r="I17" s="573">
        <f>C17*E17</f>
        <v>32000000.0</v>
      </c>
      <c r="J17" s="569" t="inlineStr">
        <is>
          <t>TBC</t>
        </is>
      </c>
      <c r="K17" s="555" t="n"/>
      <c r="L17" s="565" t="n"/>
      <c r="M17" s="565" t="n"/>
      <c r="N17" s="565" t="n"/>
      <c r="O17" s="542" t="n"/>
      <c r="P17" s="569" t="n"/>
      <c r="Q17" s="557" t="n"/>
      <c r="R17" s="557" t="n"/>
      <c r="S17" s="557" t="n"/>
      <c r="T17" s="557" t="n"/>
      <c r="U17" s="557" t="n"/>
      <c r="V17" s="557" t="n"/>
      <c r="W17" s="557" t="n"/>
      <c r="X17" s="557" t="n"/>
      <c r="Y17" s="557" t="n"/>
      <c r="Z17" s="557" t="n"/>
      <c r="AA17" s="557" t="n"/>
      <c r="AB17" s="557" t="n"/>
    </row>
    <row r="18" ht="15.75" customHeight="1" s="375">
      <c r="A18" s="570" t="n"/>
      <c r="B18" s="569" t="n"/>
      <c r="C18" s="579" t="n"/>
      <c r="D18" s="569" t="n"/>
      <c r="E18" s="569" t="n"/>
      <c r="F18" s="569" t="n"/>
      <c r="G18" s="569" t="n"/>
      <c r="H18" s="573" t="n"/>
      <c r="I18" s="573" t="n"/>
      <c r="J18" s="569" t="n"/>
      <c r="K18" s="555" t="n"/>
      <c r="L18" s="565" t="n"/>
      <c r="M18" s="565" t="n"/>
      <c r="N18" s="565" t="n"/>
      <c r="O18" s="542" t="n"/>
      <c r="P18" s="569" t="n"/>
      <c r="Q18" s="557" t="n"/>
      <c r="R18" s="557" t="n"/>
      <c r="S18" s="557" t="n"/>
      <c r="T18" s="557" t="n"/>
      <c r="U18" s="557" t="n"/>
      <c r="V18" s="557" t="n"/>
      <c r="W18" s="557" t="n"/>
      <c r="X18" s="557" t="n"/>
      <c r="Y18" s="557" t="n"/>
      <c r="Z18" s="557" t="n"/>
      <c r="AA18" s="557" t="n"/>
      <c r="AB18" s="557" t="n"/>
    </row>
    <row r="19" ht="15.75" customHeight="1" s="375">
      <c r="A19" s="570" t="n"/>
      <c r="B19" s="569" t="n"/>
      <c r="C19" s="579" t="n"/>
      <c r="D19" s="569" t="n"/>
      <c r="E19" s="569" t="n"/>
      <c r="F19" s="569" t="n"/>
      <c r="G19" s="569" t="n"/>
      <c r="H19" s="573" t="n"/>
      <c r="I19" s="573" t="n"/>
      <c r="J19" s="569" t="n"/>
      <c r="K19" s="564" t="n"/>
      <c r="L19" s="564" t="n"/>
      <c r="M19" s="564" t="n"/>
      <c r="N19" s="564" t="n"/>
      <c r="O19" s="564" t="n"/>
      <c r="Q19" s="557" t="n"/>
      <c r="R19" s="557" t="n"/>
      <c r="S19" s="557" t="n"/>
      <c r="T19" s="557" t="n"/>
      <c r="U19" s="557" t="n"/>
      <c r="V19" s="557" t="n"/>
      <c r="W19" s="557" t="n"/>
      <c r="X19" s="557" t="n"/>
      <c r="Y19" s="557" t="n"/>
      <c r="Z19" s="557" t="n"/>
      <c r="AA19" s="557" t="n"/>
      <c r="AB19" s="557" t="n"/>
    </row>
    <row r="20" ht="15.75" customHeight="1" s="375">
      <c r="A20" s="374" t="n"/>
      <c r="B20" s="374" t="n"/>
      <c r="C20" s="374" t="n"/>
      <c r="D20" s="564" t="n"/>
      <c r="E20" s="580">
        <f>SUM(E9:E19)</f>
        <v>300000000.0</v>
      </c>
      <c r="F20" s="581">
        <f>SUM(F9:F19)</f>
        <v>0.3</v>
      </c>
      <c r="G20" s="374" t="n"/>
      <c r="H20" s="374" t="n"/>
      <c r="I20" s="582">
        <f>SUM(I9:I19)</f>
        <v>48500000.01144</v>
      </c>
      <c r="J20" s="583" t="inlineStr">
        <is>
          <t>Make sure the number equals to the checker</t>
        </is>
      </c>
      <c r="K20" s="374" t="n"/>
      <c r="L20" s="374" t="n"/>
      <c r="M20" s="374" t="n"/>
      <c r="N20" s="374" t="n"/>
      <c r="O20" s="374" t="n"/>
    </row>
    <row r="21" ht="15.75" customHeight="1" s="375">
      <c r="A21" s="545" t="n"/>
      <c r="B21" s="374" t="n"/>
      <c r="C21" s="374" t="n"/>
      <c r="D21" s="584" t="inlineStr">
        <is>
          <t>Checker</t>
        </is>
      </c>
      <c r="E21" s="585">
        <f>SUM('Token Release Schedule'!C17:J17)+'Token Release Schedule'!Q17</f>
        <v>300000000.0</v>
      </c>
      <c r="F21" s="581">
        <f>SUM('Token Release Schedule'!C20:J20)+'Token Release Schedule'!Q19</f>
        <v>0.3</v>
      </c>
      <c r="G21" s="374" t="n"/>
      <c r="H21" s="584" t="inlineStr">
        <is>
          <t>Checker</t>
        </is>
      </c>
      <c r="I21" s="586">
        <f>SUM('Token Release Schedule'!C22:J22)+'Token Release Schedule'!Q22</f>
        <v>48500000.01144</v>
      </c>
      <c r="J21" s="583" t="inlineStr">
        <is>
          <t>The check links to the master tab</t>
        </is>
      </c>
      <c r="K21" s="374" t="n"/>
      <c r="M21" s="374" t="n"/>
      <c r="N21" s="374" t="n"/>
      <c r="O21" s="374" t="n"/>
    </row>
    <row r="22" ht="15.75" customHeight="1" s="375">
      <c r="A22" s="545" t="inlineStr">
        <is>
          <t>Team breakdown (key members only)</t>
        </is>
      </c>
      <c r="B22" s="374" t="n"/>
      <c r="C22" s="374" t="n"/>
      <c r="D22" s="374" t="n"/>
      <c r="E22" s="374" t="n"/>
      <c r="F22" s="374" t="n"/>
      <c r="G22" s="374" t="n"/>
      <c r="H22" s="374" t="n"/>
      <c r="I22" s="374" t="n"/>
      <c r="J22" s="374" t="n"/>
      <c r="K22" s="374" t="n"/>
      <c r="L22" s="374" t="n"/>
      <c r="M22" s="374" t="n"/>
      <c r="N22" s="374" t="n"/>
      <c r="O22" s="374" t="n"/>
    </row>
    <row r="23" ht="15.75" customHeight="1" s="375">
      <c r="A23" s="587" t="inlineStr">
        <is>
          <t>Date</t>
        </is>
      </c>
      <c r="B23" s="588" t="inlineStr">
        <is>
          <t>Team Member Name</t>
        </is>
      </c>
      <c r="C23" s="588" t="inlineStr">
        <is>
          <t>Job Role / Scope</t>
        </is>
      </c>
      <c r="D23" s="588" t="inlineStr">
        <is>
          <t>No. of Tokens Issued</t>
        </is>
      </c>
      <c r="E23" s="588" t="inlineStr">
        <is>
          <t>Allocation %</t>
        </is>
      </c>
      <c r="F23" s="588" t="inlineStr">
        <is>
          <t>ETH/BNB/USDT Contribution Address</t>
        </is>
      </c>
      <c r="G23" s="554" t="inlineStr">
        <is>
          <t>Token Receiving Address</t>
        </is>
      </c>
      <c r="H23" s="374" t="n"/>
      <c r="I23" s="374" t="n"/>
      <c r="J23" s="374" t="n"/>
      <c r="K23" s="374" t="n"/>
      <c r="L23" s="374" t="n"/>
      <c r="M23" s="374" t="n"/>
      <c r="N23" s="374" t="n"/>
      <c r="O23" s="374" t="n"/>
    </row>
    <row r="24" ht="15.75" customHeight="1" s="375">
      <c r="A24" s="589" t="n"/>
      <c r="B24" s="575" t="inlineStr">
        <is>
          <t>Jon Ollwerther</t>
        </is>
      </c>
      <c r="C24" s="590" t="inlineStr">
        <is>
          <t>Chairman</t>
        </is>
      </c>
      <c r="D24" s="575" t="n">
        <v>10000000</v>
      </c>
      <c r="E24" s="591" t="n">
        <v>0.01</v>
      </c>
      <c r="F24" s="575" t="n"/>
      <c r="G24" s="569" t="n"/>
      <c r="H24" s="374" t="n"/>
      <c r="I24" s="374" t="n"/>
      <c r="J24" s="374" t="n"/>
      <c r="K24" s="374" t="n"/>
      <c r="L24" s="374" t="n"/>
      <c r="M24" s="374" t="n"/>
      <c r="N24" s="374" t="n"/>
      <c r="O24" s="374" t="n"/>
    </row>
    <row r="25" ht="15.75" customHeight="1" s="375">
      <c r="A25" s="592" t="n"/>
      <c r="B25" s="576" t="inlineStr">
        <is>
          <t>Pablo Pérez Pazos</t>
        </is>
      </c>
      <c r="C25" s="593" t="inlineStr">
        <is>
          <t>Chief Business Development Officer</t>
        </is>
      </c>
      <c r="D25" s="576" t="n">
        <v>10000000</v>
      </c>
      <c r="E25" s="594" t="n">
        <v>0.01</v>
      </c>
      <c r="F25" s="576" t="n"/>
      <c r="G25" s="569" t="n"/>
      <c r="H25" s="374" t="n"/>
      <c r="I25" s="374" t="n"/>
      <c r="J25" s="374" t="n"/>
      <c r="K25" s="374" t="n"/>
      <c r="L25" s="374" t="n"/>
      <c r="M25" s="374" t="n"/>
      <c r="N25" s="374" t="n"/>
      <c r="O25" s="374" t="n"/>
    </row>
    <row r="26" ht="15.75" customHeight="1" s="375">
      <c r="A26" s="592" t="n"/>
      <c r="B26" s="576" t="inlineStr">
        <is>
          <t>Team reserve (future hires)</t>
        </is>
      </c>
      <c r="C26" s="593" t="inlineStr">
        <is>
          <t>TBD</t>
        </is>
      </c>
      <c r="D26" s="576" t="n">
        <v>17500000</v>
      </c>
      <c r="E26" s="594" t="n">
        <v>0.0175</v>
      </c>
      <c r="F26" s="576" t="n"/>
      <c r="G26" s="569" t="n"/>
      <c r="H26" s="374" t="n"/>
      <c r="I26" s="374" t="n"/>
      <c r="J26" s="374" t="n"/>
      <c r="K26" s="374" t="n"/>
      <c r="L26" s="374" t="n"/>
      <c r="M26" s="374" t="n"/>
      <c r="N26" s="374" t="n"/>
      <c r="O26" s="374" t="n"/>
    </row>
    <row r="27" ht="15.75" customHeight="1" s="375">
      <c r="A27" s="592" t="n"/>
      <c r="B27" s="576" t="n"/>
      <c r="C27" s="593" t="n"/>
      <c r="D27" s="576" t="n"/>
      <c r="E27" s="576" t="n"/>
      <c r="F27" s="576" t="n"/>
      <c r="G27" s="569" t="n"/>
      <c r="H27" s="374" t="n"/>
      <c r="I27" s="374" t="n"/>
      <c r="J27" s="374" t="n"/>
      <c r="K27" s="374" t="n"/>
      <c r="L27" s="374" t="n"/>
      <c r="M27" s="374" t="n"/>
      <c r="N27" s="374" t="n"/>
      <c r="O27" s="374" t="n"/>
    </row>
    <row r="28" ht="15.75" customHeight="1" s="375">
      <c r="A28" s="592" t="n"/>
      <c r="B28" s="576" t="n"/>
      <c r="C28" s="593" t="n"/>
      <c r="D28" s="576" t="n"/>
      <c r="E28" s="576" t="n"/>
      <c r="F28" s="576" t="n"/>
      <c r="G28" s="569" t="n"/>
      <c r="H28" s="374" t="n"/>
      <c r="I28" s="374" t="n"/>
      <c r="J28" s="374" t="n"/>
      <c r="K28" s="374" t="n"/>
      <c r="L28" s="374" t="n"/>
      <c r="M28" s="374" t="n"/>
      <c r="N28" s="374" t="n"/>
      <c r="O28" s="374" t="n"/>
    </row>
    <row r="29" ht="15.75" customHeight="1" s="375">
      <c r="A29" s="592" t="n"/>
      <c r="B29" s="576" t="n"/>
      <c r="C29" s="593" t="n"/>
      <c r="D29" s="576" t="n"/>
      <c r="E29" s="576" t="n"/>
      <c r="F29" s="576" t="n"/>
      <c r="G29" s="569" t="n"/>
      <c r="H29" s="374" t="n"/>
      <c r="I29" s="374" t="n"/>
      <c r="J29" s="374" t="n"/>
      <c r="K29" s="374" t="n"/>
      <c r="L29" s="374" t="n"/>
      <c r="M29" s="374" t="n"/>
      <c r="N29" s="374" t="n"/>
      <c r="O29" s="374" t="n"/>
    </row>
    <row r="30" ht="15.75" customHeight="1" s="375">
      <c r="A30" s="592" t="n"/>
      <c r="B30" s="576" t="n"/>
      <c r="C30" s="593" t="n"/>
      <c r="D30" s="576" t="n"/>
      <c r="E30" s="576" t="n"/>
      <c r="F30" s="576" t="n"/>
      <c r="G30" s="569" t="n"/>
      <c r="H30" s="374" t="n"/>
      <c r="I30" s="374" t="n"/>
      <c r="J30" s="374" t="n"/>
      <c r="K30" s="374" t="n"/>
      <c r="L30" s="374" t="n"/>
      <c r="M30" s="374" t="n"/>
      <c r="N30" s="374" t="n"/>
      <c r="O30" s="374" t="n"/>
    </row>
    <row r="31" ht="15.75" customHeight="1" s="375">
      <c r="A31" s="592" t="n"/>
      <c r="B31" s="576" t="n"/>
      <c r="C31" s="593" t="n"/>
      <c r="D31" s="576" t="n"/>
      <c r="E31" s="576" t="n"/>
      <c r="F31" s="576" t="n"/>
      <c r="G31" s="569" t="n"/>
      <c r="H31" s="374" t="n"/>
      <c r="I31" s="374" t="n"/>
      <c r="J31" s="374" t="n"/>
      <c r="K31" s="374" t="n"/>
      <c r="L31" s="374" t="n"/>
      <c r="M31" s="374" t="n"/>
      <c r="N31" s="374" t="n"/>
      <c r="O31" s="374" t="n"/>
    </row>
    <row r="32" ht="15.75" customHeight="1" s="375">
      <c r="A32" s="592" t="n"/>
      <c r="B32" s="576" t="n"/>
      <c r="C32" s="593" t="n"/>
      <c r="D32" s="576" t="n"/>
      <c r="E32" s="576" t="n"/>
      <c r="F32" s="576" t="n"/>
      <c r="G32" s="569" t="n"/>
      <c r="H32" s="374" t="n"/>
      <c r="I32" s="374" t="n"/>
      <c r="J32" s="374" t="n"/>
      <c r="K32" s="374" t="n"/>
      <c r="L32" s="374" t="n"/>
      <c r="M32" s="374" t="n"/>
      <c r="N32" s="374" t="n"/>
      <c r="O32" s="374" t="n"/>
    </row>
    <row r="33" ht="15.75" customHeight="1" s="375">
      <c r="A33" s="592" t="n"/>
      <c r="B33" s="576" t="n"/>
      <c r="C33" s="593" t="n"/>
      <c r="D33" s="576" t="n"/>
      <c r="E33" s="576" t="n"/>
      <c r="F33" s="576" t="n"/>
      <c r="G33" s="569" t="n"/>
      <c r="H33" s="374" t="n"/>
      <c r="I33" s="374" t="n"/>
      <c r="J33" s="374" t="n"/>
      <c r="K33" s="374" t="n"/>
      <c r="L33" s="374" t="n"/>
      <c r="M33" s="374" t="n"/>
      <c r="N33" s="374" t="n"/>
      <c r="O33" s="374" t="n"/>
    </row>
    <row r="34" ht="15.75" customHeight="1" s="375">
      <c r="A34" s="592" t="n"/>
      <c r="B34" s="576" t="n"/>
      <c r="C34" s="593" t="n"/>
      <c r="D34" s="576" t="n"/>
      <c r="E34" s="576" t="n"/>
      <c r="F34" s="576" t="n"/>
      <c r="G34" s="569" t="n"/>
      <c r="H34" s="374" t="n"/>
      <c r="I34" s="374" t="n"/>
      <c r="J34" s="374" t="n"/>
      <c r="K34" s="374" t="n"/>
      <c r="L34" s="374" t="n"/>
      <c r="M34" s="374" t="n"/>
      <c r="N34" s="374" t="n"/>
      <c r="O34" s="374" t="n"/>
    </row>
    <row r="35" ht="15.75" customHeight="1" s="375">
      <c r="A35" s="374" t="n"/>
      <c r="B35" s="374" t="n"/>
      <c r="C35" s="374" t="n"/>
      <c r="D35" s="595">
        <f>SUM(D24:D34)</f>
        <v>37500000.0</v>
      </c>
      <c r="E35" s="581">
        <f>SUM(E24:E34)</f>
        <v>0.0375</v>
      </c>
      <c r="F35" s="583" t="inlineStr">
        <is>
          <t>Make sure the number equals to the checker</t>
        </is>
      </c>
      <c r="G35" s="374" t="n"/>
      <c r="H35" s="374" t="n"/>
      <c r="I35" s="374" t="n"/>
      <c r="J35" s="374" t="n"/>
      <c r="K35" s="374" t="n"/>
      <c r="L35" s="374" t="n"/>
      <c r="M35" s="374" t="n"/>
      <c r="N35" s="374" t="n"/>
      <c r="O35" s="374" t="n"/>
    </row>
    <row r="36" ht="15.75" customHeight="1" s="375">
      <c r="A36" s="545" t="n"/>
      <c r="B36" s="374" t="n"/>
      <c r="C36" s="584" t="inlineStr">
        <is>
          <t>Checker</t>
        </is>
      </c>
      <c r="D36" s="585">
        <f>'Token Release Schedule'!O17-D50</f>
        <v>37500000.0</v>
      </c>
      <c r="E36" s="581">
        <f>'Token Release Schedule'!O20-E50</f>
        <v>0.0375</v>
      </c>
      <c r="F36" s="583" t="inlineStr">
        <is>
          <t>The check links to the master tab</t>
        </is>
      </c>
      <c r="G36" s="374" t="n"/>
      <c r="H36" s="374" t="n"/>
      <c r="I36" s="374" t="n"/>
      <c r="J36" s="545" t="n"/>
      <c r="K36" s="545" t="n"/>
      <c r="L36" s="545" t="n"/>
      <c r="M36" s="550" t="n"/>
      <c r="N36" s="550" t="n"/>
      <c r="O36" s="550" t="n"/>
    </row>
    <row r="37" ht="15.75" customHeight="1" s="375">
      <c r="A37" s="545" t="inlineStr">
        <is>
          <t>Advisor breakdown</t>
        </is>
      </c>
      <c r="B37" s="374" t="n"/>
      <c r="C37" s="374" t="n"/>
      <c r="D37" s="374" t="n"/>
      <c r="E37" s="374" t="n"/>
      <c r="F37" s="374" t="n"/>
      <c r="G37" s="374" t="n"/>
      <c r="H37" s="374" t="n"/>
      <c r="I37" s="374" t="n"/>
      <c r="J37" s="545" t="n"/>
      <c r="K37" s="545" t="n"/>
      <c r="L37" s="596" t="inlineStr">
        <is>
          <t>Identity of Top 10 existing token holders (if token is already circulating)</t>
        </is>
      </c>
      <c r="M37" s="597" t="n"/>
      <c r="N37" s="597" t="n"/>
      <c r="O37" s="597" t="n"/>
    </row>
    <row r="38" ht="15.75" customHeight="1" s="375">
      <c r="A38" s="587" t="inlineStr">
        <is>
          <t>Date</t>
        </is>
      </c>
      <c r="B38" s="588" t="inlineStr">
        <is>
          <t>Advisor</t>
        </is>
      </c>
      <c r="C38" s="588" t="inlineStr">
        <is>
          <t>Job Role / Scope</t>
        </is>
      </c>
      <c r="D38" s="588" t="inlineStr">
        <is>
          <t>No. of Tokens Issued</t>
        </is>
      </c>
      <c r="E38" s="588" t="inlineStr">
        <is>
          <t>Allocation %</t>
        </is>
      </c>
      <c r="F38" s="588" t="inlineStr">
        <is>
          <t>ETH/BNB/USDT Contribution Address</t>
        </is>
      </c>
      <c r="G38" s="554" t="inlineStr">
        <is>
          <t>Token Receiving Address</t>
        </is>
      </c>
      <c r="H38" s="374" t="n"/>
      <c r="I38" s="598" t="n"/>
      <c r="J38" s="599" t="n"/>
      <c r="K38" s="599" t="n"/>
      <c r="L38" s="587" t="inlineStr">
        <is>
          <t>Wallet Identity</t>
        </is>
      </c>
      <c r="M38" s="587" t="inlineStr">
        <is>
          <t>Wallet Address</t>
        </is>
      </c>
      <c r="N38" s="600" t="inlineStr">
        <is>
          <t>Description</t>
        </is>
      </c>
      <c r="O38" s="600" t="inlineStr">
        <is>
          <t xml:space="preserve">% of total supply </t>
        </is>
      </c>
    </row>
    <row r="39" ht="15.75" customHeight="1" s="375">
      <c r="A39" s="589" t="n"/>
      <c r="B39" s="575" t="inlineStr">
        <is>
          <t>Brandon Torres Declet</t>
        </is>
      </c>
      <c r="C39" s="590" t="inlineStr">
        <is>
          <t>President</t>
        </is>
      </c>
      <c r="D39" s="575" t="n">
        <v>10000000</v>
      </c>
      <c r="E39" s="591" t="n">
        <v>0.01</v>
      </c>
      <c r="F39" s="575" t="n"/>
      <c r="G39" s="569" t="n"/>
      <c r="H39" s="374" t="n"/>
      <c r="I39" s="598" t="n"/>
      <c r="J39" s="601" t="n"/>
      <c r="K39" s="601" t="n"/>
      <c r="L39" s="589" t="inlineStr">
        <is>
          <t>Not applicable: the token is not yet circulating</t>
        </is>
      </c>
      <c r="M39" s="602" t="n"/>
      <c r="N39" s="589" t="n"/>
      <c r="O39" s="603" t="n"/>
    </row>
    <row r="40" ht="15.75" customHeight="1" s="375">
      <c r="A40" s="592" t="n"/>
      <c r="B40" s="576" t="inlineStr">
        <is>
          <t>Lucas Van Oostrum</t>
        </is>
      </c>
      <c r="C40" s="593" t="inlineStr">
        <is>
          <t>Advisor</t>
        </is>
      </c>
      <c r="D40" s="576" t="n">
        <v>2500000</v>
      </c>
      <c r="E40" s="594" t="n">
        <v>0.0025</v>
      </c>
      <c r="F40" s="576" t="n"/>
      <c r="G40" s="569" t="n"/>
      <c r="H40" s="374" t="n"/>
      <c r="I40" s="598" t="n"/>
      <c r="J40" s="604" t="n"/>
      <c r="K40" s="604" t="n"/>
      <c r="L40" s="605" t="n"/>
      <c r="M40" s="602" t="n"/>
      <c r="N40" s="606" t="n"/>
      <c r="O40" s="606" t="n"/>
    </row>
    <row r="41" ht="15.75" customHeight="1" s="375">
      <c r="A41" s="592" t="n"/>
      <c r="B41" s="576" t="n"/>
      <c r="C41" s="593" t="n"/>
      <c r="D41" s="576" t="n"/>
      <c r="E41" s="594" t="n"/>
      <c r="F41" s="576" t="n"/>
      <c r="G41" s="569" t="n"/>
      <c r="H41" s="374" t="n"/>
      <c r="I41" s="598" t="n"/>
      <c r="J41" s="604" t="n"/>
      <c r="K41" s="604" t="n"/>
      <c r="L41" s="605" t="n"/>
      <c r="M41" s="606" t="n"/>
      <c r="N41" s="606" t="n"/>
      <c r="O41" s="606" t="n"/>
    </row>
    <row r="42" ht="15.75" customHeight="1" s="375">
      <c r="A42" s="592" t="n"/>
      <c r="B42" s="576" t="n"/>
      <c r="C42" s="593" t="n"/>
      <c r="D42" s="576" t="n"/>
      <c r="E42" s="576" t="n"/>
      <c r="F42" s="576" t="n"/>
      <c r="G42" s="569" t="n"/>
      <c r="H42" s="374" t="n"/>
      <c r="I42" s="598" t="n"/>
      <c r="J42" s="604" t="n"/>
      <c r="K42" s="604" t="n"/>
      <c r="L42" s="605" t="n"/>
      <c r="M42" s="602" t="n"/>
      <c r="N42" s="606" t="n"/>
      <c r="O42" s="606" t="n"/>
    </row>
    <row r="43" ht="15.75" customHeight="1" s="375">
      <c r="A43" s="592" t="n"/>
      <c r="B43" s="576" t="n"/>
      <c r="C43" s="593" t="n"/>
      <c r="D43" s="576" t="n"/>
      <c r="E43" s="576" t="n"/>
      <c r="F43" s="576" t="n"/>
      <c r="G43" s="569" t="n"/>
      <c r="H43" s="374" t="n"/>
      <c r="I43" s="598" t="n"/>
      <c r="J43" s="604" t="n"/>
      <c r="K43" s="604" t="n"/>
      <c r="L43" s="605" t="n"/>
      <c r="M43" s="606" t="n"/>
      <c r="N43" s="606" t="n"/>
      <c r="O43" s="606" t="n"/>
    </row>
    <row r="44" ht="15.75" customHeight="1" s="375">
      <c r="A44" s="592" t="n"/>
      <c r="B44" s="576" t="n"/>
      <c r="C44" s="593" t="n"/>
      <c r="D44" s="576" t="n"/>
      <c r="E44" s="576" t="n"/>
      <c r="F44" s="576" t="n"/>
      <c r="G44" s="569" t="n"/>
      <c r="H44" s="374" t="n"/>
      <c r="I44" s="598" t="n"/>
      <c r="J44" s="604" t="n"/>
      <c r="K44" s="604" t="n"/>
      <c r="L44" s="605" t="n"/>
      <c r="M44" s="606" t="n"/>
      <c r="N44" s="606" t="n"/>
      <c r="O44" s="606" t="n"/>
    </row>
    <row r="45" ht="15.75" customHeight="1" s="375">
      <c r="A45" s="592" t="n"/>
      <c r="B45" s="576" t="n"/>
      <c r="C45" s="593" t="n"/>
      <c r="D45" s="576" t="n"/>
      <c r="E45" s="576" t="n"/>
      <c r="F45" s="576" t="n"/>
      <c r="G45" s="569" t="n"/>
      <c r="H45" s="374" t="n"/>
      <c r="I45" s="598" t="n"/>
      <c r="J45" s="604" t="n"/>
      <c r="K45" s="604" t="n"/>
      <c r="L45" s="605" t="n"/>
      <c r="M45" s="606" t="n"/>
      <c r="N45" s="606" t="n"/>
      <c r="O45" s="606" t="n"/>
    </row>
    <row r="46" ht="15.75" customHeight="1" s="375">
      <c r="A46" s="592" t="n"/>
      <c r="B46" s="576" t="n"/>
      <c r="C46" s="593" t="n"/>
      <c r="D46" s="576" t="n"/>
      <c r="E46" s="576" t="n"/>
      <c r="F46" s="576" t="n"/>
      <c r="G46" s="569" t="n"/>
      <c r="H46" s="374" t="n"/>
      <c r="I46" s="598" t="n"/>
      <c r="J46" s="604" t="n"/>
      <c r="K46" s="604" t="n"/>
      <c r="L46" s="605" t="n"/>
      <c r="M46" s="606" t="n"/>
      <c r="N46" s="606" t="n"/>
      <c r="O46" s="606" t="n"/>
    </row>
    <row r="47" ht="15.75" customHeight="1" s="375">
      <c r="A47" s="592" t="n"/>
      <c r="B47" s="576" t="n"/>
      <c r="C47" s="593" t="n"/>
      <c r="D47" s="576" t="n"/>
      <c r="E47" s="576" t="n"/>
      <c r="F47" s="576" t="n"/>
      <c r="G47" s="569" t="n"/>
      <c r="H47" s="374" t="n"/>
      <c r="I47" s="598" t="n"/>
      <c r="J47" s="604" t="n"/>
      <c r="K47" s="604" t="n"/>
      <c r="L47" s="605" t="n"/>
      <c r="M47" s="606" t="n"/>
      <c r="N47" s="606" t="n"/>
      <c r="O47" s="606" t="n"/>
    </row>
    <row r="48" ht="15.75" customHeight="1" s="375">
      <c r="A48" s="592" t="n"/>
      <c r="B48" s="576" t="n"/>
      <c r="C48" s="593" t="n"/>
      <c r="D48" s="576" t="n"/>
      <c r="E48" s="576" t="n"/>
      <c r="F48" s="576" t="n"/>
      <c r="G48" s="569" t="n"/>
      <c r="H48" s="374" t="n"/>
      <c r="I48" s="598" t="n"/>
      <c r="J48" s="604" t="n"/>
      <c r="K48" s="604" t="n"/>
      <c r="L48" s="605" t="n"/>
      <c r="M48" s="606" t="n"/>
      <c r="N48" s="606" t="n"/>
      <c r="O48" s="606" t="n"/>
    </row>
    <row r="49" ht="15.75" customHeight="1" s="375">
      <c r="A49" s="592" t="n"/>
      <c r="B49" s="576" t="n"/>
      <c r="C49" s="593" t="n"/>
      <c r="D49" s="576" t="n"/>
      <c r="E49" s="576" t="n"/>
      <c r="F49" s="576" t="n"/>
      <c r="G49" s="569" t="n"/>
      <c r="H49" s="374" t="n"/>
      <c r="I49" s="374" t="n"/>
      <c r="J49" s="374" t="n"/>
      <c r="K49" s="374" t="n"/>
      <c r="L49" s="374" t="n"/>
      <c r="M49" s="374" t="n"/>
      <c r="N49" s="374" t="n"/>
      <c r="O49" s="374" t="n"/>
    </row>
    <row r="50" ht="15.75" customHeight="1" s="375">
      <c r="C50" s="374" t="n"/>
      <c r="D50" s="595">
        <f>SUM(D39:D49)</f>
        <v>12500000.0</v>
      </c>
      <c r="E50" s="581">
        <f>SUM(E39:E49)</f>
        <v>0.0125</v>
      </c>
      <c r="F50" s="583" t="inlineStr">
        <is>
          <t>Make sure the number equals to the checker</t>
        </is>
      </c>
    </row>
    <row r="51" ht="15.75" customHeight="1" s="375">
      <c r="C51" s="584" t="inlineStr">
        <is>
          <t>Checker</t>
        </is>
      </c>
      <c r="D51" s="585">
        <f>'Token Release Schedule'!O17-D35</f>
        <v>12500000.0</v>
      </c>
      <c r="E51" s="581">
        <f>'Token Release Schedule'!O20-E35</f>
        <v>0.0125</v>
      </c>
      <c r="F51" s="583" t="inlineStr">
        <is>
          <t>The check links to the master tab</t>
        </is>
      </c>
    </row>
    <row r="52" ht="15.75" customHeight="1" s="375"/>
    <row r="53" ht="15.75" customHeight="1" s="375"/>
    <row r="54" ht="15.75" customHeight="1" s="375"/>
    <row r="55" ht="15.75" customHeight="1" s="375"/>
    <row r="56" ht="15.75" customHeight="1" s="375">
      <c r="E56" s="607" t="n"/>
      <c r="F56" s="607" t="n"/>
      <c r="G56" s="607" t="n"/>
      <c r="H56" s="607" t="n"/>
      <c r="I56" s="607" t="n"/>
      <c r="J56" s="607" t="n"/>
      <c r="K56" s="607" t="n"/>
      <c r="L56" s="607" t="n"/>
    </row>
    <row r="57" ht="15.75" customHeight="1" s="375"/>
    <row r="58" ht="15.75" customHeight="1" s="375"/>
    <row r="59" ht="15.75" customHeight="1" s="375"/>
    <row r="60" ht="15.75" customHeight="1" s="375"/>
    <row r="61" ht="15.75" customHeight="1" s="375"/>
    <row r="62" ht="15.75" customHeight="1" s="375"/>
    <row r="63" ht="15.75" customHeight="1" s="375"/>
    <row r="64" ht="15.75" customHeight="1" s="375"/>
    <row r="65" ht="15.75" customHeight="1" s="375"/>
    <row r="66" ht="15.75" customHeight="1" s="375"/>
    <row r="67" ht="15.75" customHeight="1" s="375"/>
    <row r="68" ht="15.75" customHeight="1" s="375"/>
    <row r="69" ht="15.75" customHeight="1" s="375"/>
    <row r="70" ht="15.75" customHeight="1" s="375"/>
    <row r="71" ht="15.75" customHeight="1" s="375"/>
    <row r="72" ht="15.75" customHeight="1" s="375"/>
    <row r="73" ht="15.75" customHeight="1" s="375"/>
    <row r="74" ht="15.75" customHeight="1" s="375"/>
    <row r="75" ht="15.75" customHeight="1" s="375"/>
    <row r="76" ht="15.75" customHeight="1" s="375"/>
    <row r="77" ht="15.75" customHeight="1" s="375"/>
    <row r="78" ht="15.75" customHeight="1" s="375"/>
    <row r="79" ht="15.75" customHeight="1" s="375"/>
    <row r="80" ht="15.75" customHeight="1" s="375"/>
    <row r="81" ht="15.75" customHeight="1" s="375"/>
    <row r="82" ht="15.75" customHeight="1" s="375"/>
    <row r="83" ht="15.75" customHeight="1" s="375"/>
    <row r="84" ht="15.75" customHeight="1" s="375"/>
    <row r="85" ht="15.75" customHeight="1" s="375"/>
    <row r="86" ht="15.75" customHeight="1" s="375"/>
    <row r="87" ht="15.75" customHeight="1" s="375"/>
    <row r="88" ht="15.75" customHeight="1" s="375"/>
    <row r="89" ht="15.75" customHeight="1" s="375"/>
    <row r="90" ht="15.75" customHeight="1" s="375"/>
    <row r="91" ht="15.75" customHeight="1" s="375"/>
    <row r="92" ht="15.75" customHeight="1" s="375"/>
    <row r="93" ht="15.75" customHeight="1" s="375"/>
    <row r="94" ht="15.75" customHeight="1" s="375"/>
    <row r="95" ht="15.75" customHeight="1" s="375"/>
    <row r="96" ht="15.75" customHeight="1" s="375"/>
    <row r="97" ht="15.75" customHeight="1" s="375"/>
    <row r="98" ht="15.75" customHeight="1" s="375"/>
    <row r="99" ht="15.75" customHeight="1" s="375"/>
    <row r="100" ht="15.75" customHeight="1" s="375"/>
    <row r="101" ht="15.75" customHeight="1" s="375"/>
    <row r="102" ht="15.75" customHeight="1" s="375"/>
    <row r="103" ht="15.75" customHeight="1" s="375"/>
    <row r="104" ht="15.75" customHeight="1" s="375"/>
    <row r="105" ht="15.75" customHeight="1" s="375"/>
    <row r="106" ht="15.75" customHeight="1" s="375"/>
    <row r="107" ht="15.75" customHeight="1" s="375"/>
    <row r="108" ht="15.75" customHeight="1" s="375"/>
    <row r="109" ht="15.75" customHeight="1" s="375"/>
    <row r="110" ht="15.75" customHeight="1" s="375"/>
    <row r="111" ht="15.75" customHeight="1" s="375"/>
    <row r="112" ht="15.75" customHeight="1" s="375"/>
    <row r="113" ht="15.75" customHeight="1" s="375"/>
    <row r="114" ht="15.75" customHeight="1" s="375"/>
    <row r="115" ht="15.75" customHeight="1" s="375"/>
    <row r="116" ht="15.75" customHeight="1" s="375"/>
    <row r="117" ht="15.75" customHeight="1" s="375"/>
    <row r="118" ht="15.75" customHeight="1" s="375"/>
    <row r="119" ht="15.75" customHeight="1" s="375"/>
    <row r="120" ht="15.75" customHeight="1" s="375"/>
    <row r="121" ht="15.75" customHeight="1" s="375"/>
    <row r="122" ht="15.75" customHeight="1" s="375"/>
    <row r="123" ht="15.75" customHeight="1" s="375"/>
    <row r="124" ht="15.75" customHeight="1" s="375"/>
    <row r="125" ht="15.75" customHeight="1" s="375"/>
    <row r="126" ht="15.75" customHeight="1" s="375"/>
    <row r="127" ht="15.75" customHeight="1" s="375"/>
    <row r="128" ht="15.75" customHeight="1" s="375"/>
    <row r="129" ht="15.75" customHeight="1" s="375"/>
    <row r="130" ht="15.75" customHeight="1" s="375"/>
    <row r="131" ht="15.75" customHeight="1" s="375"/>
    <row r="132" ht="15.75" customHeight="1" s="375"/>
    <row r="133" ht="15.75" customHeight="1" s="375"/>
    <row r="134" ht="15.75" customHeight="1" s="375"/>
    <row r="135" ht="15.75" customHeight="1" s="375"/>
    <row r="136" ht="15.75" customHeight="1" s="375"/>
    <row r="137" ht="15.75" customHeight="1" s="375"/>
    <row r="138" ht="15.75" customHeight="1" s="375"/>
    <row r="139" ht="15.75" customHeight="1" s="375"/>
    <row r="140" ht="15.75" customHeight="1" s="375"/>
    <row r="141" ht="15.75" customHeight="1" s="375"/>
    <row r="142" ht="15.75" customHeight="1" s="375"/>
    <row r="143" ht="15.75" customHeight="1" s="375"/>
    <row r="144" ht="15.75" customHeight="1" s="375"/>
    <row r="145" ht="15.75" customHeight="1" s="375"/>
    <row r="146" ht="15.75" customHeight="1" s="375"/>
    <row r="147" ht="15.75" customHeight="1" s="375"/>
    <row r="148" ht="15.75" customHeight="1" s="375"/>
    <row r="149" ht="15.75" customHeight="1" s="375"/>
    <row r="150" ht="15.75" customHeight="1" s="375"/>
    <row r="151" ht="15.75" customHeight="1" s="375"/>
    <row r="152" ht="15.75" customHeight="1" s="375"/>
    <row r="153" ht="15.75" customHeight="1" s="375"/>
    <row r="154" ht="15.75" customHeight="1" s="375"/>
    <row r="155" ht="15.75" customHeight="1" s="375"/>
    <row r="156" ht="15.75" customHeight="1" s="375"/>
    <row r="157" ht="15.75" customHeight="1" s="375"/>
    <row r="158" ht="15.75" customHeight="1" s="375"/>
    <row r="159" ht="15.75" customHeight="1" s="375"/>
    <row r="160" ht="15.75" customHeight="1" s="375"/>
    <row r="161" ht="15.75" customHeight="1" s="375"/>
    <row r="162" ht="15.75" customHeight="1" s="375"/>
    <row r="163" ht="15.75" customHeight="1" s="375"/>
    <row r="164" ht="15.75" customHeight="1" s="375"/>
    <row r="165" ht="15.75" customHeight="1" s="375"/>
    <row r="166" ht="15.75" customHeight="1" s="375"/>
    <row r="167" ht="15.75" customHeight="1" s="375"/>
    <row r="168" ht="15.75" customHeight="1" s="375"/>
    <row r="169" ht="15.75" customHeight="1" s="375"/>
    <row r="170" ht="15.75" customHeight="1" s="375"/>
    <row r="171" ht="15.75" customHeight="1" s="375"/>
    <row r="172" ht="15.75" customHeight="1" s="375"/>
    <row r="173" ht="15.75" customHeight="1" s="375"/>
    <row r="174" ht="15.75" customHeight="1" s="375"/>
    <row r="175" ht="15.75" customHeight="1" s="375"/>
    <row r="176" ht="15.75" customHeight="1" s="375"/>
    <row r="177" ht="15.75" customHeight="1" s="375"/>
    <row r="178" ht="15.75" customHeight="1" s="375"/>
    <row r="179" ht="15.75" customHeight="1" s="375"/>
    <row r="180" ht="15.75" customHeight="1" s="375"/>
    <row r="181" ht="15.75" customHeight="1" s="375"/>
    <row r="182" ht="15.75" customHeight="1" s="375"/>
    <row r="183" ht="15.75" customHeight="1" s="375"/>
    <row r="184" ht="15.75" customHeight="1" s="375"/>
    <row r="185" ht="15.75" customHeight="1" s="375"/>
    <row r="186" ht="15.75" customHeight="1" s="375"/>
    <row r="187" ht="15.75" customHeight="1" s="375"/>
    <row r="188" ht="15.75" customHeight="1" s="375"/>
    <row r="189" ht="15.75" customHeight="1" s="375"/>
    <row r="190" ht="15.75" customHeight="1" s="375"/>
    <row r="191" ht="15.75" customHeight="1" s="375"/>
    <row r="192" ht="15.75" customHeight="1" s="375"/>
    <row r="193" ht="15.75" customHeight="1" s="375"/>
    <row r="194" ht="15.75" customHeight="1" s="375"/>
    <row r="195" ht="15.75" customHeight="1" s="375"/>
    <row r="196" ht="15.75" customHeight="1" s="375"/>
    <row r="197" ht="15.75" customHeight="1" s="375"/>
    <row r="198" ht="15.75" customHeight="1" s="375"/>
    <row r="199" ht="15.75" customHeight="1" s="375"/>
    <row r="200" ht="15.75" customHeight="1" s="375"/>
    <row r="201" ht="15.75" customHeight="1" s="375"/>
    <row r="202" ht="15.75" customHeight="1" s="375"/>
    <row r="203" ht="15.75" customHeight="1" s="375"/>
    <row r="204" ht="15.75" customHeight="1" s="375"/>
    <row r="205" ht="15.75" customHeight="1" s="375"/>
    <row r="206" ht="15.75" customHeight="1" s="375"/>
    <row r="207" ht="15.75" customHeight="1" s="375"/>
    <row r="208" ht="15.75" customHeight="1" s="375"/>
    <row r="209" ht="15.75" customHeight="1" s="375"/>
    <row r="210" ht="15.75" customHeight="1" s="375"/>
    <row r="211" ht="15.75" customHeight="1" s="375"/>
    <row r="212" ht="15.75" customHeight="1" s="375"/>
    <row r="213" ht="15.75" customHeight="1" s="375"/>
    <row r="214" ht="15.75" customHeight="1" s="375"/>
    <row r="215" ht="15.75" customHeight="1" s="375"/>
    <row r="216" ht="15.75" customHeight="1" s="375"/>
    <row r="217" ht="15.75" customHeight="1" s="375"/>
    <row r="218" ht="15.75" customHeight="1" s="375"/>
    <row r="219" ht="15.75" customHeight="1" s="375"/>
    <row r="220" ht="15.75" customHeight="1" s="375"/>
    <row r="221" ht="15.75" customHeight="1" s="375"/>
    <row r="222" ht="15.75" customHeight="1" s="375"/>
    <row r="223" ht="15.75" customHeight="1" s="375"/>
    <row r="224" ht="15.75" customHeight="1" s="375"/>
    <row r="225" ht="15.75" customHeight="1" s="375"/>
    <row r="226" ht="15.75" customHeight="1" s="375"/>
    <row r="227" ht="15.75" customHeight="1" s="375"/>
    <row r="228" ht="15.75" customHeight="1" s="375"/>
    <row r="229" ht="15.75" customHeight="1" s="375"/>
    <row r="230" ht="15.75" customHeight="1" s="375"/>
    <row r="231" ht="15.75" customHeight="1" s="375"/>
    <row r="232" ht="15.75" customHeight="1" s="375"/>
    <row r="233" ht="15.75" customHeight="1" s="375"/>
    <row r="234" ht="15.75" customHeight="1" s="375"/>
    <row r="235" ht="15.75" customHeight="1" s="375"/>
    <row r="236" ht="15.75" customHeight="1" s="375"/>
    <row r="237" ht="15.75" customHeight="1" s="375"/>
    <row r="238" ht="15.75" customHeight="1" s="375"/>
    <row r="239" ht="15.75" customHeight="1" s="375"/>
    <row r="240" ht="15.75" customHeight="1" s="375"/>
    <row r="241" ht="15.75" customHeight="1" s="375"/>
    <row r="242" ht="15.75" customHeight="1" s="375"/>
    <row r="243" ht="15.75" customHeight="1" s="375"/>
    <row r="244" ht="15.75" customHeight="1" s="375"/>
    <row r="245" ht="15.75" customHeight="1" s="375"/>
    <row r="246" ht="15.75" customHeight="1" s="375"/>
    <row r="247" ht="15.75" customHeight="1" s="375"/>
    <row r="248" ht="15.75" customHeight="1" s="375"/>
    <row r="249" ht="15.75" customHeight="1" s="375"/>
    <row r="250" ht="15.75" customHeight="1" s="375"/>
    <row r="251" ht="15.75" customHeight="1" s="375"/>
    <row r="252" ht="15.75" customHeight="1" s="375"/>
    <row r="253" ht="15.75" customHeight="1" s="375"/>
    <row r="254" ht="15.75" customHeight="1" s="375"/>
    <row r="255" ht="15.75" customHeight="1" s="375"/>
    <row r="256" ht="15.75" customHeight="1" s="375"/>
    <row r="257" ht="15.75" customHeight="1" s="375"/>
    <row r="258" ht="15.75" customHeight="1" s="375"/>
    <row r="259" ht="15.75" customHeight="1" s="375"/>
    <row r="260" ht="15.75" customHeight="1" s="375"/>
    <row r="261" ht="15.75" customHeight="1" s="375"/>
    <row r="262" ht="15.75" customHeight="1" s="375"/>
    <row r="263" ht="15.75" customHeight="1" s="375"/>
    <row r="264" ht="15.75" customHeight="1" s="375"/>
    <row r="265" ht="15.75" customHeight="1" s="375"/>
    <row r="266" ht="15.75" customHeight="1" s="375"/>
    <row r="267" ht="15.75" customHeight="1" s="375"/>
    <row r="268" ht="15.75" customHeight="1" s="375"/>
    <row r="269" ht="15.75" customHeight="1" s="375"/>
    <row r="270" ht="15.75" customHeight="1" s="375"/>
    <row r="271" ht="15.75" customHeight="1" s="375"/>
    <row r="272" ht="15.75" customHeight="1" s="375"/>
    <row r="273" ht="15.75" customHeight="1" s="375"/>
    <row r="274" ht="15.75" customHeight="1" s="375"/>
    <row r="275" ht="15.75" customHeight="1" s="375"/>
    <row r="276" ht="15.75" customHeight="1" s="375"/>
    <row r="277" ht="15.75" customHeight="1" s="375"/>
    <row r="278" ht="15.75" customHeight="1" s="375"/>
    <row r="279" ht="15.75" customHeight="1" s="375"/>
    <row r="280" ht="15.75" customHeight="1" s="375"/>
    <row r="281" ht="15.75" customHeight="1" s="375"/>
    <row r="282" ht="15.75" customHeight="1" s="375"/>
    <row r="283" ht="15.75" customHeight="1" s="375"/>
    <row r="284" ht="15.75" customHeight="1" s="375"/>
    <row r="285" ht="15.75" customHeight="1" s="375"/>
    <row r="286" ht="15.75" customHeight="1" s="375"/>
    <row r="287" ht="15.75" customHeight="1" s="375"/>
    <row r="288" ht="15.75" customHeight="1" s="375"/>
    <row r="289" ht="15.75" customHeight="1" s="375"/>
    <row r="290" ht="15.75" customHeight="1" s="375"/>
    <row r="291" ht="15.75" customHeight="1" s="375"/>
    <row r="292" ht="15.75" customHeight="1" s="375"/>
    <row r="293" ht="15.75" customHeight="1" s="375"/>
    <row r="294" ht="15.75" customHeight="1" s="375"/>
    <row r="295" ht="15.75" customHeight="1" s="375"/>
    <row r="296" ht="15.75" customHeight="1" s="375"/>
    <row r="297" ht="15.75" customHeight="1" s="375"/>
    <row r="298" ht="15.75" customHeight="1" s="375"/>
    <row r="299" ht="15.75" customHeight="1" s="375"/>
    <row r="300" ht="15.75" customHeight="1" s="375"/>
    <row r="301" ht="15.75" customHeight="1" s="375"/>
    <row r="302" ht="15.75" customHeight="1" s="375"/>
    <row r="303" ht="15.75" customHeight="1" s="375"/>
    <row r="304" ht="15.75" customHeight="1" s="375"/>
    <row r="305" ht="15.75" customHeight="1" s="375"/>
    <row r="306" ht="15.75" customHeight="1" s="375"/>
    <row r="307" ht="15.75" customHeight="1" s="375"/>
    <row r="308" ht="15.75" customHeight="1" s="375"/>
    <row r="309" ht="15.75" customHeight="1" s="375"/>
    <row r="310" ht="15.75" customHeight="1" s="375"/>
    <row r="311" ht="15.75" customHeight="1" s="375"/>
    <row r="312" ht="15.75" customHeight="1" s="375"/>
    <row r="313" ht="15.75" customHeight="1" s="375"/>
    <row r="314" ht="15.75" customHeight="1" s="375"/>
    <row r="315" ht="15.75" customHeight="1" s="375"/>
    <row r="316" ht="15.75" customHeight="1" s="375"/>
    <row r="317" ht="15.75" customHeight="1" s="375"/>
    <row r="318" ht="15.75" customHeight="1" s="375"/>
    <row r="319" ht="15.75" customHeight="1" s="375"/>
    <row r="320" ht="15.75" customHeight="1" s="375"/>
    <row r="321" ht="15.75" customHeight="1" s="375"/>
    <row r="322" ht="15.75" customHeight="1" s="375"/>
    <row r="323" ht="15.75" customHeight="1" s="375"/>
    <row r="324" ht="15.75" customHeight="1" s="375"/>
    <row r="325" ht="15.75" customHeight="1" s="375"/>
    <row r="326" ht="15.75" customHeight="1" s="375"/>
    <row r="327" ht="15.75" customHeight="1" s="375"/>
    <row r="328" ht="15.75" customHeight="1" s="375"/>
    <row r="329" ht="15.75" customHeight="1" s="375"/>
    <row r="330" ht="15.75" customHeight="1" s="375"/>
    <row r="331" ht="15.75" customHeight="1" s="375"/>
    <row r="332" ht="15.75" customHeight="1" s="375"/>
    <row r="333" ht="15.75" customHeight="1" s="375"/>
    <row r="334" ht="15.75" customHeight="1" s="375"/>
    <row r="335" ht="15.75" customHeight="1" s="375"/>
    <row r="336" ht="15.75" customHeight="1" s="375"/>
    <row r="337" ht="15.75" customHeight="1" s="375"/>
    <row r="338" ht="15.75" customHeight="1" s="375"/>
    <row r="339" ht="15.75" customHeight="1" s="375"/>
    <row r="340" ht="15.75" customHeight="1" s="375"/>
    <row r="341" ht="15.75" customHeight="1" s="375"/>
    <row r="342" ht="15.75" customHeight="1" s="375"/>
    <row r="343" ht="15.75" customHeight="1" s="375"/>
    <row r="344" ht="15.75" customHeight="1" s="375"/>
    <row r="345" ht="15.75" customHeight="1" s="375"/>
    <row r="346" ht="15.75" customHeight="1" s="375"/>
    <row r="347" ht="15.75" customHeight="1" s="375"/>
    <row r="348" ht="15.75" customHeight="1" s="375"/>
    <row r="349" ht="15.75" customHeight="1" s="375"/>
    <row r="350" ht="15.75" customHeight="1" s="375"/>
    <row r="351" ht="15.75" customHeight="1" s="375"/>
    <row r="352" ht="15.75" customHeight="1" s="375"/>
    <row r="353" ht="15.75" customHeight="1" s="375"/>
    <row r="354" ht="15.75" customHeight="1" s="375"/>
    <row r="355" ht="15.75" customHeight="1" s="375"/>
    <row r="356" ht="15.75" customHeight="1" s="375"/>
    <row r="357" ht="15.75" customHeight="1" s="375"/>
    <row r="358" ht="15.75" customHeight="1" s="375"/>
    <row r="359" ht="15.75" customHeight="1" s="375"/>
    <row r="360" ht="15.75" customHeight="1" s="375"/>
    <row r="361" ht="15.75" customHeight="1" s="375"/>
    <row r="362" ht="15.75" customHeight="1" s="375"/>
    <row r="363" ht="15.75" customHeight="1" s="375"/>
    <row r="364" ht="15.75" customHeight="1" s="375"/>
    <row r="365" ht="15.75" customHeight="1" s="375"/>
    <row r="366" ht="15.75" customHeight="1" s="375"/>
    <row r="367" ht="15.75" customHeight="1" s="375"/>
    <row r="368" ht="15.75" customHeight="1" s="375"/>
    <row r="369" ht="15.75" customHeight="1" s="375"/>
    <row r="370" ht="15.75" customHeight="1" s="375"/>
    <row r="371" ht="15.75" customHeight="1" s="375"/>
    <row r="372" ht="15.75" customHeight="1" s="375"/>
    <row r="373" ht="15.75" customHeight="1" s="375"/>
    <row r="374" ht="15.75" customHeight="1" s="375"/>
    <row r="375" ht="15.75" customHeight="1" s="375"/>
    <row r="376" ht="15.75" customHeight="1" s="375"/>
    <row r="377" ht="15.75" customHeight="1" s="375"/>
    <row r="378" ht="15.75" customHeight="1" s="375"/>
    <row r="379" ht="15.75" customHeight="1" s="375"/>
    <row r="380" ht="15.75" customHeight="1" s="375"/>
    <row r="381" ht="15.75" customHeight="1" s="375"/>
    <row r="382" ht="15.75" customHeight="1" s="375"/>
    <row r="383" ht="15.75" customHeight="1" s="375"/>
    <row r="384" ht="15.75" customHeight="1" s="375"/>
    <row r="385" ht="15.75" customHeight="1" s="375"/>
    <row r="386" ht="15.75" customHeight="1" s="375"/>
    <row r="387" ht="15.75" customHeight="1" s="375"/>
    <row r="388" ht="15.75" customHeight="1" s="375"/>
    <row r="389" ht="15.75" customHeight="1" s="375"/>
    <row r="390" ht="15.75" customHeight="1" s="375"/>
    <row r="391" ht="15.75" customHeight="1" s="375"/>
    <row r="392" ht="15.75" customHeight="1" s="375"/>
    <row r="393" ht="15.75" customHeight="1" s="375"/>
    <row r="394" ht="15.75" customHeight="1" s="375"/>
    <row r="395" ht="15.75" customHeight="1" s="375"/>
    <row r="396" ht="15.75" customHeight="1" s="375"/>
    <row r="397" ht="15.75" customHeight="1" s="375"/>
    <row r="398" ht="15.75" customHeight="1" s="375"/>
    <row r="399" ht="15.75" customHeight="1" s="375"/>
    <row r="400" ht="15.75" customHeight="1" s="375"/>
    <row r="401" ht="15.75" customHeight="1" s="375"/>
    <row r="402" ht="15.75" customHeight="1" s="375"/>
    <row r="403" ht="15.75" customHeight="1" s="375"/>
    <row r="404" ht="15.75" customHeight="1" s="375"/>
    <row r="405" ht="15.75" customHeight="1" s="375"/>
    <row r="406" ht="15.75" customHeight="1" s="375"/>
    <row r="407" ht="15.75" customHeight="1" s="375"/>
    <row r="408" ht="15.75" customHeight="1" s="375"/>
    <row r="409" ht="15.75" customHeight="1" s="375"/>
    <row r="410" ht="15.75" customHeight="1" s="375"/>
    <row r="411" ht="15.75" customHeight="1" s="375"/>
    <row r="412" ht="15.75" customHeight="1" s="375"/>
    <row r="413" ht="15.75" customHeight="1" s="375"/>
    <row r="414" ht="15.75" customHeight="1" s="375"/>
    <row r="415" ht="15.75" customHeight="1" s="375"/>
    <row r="416" ht="15.75" customHeight="1" s="375"/>
    <row r="417" ht="15.75" customHeight="1" s="375"/>
    <row r="418" ht="15.75" customHeight="1" s="375"/>
    <row r="419" ht="15.75" customHeight="1" s="375"/>
    <row r="420" ht="15.75" customHeight="1" s="375"/>
    <row r="421" ht="15.75" customHeight="1" s="375"/>
    <row r="422" ht="15.75" customHeight="1" s="375"/>
    <row r="423" ht="15.75" customHeight="1" s="375"/>
    <row r="424" ht="15.75" customHeight="1" s="375"/>
    <row r="425" ht="15.75" customHeight="1" s="375"/>
    <row r="426" ht="15.75" customHeight="1" s="375"/>
    <row r="427" ht="15.75" customHeight="1" s="375"/>
    <row r="428" ht="15.75" customHeight="1" s="375"/>
    <row r="429" ht="15.75" customHeight="1" s="375"/>
    <row r="430" ht="15.75" customHeight="1" s="375"/>
    <row r="431" ht="15.75" customHeight="1" s="375"/>
    <row r="432" ht="15.75" customHeight="1" s="375"/>
    <row r="433" ht="15.75" customHeight="1" s="375"/>
    <row r="434" ht="15.75" customHeight="1" s="375"/>
    <row r="435" ht="15.75" customHeight="1" s="375"/>
    <row r="436" ht="15.75" customHeight="1" s="375"/>
    <row r="437" ht="15.75" customHeight="1" s="375"/>
    <row r="438" ht="15.75" customHeight="1" s="375"/>
    <row r="439" ht="15.75" customHeight="1" s="375"/>
    <row r="440" ht="15.75" customHeight="1" s="375"/>
    <row r="441" ht="15.75" customHeight="1" s="375"/>
    <row r="442" ht="15.75" customHeight="1" s="375"/>
    <row r="443" ht="15.75" customHeight="1" s="375"/>
    <row r="444" ht="15.75" customHeight="1" s="375"/>
    <row r="445" ht="15.75" customHeight="1" s="375"/>
    <row r="446" ht="15.75" customHeight="1" s="375"/>
    <row r="447" ht="15.75" customHeight="1" s="375"/>
    <row r="448" ht="15.75" customHeight="1" s="375"/>
    <row r="449" ht="15.75" customHeight="1" s="375"/>
    <row r="450" ht="15.75" customHeight="1" s="375"/>
    <row r="451" ht="15.75" customHeight="1" s="375"/>
    <row r="452" ht="15.75" customHeight="1" s="375"/>
    <row r="453" ht="15.75" customHeight="1" s="375"/>
    <row r="454" ht="15.75" customHeight="1" s="375"/>
    <row r="455" ht="15.75" customHeight="1" s="375"/>
    <row r="456" ht="15.75" customHeight="1" s="375"/>
    <row r="457" ht="15.75" customHeight="1" s="375"/>
    <row r="458" ht="15.75" customHeight="1" s="375"/>
    <row r="459" ht="15.75" customHeight="1" s="375"/>
    <row r="460" ht="15.75" customHeight="1" s="375"/>
    <row r="461" ht="15.75" customHeight="1" s="375"/>
    <row r="462" ht="15.75" customHeight="1" s="375"/>
    <row r="463" ht="15.75" customHeight="1" s="375"/>
    <row r="464" ht="15.75" customHeight="1" s="375"/>
    <row r="465" ht="15.75" customHeight="1" s="375"/>
    <row r="466" ht="15.75" customHeight="1" s="375"/>
    <row r="467" ht="15.75" customHeight="1" s="375"/>
    <row r="468" ht="15.75" customHeight="1" s="375"/>
    <row r="469" ht="15.75" customHeight="1" s="375"/>
    <row r="470" ht="15.75" customHeight="1" s="375"/>
    <row r="471" ht="15.75" customHeight="1" s="375"/>
    <row r="472" ht="15.75" customHeight="1" s="375"/>
    <row r="473" ht="15.75" customHeight="1" s="375"/>
    <row r="474" ht="15.75" customHeight="1" s="375"/>
    <row r="475" ht="15.75" customHeight="1" s="375"/>
    <row r="476" ht="15.75" customHeight="1" s="375"/>
    <row r="477" ht="15.75" customHeight="1" s="375"/>
    <row r="478" ht="15.75" customHeight="1" s="375"/>
    <row r="479" ht="15.75" customHeight="1" s="375"/>
    <row r="480" ht="15.75" customHeight="1" s="375"/>
    <row r="481" ht="15.75" customHeight="1" s="375"/>
    <row r="482" ht="15.75" customHeight="1" s="375"/>
    <row r="483" ht="15.75" customHeight="1" s="375"/>
    <row r="484" ht="15.75" customHeight="1" s="375"/>
    <row r="485" ht="15.75" customHeight="1" s="375"/>
    <row r="486" ht="15.75" customHeight="1" s="375"/>
    <row r="487" ht="15.75" customHeight="1" s="375"/>
    <row r="488" ht="15.75" customHeight="1" s="375"/>
    <row r="489" ht="15.75" customHeight="1" s="375"/>
    <row r="490" ht="15.75" customHeight="1" s="375"/>
    <row r="491" ht="15.75" customHeight="1" s="375"/>
    <row r="492" ht="15.75" customHeight="1" s="375"/>
    <row r="493" ht="15.75" customHeight="1" s="375"/>
    <row r="494" ht="15.75" customHeight="1" s="375"/>
    <row r="495" ht="15.75" customHeight="1" s="375"/>
    <row r="496" ht="15.75" customHeight="1" s="375"/>
    <row r="497" ht="15.75" customHeight="1" s="375"/>
    <row r="498" ht="15.75" customHeight="1" s="375"/>
    <row r="499" ht="15.75" customHeight="1" s="375"/>
    <row r="500" ht="15.75" customHeight="1" s="375"/>
    <row r="501" ht="15.75" customHeight="1" s="375"/>
    <row r="502" ht="15.75" customHeight="1" s="375"/>
    <row r="503" ht="15.75" customHeight="1" s="375"/>
    <row r="504" ht="15.75" customHeight="1" s="375"/>
    <row r="505" ht="15.75" customHeight="1" s="375"/>
    <row r="506" ht="15.75" customHeight="1" s="375"/>
    <row r="507" ht="15.75" customHeight="1" s="375"/>
    <row r="508" ht="15.75" customHeight="1" s="375"/>
    <row r="509" ht="15.75" customHeight="1" s="375"/>
    <row r="510" ht="15.75" customHeight="1" s="375"/>
    <row r="511" ht="15.75" customHeight="1" s="375"/>
    <row r="512" ht="15.75" customHeight="1" s="375"/>
    <row r="513" ht="15.75" customHeight="1" s="375"/>
    <row r="514" ht="15.75" customHeight="1" s="375"/>
    <row r="515" ht="15.75" customHeight="1" s="375"/>
    <row r="516" ht="15.75" customHeight="1" s="375"/>
    <row r="517" ht="15.75" customHeight="1" s="375"/>
    <row r="518" ht="15.75" customHeight="1" s="375"/>
    <row r="519" ht="15.75" customHeight="1" s="375"/>
    <row r="520" ht="15.75" customHeight="1" s="375"/>
    <row r="521" ht="15.75" customHeight="1" s="375"/>
    <row r="522" ht="15.75" customHeight="1" s="375"/>
    <row r="523" ht="15.75" customHeight="1" s="375"/>
    <row r="524" ht="15.75" customHeight="1" s="375"/>
    <row r="525" ht="15.75" customHeight="1" s="375"/>
    <row r="526" ht="15.75" customHeight="1" s="375"/>
    <row r="527" ht="15.75" customHeight="1" s="375"/>
    <row r="528" ht="15.75" customHeight="1" s="375"/>
    <row r="529" ht="15.75" customHeight="1" s="375"/>
    <row r="530" ht="15.75" customHeight="1" s="375"/>
    <row r="531" ht="15.75" customHeight="1" s="375"/>
    <row r="532" ht="15.75" customHeight="1" s="375"/>
    <row r="533" ht="15.75" customHeight="1" s="375"/>
    <row r="534" ht="15.75" customHeight="1" s="375"/>
    <row r="535" ht="15.75" customHeight="1" s="375"/>
    <row r="536" ht="15.75" customHeight="1" s="375"/>
    <row r="537" ht="15.75" customHeight="1" s="375"/>
    <row r="538" ht="15.75" customHeight="1" s="375"/>
    <row r="539" ht="15.75" customHeight="1" s="375"/>
    <row r="540" ht="15.75" customHeight="1" s="375"/>
    <row r="541" ht="15.75" customHeight="1" s="375"/>
    <row r="542" ht="15.75" customHeight="1" s="375"/>
    <row r="543" ht="15.75" customHeight="1" s="375"/>
    <row r="544" ht="15.75" customHeight="1" s="375"/>
    <row r="545" ht="15.75" customHeight="1" s="375"/>
    <row r="546" ht="15.75" customHeight="1" s="375"/>
    <row r="547" ht="15.75" customHeight="1" s="375"/>
    <row r="548" ht="15.75" customHeight="1" s="375"/>
    <row r="549" ht="15.75" customHeight="1" s="375"/>
    <row r="550" ht="15.75" customHeight="1" s="375"/>
    <row r="551" ht="15.75" customHeight="1" s="375"/>
    <row r="552" ht="15.75" customHeight="1" s="375"/>
    <row r="553" ht="15.75" customHeight="1" s="375"/>
    <row r="554" ht="15.75" customHeight="1" s="375"/>
    <row r="555" ht="15.75" customHeight="1" s="375"/>
    <row r="556" ht="15.75" customHeight="1" s="375"/>
    <row r="557" ht="15.75" customHeight="1" s="375"/>
    <row r="558" ht="15.75" customHeight="1" s="375"/>
    <row r="559" ht="15.75" customHeight="1" s="375"/>
    <row r="560" ht="15.75" customHeight="1" s="375"/>
    <row r="561" ht="15.75" customHeight="1" s="375"/>
    <row r="562" ht="15.75" customHeight="1" s="375"/>
    <row r="563" ht="15.75" customHeight="1" s="375"/>
    <row r="564" ht="15.75" customHeight="1" s="375"/>
    <row r="565" ht="15.75" customHeight="1" s="375"/>
    <row r="566" ht="15.75" customHeight="1" s="375"/>
    <row r="567" ht="15.75" customHeight="1" s="375"/>
    <row r="568" ht="15.75" customHeight="1" s="375"/>
    <row r="569" ht="15.75" customHeight="1" s="375"/>
    <row r="570" ht="15.75" customHeight="1" s="375"/>
    <row r="571" ht="15.75" customHeight="1" s="375"/>
    <row r="572" ht="15.75" customHeight="1" s="375"/>
    <row r="573" ht="15.75" customHeight="1" s="375"/>
    <row r="574" ht="15.75" customHeight="1" s="375"/>
    <row r="575" ht="15.75" customHeight="1" s="375"/>
    <row r="576" ht="15.75" customHeight="1" s="375"/>
    <row r="577" ht="15.75" customHeight="1" s="375"/>
    <row r="578" ht="15.75" customHeight="1" s="375"/>
    <row r="579" ht="15.75" customHeight="1" s="375"/>
    <row r="580" ht="15.75" customHeight="1" s="375"/>
    <row r="581" ht="15.75" customHeight="1" s="375"/>
    <row r="582" ht="15.75" customHeight="1" s="375"/>
    <row r="583" ht="15.75" customHeight="1" s="375"/>
    <row r="584" ht="15.75" customHeight="1" s="375"/>
    <row r="585" ht="15.75" customHeight="1" s="375"/>
    <row r="586" ht="15.75" customHeight="1" s="375"/>
    <row r="587" ht="15.75" customHeight="1" s="375"/>
    <row r="588" ht="15.75" customHeight="1" s="375"/>
    <row r="589" ht="15.75" customHeight="1" s="375"/>
    <row r="590" ht="15.75" customHeight="1" s="375"/>
    <row r="591" ht="15.75" customHeight="1" s="375"/>
    <row r="592" ht="15.75" customHeight="1" s="375"/>
    <row r="593" ht="15.75" customHeight="1" s="375"/>
    <row r="594" ht="15.75" customHeight="1" s="375"/>
    <row r="595" ht="15.75" customHeight="1" s="375"/>
    <row r="596" ht="15.75" customHeight="1" s="375"/>
    <row r="597" ht="15.75" customHeight="1" s="375"/>
    <row r="598" ht="15.75" customHeight="1" s="375"/>
    <row r="599" ht="15.75" customHeight="1" s="375"/>
    <row r="600" ht="15.75" customHeight="1" s="375"/>
    <row r="601" ht="15.75" customHeight="1" s="375"/>
    <row r="602" ht="15.75" customHeight="1" s="375"/>
    <row r="603" ht="15.75" customHeight="1" s="375"/>
    <row r="604" ht="15.75" customHeight="1" s="375"/>
    <row r="605" ht="15.75" customHeight="1" s="375"/>
    <row r="606" ht="15.75" customHeight="1" s="375"/>
    <row r="607" ht="15.75" customHeight="1" s="375"/>
    <row r="608" ht="15.75" customHeight="1" s="375"/>
    <row r="609" ht="15.75" customHeight="1" s="375"/>
    <row r="610" ht="15.75" customHeight="1" s="375"/>
    <row r="611" ht="15.75" customHeight="1" s="375"/>
    <row r="612" ht="15.75" customHeight="1" s="375"/>
    <row r="613" ht="15.75" customHeight="1" s="375"/>
    <row r="614" ht="15.75" customHeight="1" s="375"/>
    <row r="615" ht="15.75" customHeight="1" s="375"/>
    <row r="616" ht="15.75" customHeight="1" s="375"/>
    <row r="617" ht="15.75" customHeight="1" s="375"/>
    <row r="618" ht="15.75" customHeight="1" s="375"/>
    <row r="619" ht="15.75" customHeight="1" s="375"/>
    <row r="620" ht="15.75" customHeight="1" s="375"/>
    <row r="621" ht="15.75" customHeight="1" s="375"/>
    <row r="622" ht="15.75" customHeight="1" s="375"/>
    <row r="623" ht="15.75" customHeight="1" s="375"/>
    <row r="624" ht="15.75" customHeight="1" s="375"/>
    <row r="625" ht="15.75" customHeight="1" s="375"/>
    <row r="626" ht="15.75" customHeight="1" s="375"/>
    <row r="627" ht="15.75" customHeight="1" s="375"/>
    <row r="628" ht="15.75" customHeight="1" s="375"/>
    <row r="629" ht="15.75" customHeight="1" s="375"/>
    <row r="630" ht="15.75" customHeight="1" s="375"/>
    <row r="631" ht="15.75" customHeight="1" s="375"/>
    <row r="632" ht="15.75" customHeight="1" s="375"/>
    <row r="633" ht="15.75" customHeight="1" s="375"/>
    <row r="634" ht="15.75" customHeight="1" s="375"/>
    <row r="635" ht="15.75" customHeight="1" s="375"/>
    <row r="636" ht="15.75" customHeight="1" s="375"/>
    <row r="637" ht="15.75" customHeight="1" s="375"/>
    <row r="638" ht="15.75" customHeight="1" s="375"/>
    <row r="639" ht="15.75" customHeight="1" s="375"/>
    <row r="640" ht="15.75" customHeight="1" s="375"/>
    <row r="641" ht="15.75" customHeight="1" s="375"/>
    <row r="642" ht="15.75" customHeight="1" s="375"/>
    <row r="643" ht="15.75" customHeight="1" s="375"/>
    <row r="644" ht="15.75" customHeight="1" s="375"/>
    <row r="645" ht="15.75" customHeight="1" s="375"/>
    <row r="646" ht="15.75" customHeight="1" s="375"/>
    <row r="647" ht="15.75" customHeight="1" s="375"/>
    <row r="648" ht="15.75" customHeight="1" s="375"/>
    <row r="649" ht="15.75" customHeight="1" s="375"/>
    <row r="650" ht="15.75" customHeight="1" s="375"/>
    <row r="651" ht="15.75" customHeight="1" s="375"/>
    <row r="652" ht="15.75" customHeight="1" s="375"/>
    <row r="653" ht="15.75" customHeight="1" s="375"/>
    <row r="654" ht="15.75" customHeight="1" s="375"/>
    <row r="655" ht="15.75" customHeight="1" s="375"/>
    <row r="656" ht="15.75" customHeight="1" s="375"/>
    <row r="657" ht="15.75" customHeight="1" s="375"/>
    <row r="658" ht="15.75" customHeight="1" s="375"/>
    <row r="659" ht="15.75" customHeight="1" s="375"/>
    <row r="660" ht="15.75" customHeight="1" s="375"/>
    <row r="661" ht="15.75" customHeight="1" s="375"/>
    <row r="662" ht="15.75" customHeight="1" s="375"/>
    <row r="663" ht="15.75" customHeight="1" s="375"/>
    <row r="664" ht="15.75" customHeight="1" s="375"/>
    <row r="665" ht="15.75" customHeight="1" s="375"/>
    <row r="666" ht="15.75" customHeight="1" s="375"/>
    <row r="667" ht="15.75" customHeight="1" s="375"/>
    <row r="668" ht="15.75" customHeight="1" s="375"/>
    <row r="669" ht="15.75" customHeight="1" s="375"/>
    <row r="670" ht="15.75" customHeight="1" s="375"/>
    <row r="671" ht="15.75" customHeight="1" s="375"/>
    <row r="672" ht="15.75" customHeight="1" s="375"/>
    <row r="673" ht="15.75" customHeight="1" s="375"/>
    <row r="674" ht="15.75" customHeight="1" s="375"/>
    <row r="675" ht="15.75" customHeight="1" s="375"/>
    <row r="676" ht="15.75" customHeight="1" s="375"/>
    <row r="677" ht="15.75" customHeight="1" s="375"/>
    <row r="678" ht="15.75" customHeight="1" s="375"/>
    <row r="679" ht="15.75" customHeight="1" s="375"/>
    <row r="680" ht="15.75" customHeight="1" s="375"/>
    <row r="681" ht="15.75" customHeight="1" s="375"/>
    <row r="682" ht="15.75" customHeight="1" s="375"/>
    <row r="683" ht="15.75" customHeight="1" s="375"/>
    <row r="684" ht="15.75" customHeight="1" s="375"/>
    <row r="685" ht="15.75" customHeight="1" s="375"/>
    <row r="686" ht="15.75" customHeight="1" s="375"/>
    <row r="687" ht="15.75" customHeight="1" s="375"/>
    <row r="688" ht="15.75" customHeight="1" s="375"/>
    <row r="689" ht="15.75" customHeight="1" s="375"/>
    <row r="690" ht="15.75" customHeight="1" s="375"/>
    <row r="691" ht="15.75" customHeight="1" s="375"/>
    <row r="692" ht="15.75" customHeight="1" s="375"/>
    <row r="693" ht="15.75" customHeight="1" s="375"/>
    <row r="694" ht="15.75" customHeight="1" s="375"/>
    <row r="695" ht="15.75" customHeight="1" s="375"/>
    <row r="696" ht="15.75" customHeight="1" s="375"/>
    <row r="697" ht="15.75" customHeight="1" s="375"/>
    <row r="698" ht="15.75" customHeight="1" s="375"/>
    <row r="699" ht="15.75" customHeight="1" s="375"/>
    <row r="700" ht="15.75" customHeight="1" s="375"/>
    <row r="701" ht="15.75" customHeight="1" s="375"/>
    <row r="702" ht="15.75" customHeight="1" s="375"/>
    <row r="703" ht="15.75" customHeight="1" s="375"/>
    <row r="704" ht="15.75" customHeight="1" s="375"/>
    <row r="705" ht="15.75" customHeight="1" s="375"/>
    <row r="706" ht="15.75" customHeight="1" s="375"/>
    <row r="707" ht="15.75" customHeight="1" s="375"/>
    <row r="708" ht="15.75" customHeight="1" s="375"/>
    <row r="709" ht="15.75" customHeight="1" s="375"/>
    <row r="710" ht="15.75" customHeight="1" s="375"/>
    <row r="711" ht="15.75" customHeight="1" s="375"/>
    <row r="712" ht="15.75" customHeight="1" s="375"/>
    <row r="713" ht="15.75" customHeight="1" s="375"/>
    <row r="714" ht="15.75" customHeight="1" s="375"/>
    <row r="715" ht="15.75" customHeight="1" s="375"/>
    <row r="716" ht="15.75" customHeight="1" s="375"/>
    <row r="717" ht="15.75" customHeight="1" s="375"/>
    <row r="718" ht="15.75" customHeight="1" s="375"/>
    <row r="719" ht="15.75" customHeight="1" s="375"/>
    <row r="720" ht="15.75" customHeight="1" s="375"/>
    <row r="721" ht="15.75" customHeight="1" s="375"/>
    <row r="722" ht="15.75" customHeight="1" s="375"/>
    <row r="723" ht="15.75" customHeight="1" s="375"/>
    <row r="724" ht="15.75" customHeight="1" s="375"/>
    <row r="725" ht="15.75" customHeight="1" s="375"/>
    <row r="726" ht="15.75" customHeight="1" s="375"/>
    <row r="727" ht="15.75" customHeight="1" s="375"/>
    <row r="728" ht="15.75" customHeight="1" s="375"/>
    <row r="729" ht="15.75" customHeight="1" s="375"/>
    <row r="730" ht="15.75" customHeight="1" s="375"/>
    <row r="731" ht="15.75" customHeight="1" s="375"/>
    <row r="732" ht="15.75" customHeight="1" s="375"/>
    <row r="733" ht="15.75" customHeight="1" s="375"/>
    <row r="734" ht="15.75" customHeight="1" s="375"/>
    <row r="735" ht="15.75" customHeight="1" s="375"/>
    <row r="736" ht="15.75" customHeight="1" s="375"/>
    <row r="737" ht="15.75" customHeight="1" s="375"/>
    <row r="738" ht="15.75" customHeight="1" s="375"/>
    <row r="739" ht="15.75" customHeight="1" s="375"/>
    <row r="740" ht="15.75" customHeight="1" s="375"/>
    <row r="741" ht="15.75" customHeight="1" s="375"/>
    <row r="742" ht="15.75" customHeight="1" s="375"/>
    <row r="743" ht="15.75" customHeight="1" s="375"/>
    <row r="744" ht="15.75" customHeight="1" s="375"/>
    <row r="745" ht="15.75" customHeight="1" s="375"/>
    <row r="746" ht="15.75" customHeight="1" s="375"/>
    <row r="747" ht="15.75" customHeight="1" s="375"/>
    <row r="748" ht="15.75" customHeight="1" s="375"/>
    <row r="749" ht="15.75" customHeight="1" s="375"/>
    <row r="750" ht="15.75" customHeight="1" s="375"/>
    <row r="751" ht="15.75" customHeight="1" s="375"/>
    <row r="752" ht="15.75" customHeight="1" s="375"/>
    <row r="753" ht="15.75" customHeight="1" s="375"/>
    <row r="754" ht="15.75" customHeight="1" s="375"/>
    <row r="755" ht="15.75" customHeight="1" s="375"/>
    <row r="756" ht="15.75" customHeight="1" s="375"/>
    <row r="757" ht="15.75" customHeight="1" s="375"/>
    <row r="758" ht="15.75" customHeight="1" s="375"/>
    <row r="759" ht="15.75" customHeight="1" s="375"/>
    <row r="760" ht="15.75" customHeight="1" s="375"/>
    <row r="761" ht="15.75" customHeight="1" s="375"/>
    <row r="762" ht="15.75" customHeight="1" s="375"/>
    <row r="763" ht="15.75" customHeight="1" s="375"/>
    <row r="764" ht="15.75" customHeight="1" s="375"/>
    <row r="765" ht="15.75" customHeight="1" s="375"/>
    <row r="766" ht="15.75" customHeight="1" s="375"/>
    <row r="767" ht="15.75" customHeight="1" s="375"/>
    <row r="768" ht="15.75" customHeight="1" s="375"/>
    <row r="769" ht="15.75" customHeight="1" s="375"/>
    <row r="770" ht="15.75" customHeight="1" s="375"/>
    <row r="771" ht="15.75" customHeight="1" s="375"/>
    <row r="772" ht="15.75" customHeight="1" s="375"/>
    <row r="773" ht="15.75" customHeight="1" s="375"/>
    <row r="774" ht="15.75" customHeight="1" s="375"/>
    <row r="775" ht="15.75" customHeight="1" s="375"/>
    <row r="776" ht="15.75" customHeight="1" s="375"/>
    <row r="777" ht="15.75" customHeight="1" s="375"/>
    <row r="778" ht="15.75" customHeight="1" s="375"/>
    <row r="779" ht="15.75" customHeight="1" s="375"/>
    <row r="780" ht="15.75" customHeight="1" s="375"/>
    <row r="781" ht="15.75" customHeight="1" s="375"/>
    <row r="782" ht="15.75" customHeight="1" s="375"/>
    <row r="783" ht="15.75" customHeight="1" s="375"/>
    <row r="784" ht="15.75" customHeight="1" s="375"/>
    <row r="785" ht="15.75" customHeight="1" s="375"/>
    <row r="786" ht="15.75" customHeight="1" s="375"/>
    <row r="787" ht="15.75" customHeight="1" s="375"/>
    <row r="788" ht="15.75" customHeight="1" s="375"/>
    <row r="789" ht="15.75" customHeight="1" s="375"/>
    <row r="790" ht="15.75" customHeight="1" s="375"/>
    <row r="791" ht="15.75" customHeight="1" s="375"/>
    <row r="792" ht="15.75" customHeight="1" s="375"/>
    <row r="793" ht="15.75" customHeight="1" s="375"/>
    <row r="794" ht="15.75" customHeight="1" s="375"/>
    <row r="795" ht="15.75" customHeight="1" s="375"/>
    <row r="796" ht="15.75" customHeight="1" s="375"/>
    <row r="797" ht="15.75" customHeight="1" s="375"/>
    <row r="798" ht="15.75" customHeight="1" s="375"/>
    <row r="799" ht="15.75" customHeight="1" s="375"/>
    <row r="800" ht="15.75" customHeight="1" s="375"/>
    <row r="801" ht="15.75" customHeight="1" s="375"/>
    <row r="802" ht="15.75" customHeight="1" s="375"/>
    <row r="803" ht="15.75" customHeight="1" s="375"/>
    <row r="804" ht="15.75" customHeight="1" s="375"/>
    <row r="805" ht="15.75" customHeight="1" s="375"/>
    <row r="806" ht="15.75" customHeight="1" s="375"/>
    <row r="807" ht="15.75" customHeight="1" s="375"/>
    <row r="808" ht="15.75" customHeight="1" s="375"/>
    <row r="809" ht="15.75" customHeight="1" s="375"/>
    <row r="810" ht="15.75" customHeight="1" s="375"/>
    <row r="811" ht="15.75" customHeight="1" s="375"/>
    <row r="812" ht="15.75" customHeight="1" s="375"/>
    <row r="813" ht="15.75" customHeight="1" s="375"/>
    <row r="814" ht="15.75" customHeight="1" s="375"/>
    <row r="815" ht="15.75" customHeight="1" s="375"/>
    <row r="816" ht="15.75" customHeight="1" s="375"/>
    <row r="817" ht="15.75" customHeight="1" s="375"/>
    <row r="818" ht="15.75" customHeight="1" s="375"/>
    <row r="819" ht="15.75" customHeight="1" s="375"/>
    <row r="820" ht="15.75" customHeight="1" s="375"/>
    <row r="821" ht="15.75" customHeight="1" s="375"/>
    <row r="822" ht="15.75" customHeight="1" s="375"/>
    <row r="823" ht="15.75" customHeight="1" s="375"/>
    <row r="824" ht="15.75" customHeight="1" s="375"/>
    <row r="825" ht="15.75" customHeight="1" s="375"/>
    <row r="826" ht="15.75" customHeight="1" s="375"/>
    <row r="827" ht="15.75" customHeight="1" s="375"/>
    <row r="828" ht="15.75" customHeight="1" s="375"/>
    <row r="829" ht="15.75" customHeight="1" s="375"/>
    <row r="830" ht="15.75" customHeight="1" s="375"/>
    <row r="831" ht="15.75" customHeight="1" s="375"/>
    <row r="832" ht="15.75" customHeight="1" s="375"/>
    <row r="833" ht="15.75" customHeight="1" s="375"/>
    <row r="834" ht="15.75" customHeight="1" s="375"/>
    <row r="835" ht="15.75" customHeight="1" s="375"/>
    <row r="836" ht="15.75" customHeight="1" s="375"/>
    <row r="837" ht="15.75" customHeight="1" s="375"/>
    <row r="838" ht="15.75" customHeight="1" s="375"/>
    <row r="839" ht="15.75" customHeight="1" s="375"/>
    <row r="840" ht="15.75" customHeight="1" s="375"/>
    <row r="841" ht="15.75" customHeight="1" s="375"/>
    <row r="842" ht="15.75" customHeight="1" s="375"/>
    <row r="843" ht="15.75" customHeight="1" s="375"/>
    <row r="844" ht="15.75" customHeight="1" s="375"/>
    <row r="845" ht="15.75" customHeight="1" s="375"/>
    <row r="846" ht="15.75" customHeight="1" s="375"/>
    <row r="847" ht="15.75" customHeight="1" s="375"/>
    <row r="848" ht="15.75" customHeight="1" s="375"/>
    <row r="849" ht="15.75" customHeight="1" s="375"/>
    <row r="850" ht="15.75" customHeight="1" s="375"/>
    <row r="851" ht="15.75" customHeight="1" s="375"/>
    <row r="852" ht="15.75" customHeight="1" s="375"/>
    <row r="853" ht="15.75" customHeight="1" s="375"/>
    <row r="854" ht="15.75" customHeight="1" s="375"/>
    <row r="855" ht="15.75" customHeight="1" s="375"/>
    <row r="856" ht="15.75" customHeight="1" s="375"/>
    <row r="857" ht="15.75" customHeight="1" s="375"/>
    <row r="858" ht="15.75" customHeight="1" s="375"/>
    <row r="859" ht="15.75" customHeight="1" s="375"/>
    <row r="860" ht="15.75" customHeight="1" s="375"/>
    <row r="861" ht="15.75" customHeight="1" s="375"/>
    <row r="862" ht="15.75" customHeight="1" s="375"/>
    <row r="863" ht="15.75" customHeight="1" s="375"/>
    <row r="864" ht="15.75" customHeight="1" s="375"/>
    <row r="865" ht="15.75" customHeight="1" s="375"/>
    <row r="866" ht="15.75" customHeight="1" s="375"/>
    <row r="867" ht="15.75" customHeight="1" s="375"/>
    <row r="868" ht="15.75" customHeight="1" s="375"/>
    <row r="869" ht="15.75" customHeight="1" s="375"/>
    <row r="870" ht="15.75" customHeight="1" s="375"/>
    <row r="871" ht="15.75" customHeight="1" s="375"/>
    <row r="872" ht="15.75" customHeight="1" s="375"/>
    <row r="873" ht="15.75" customHeight="1" s="375"/>
    <row r="874" ht="15.75" customHeight="1" s="375"/>
    <row r="875" ht="15.75" customHeight="1" s="375"/>
    <row r="876" ht="15.75" customHeight="1" s="375"/>
    <row r="877" ht="15.75" customHeight="1" s="375"/>
    <row r="878" ht="15.75" customHeight="1" s="375"/>
    <row r="879" ht="15.75" customHeight="1" s="375"/>
    <row r="880" ht="15.75" customHeight="1" s="375"/>
    <row r="881" ht="15.75" customHeight="1" s="375"/>
    <row r="882" ht="15.75" customHeight="1" s="375"/>
    <row r="883" ht="15.75" customHeight="1" s="375"/>
    <row r="884" ht="15.75" customHeight="1" s="375"/>
    <row r="885" ht="15.75" customHeight="1" s="375"/>
    <row r="886" ht="15.75" customHeight="1" s="375"/>
    <row r="887" ht="15.75" customHeight="1" s="375"/>
    <row r="888" ht="15.75" customHeight="1" s="375"/>
    <row r="889" ht="15.75" customHeight="1" s="375"/>
    <row r="890" ht="15.75" customHeight="1" s="375"/>
    <row r="891" ht="15.75" customHeight="1" s="375"/>
    <row r="892" ht="15.75" customHeight="1" s="375"/>
    <row r="893" ht="15.75" customHeight="1" s="375"/>
    <row r="894" ht="15.75" customHeight="1" s="375"/>
    <row r="895" ht="15.75" customHeight="1" s="375"/>
    <row r="896" ht="15.75" customHeight="1" s="375"/>
    <row r="897" ht="15.75" customHeight="1" s="375"/>
    <row r="898" ht="15.75" customHeight="1" s="375"/>
    <row r="899" ht="15.75" customHeight="1" s="375"/>
    <row r="900" ht="15.75" customHeight="1" s="375"/>
    <row r="901" ht="15.75" customHeight="1" s="375"/>
    <row r="902" ht="15.75" customHeight="1" s="375"/>
    <row r="903" ht="15.75" customHeight="1" s="375"/>
    <row r="904" ht="15.75" customHeight="1" s="375"/>
    <row r="905" ht="15.75" customHeight="1" s="375"/>
    <row r="906" ht="15.75" customHeight="1" s="375"/>
    <row r="907" ht="15.75" customHeight="1" s="375"/>
    <row r="908" ht="15.75" customHeight="1" s="375"/>
    <row r="909" ht="15.75" customHeight="1" s="375"/>
    <row r="910" ht="15.75" customHeight="1" s="375"/>
    <row r="911" ht="15.75" customHeight="1" s="375"/>
    <row r="912" ht="15.75" customHeight="1" s="375"/>
    <row r="913" ht="15.75" customHeight="1" s="375"/>
    <row r="914" ht="15.75" customHeight="1" s="375"/>
    <row r="915" ht="15.75" customHeight="1" s="375"/>
    <row r="916" ht="15.75" customHeight="1" s="375"/>
    <row r="917" ht="15.75" customHeight="1" s="375"/>
    <row r="918" ht="15.75" customHeight="1" s="375"/>
    <row r="919" ht="15.75" customHeight="1" s="375"/>
    <row r="920" ht="15.75" customHeight="1" s="375"/>
    <row r="921" ht="15.75" customHeight="1" s="375"/>
    <row r="922" ht="15.75" customHeight="1" s="375"/>
    <row r="923" ht="15.75" customHeight="1" s="375"/>
    <row r="924" ht="15.75" customHeight="1" s="375"/>
    <row r="925" ht="15.75" customHeight="1" s="375"/>
    <row r="926" ht="15.75" customHeight="1" s="375"/>
    <row r="927" ht="15.75" customHeight="1" s="375"/>
    <row r="928" ht="15.75" customHeight="1" s="375"/>
    <row r="929" ht="15.75" customHeight="1" s="375"/>
    <row r="930" ht="15.75" customHeight="1" s="375"/>
    <row r="931" ht="15.75" customHeight="1" s="375"/>
    <row r="932" ht="15.75" customHeight="1" s="375"/>
    <row r="933" ht="15.75" customHeight="1" s="375"/>
    <row r="934" ht="15.75" customHeight="1" s="375"/>
    <row r="935" ht="15.75" customHeight="1" s="375"/>
    <row r="936" ht="15.75" customHeight="1" s="375"/>
    <row r="937" ht="15.75" customHeight="1" s="375"/>
    <row r="938" ht="15.75" customHeight="1" s="375"/>
    <row r="939" ht="15.75" customHeight="1" s="375"/>
    <row r="940" ht="15.75" customHeight="1" s="375"/>
    <row r="941" ht="15.75" customHeight="1" s="375"/>
    <row r="942" ht="15.75" customHeight="1" s="375"/>
    <row r="943" ht="15.75" customHeight="1" s="375"/>
    <row r="944" ht="15.75" customHeight="1" s="375"/>
    <row r="945" ht="15.75" customHeight="1" s="375"/>
    <row r="946" ht="15.75" customHeight="1" s="375"/>
    <row r="947" ht="15.75" customHeight="1" s="375"/>
    <row r="948" ht="15.75" customHeight="1" s="375"/>
    <row r="949" ht="15.75" customHeight="1" s="375"/>
    <row r="950" ht="15.75" customHeight="1" s="375"/>
    <row r="951" ht="15.75" customHeight="1" s="375"/>
    <row r="952" ht="15.75" customHeight="1" s="375"/>
    <row r="953" ht="15.75" customHeight="1" s="375"/>
    <row r="954" ht="15.75" customHeight="1" s="375"/>
    <row r="955" ht="15.75" customHeight="1" s="375"/>
    <row r="956" ht="15.75" customHeight="1" s="375"/>
    <row r="957" ht="15.75" customHeight="1" s="375"/>
    <row r="958" ht="15.75" customHeight="1" s="375"/>
    <row r="959" ht="15.75" customHeight="1" s="375"/>
    <row r="960" ht="15.75" customHeight="1" s="375"/>
    <row r="961" ht="15.75" customHeight="1" s="375"/>
    <row r="962" ht="15.75" customHeight="1" s="375"/>
    <row r="963" ht="15.75" customHeight="1" s="375"/>
    <row r="964" ht="15.75" customHeight="1" s="375"/>
    <row r="965" ht="15.75" customHeight="1" s="375"/>
    <row r="966" ht="15.75" customHeight="1" s="375"/>
    <row r="967" ht="15.75" customHeight="1" s="375"/>
    <row r="968" ht="15.75" customHeight="1" s="375"/>
    <row r="969" ht="15.75" customHeight="1" s="375"/>
    <row r="970" ht="15.75" customHeight="1" s="375"/>
    <row r="971" ht="15.75" customHeight="1" s="375"/>
    <row r="972" ht="15.75" customHeight="1" s="375"/>
    <row r="973" ht="15.75" customHeight="1" s="375"/>
    <row r="974" ht="15.75" customHeight="1" s="375"/>
    <row r="975" ht="15.75" customHeight="1" s="375"/>
    <row r="976" ht="15.75" customHeight="1" s="375"/>
    <row r="977" ht="15.75" customHeight="1" s="375"/>
    <row r="978" ht="15.75" customHeight="1" s="375"/>
    <row r="979" ht="15.75" customHeight="1" s="375"/>
    <row r="980" ht="15.75" customHeight="1" s="375"/>
    <row r="981" ht="15.75" customHeight="1" s="375"/>
    <row r="982" ht="15.75" customHeight="1" s="375"/>
    <row r="983" ht="15.75" customHeight="1" s="375"/>
    <row r="984" ht="15.75" customHeight="1" s="375"/>
    <row r="985" ht="15.75" customHeight="1" s="375"/>
    <row r="986" ht="15.75" customHeight="1" s="375"/>
    <row r="987" ht="15.75" customHeight="1" s="375"/>
    <row r="988" ht="15.75" customHeight="1" s="375"/>
    <row r="989" ht="15.75" customHeight="1" s="375"/>
    <row r="990" ht="15.75" customHeight="1" s="375"/>
    <row r="991" ht="15.75" customHeight="1" s="375"/>
    <row r="992" ht="15.75" customHeight="1" s="375"/>
    <row r="993" ht="15.75" customHeight="1" s="375"/>
    <row r="994" ht="15.75" customHeight="1" s="375"/>
    <row r="995" ht="15.75" customHeight="1" s="375"/>
    <row r="996" ht="15.75" customHeight="1" s="375"/>
    <row r="997" ht="15.75" customHeight="1" s="375"/>
    <row r="998" ht="15.75" customHeight="1" s="375"/>
    <row r="999" ht="15.75" customHeight="1" s="375"/>
    <row r="1000" ht="15.75" customHeight="1" s="375"/>
    <row r="1001" ht="15.75" customHeight="1" s="375"/>
    <row r="1002" ht="15.75" customHeight="1" s="375"/>
    <row r="1003" ht="15.75" customHeight="1" s="375"/>
    <row r="1004" ht="15.75" customHeight="1" s="375"/>
    <row r="1005" ht="15.75" customHeight="1" s="375"/>
    <row r="1006" ht="15.75" customHeight="1" s="375"/>
  </sheetData>
  <printOptions horizontalCentered="0" verticalCentered="0" headings="0" gridLines="0" gridLinesSet="1"/>
  <pageMargins left="0.700694444444445" right="0.700694444444445" top="0.752083333333333" bottom="0.752083333333333"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Z2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sheetData>
    <row r="1" ht="15" customHeight="1" s="375">
      <c r="A1" s="550" t="n"/>
      <c r="B1" s="550" t="n"/>
      <c r="C1" s="550" t="n"/>
      <c r="D1" s="550" t="n"/>
      <c r="E1" s="550" t="n"/>
      <c r="F1" s="550" t="n"/>
      <c r="G1" s="550" t="n"/>
      <c r="H1" s="550" t="n"/>
      <c r="I1" s="550" t="n"/>
      <c r="J1" s="550" t="n"/>
      <c r="K1" s="550" t="n"/>
      <c r="L1" s="550" t="n"/>
      <c r="M1" s="550" t="n"/>
      <c r="N1" s="550" t="n"/>
      <c r="O1" s="550" t="n"/>
      <c r="P1" s="550" t="n"/>
      <c r="Q1" s="550" t="n"/>
      <c r="R1" s="550" t="n"/>
      <c r="S1" s="550" t="n"/>
      <c r="T1" s="550" t="n"/>
      <c r="U1" s="550" t="n"/>
      <c r="V1" s="550" t="n"/>
      <c r="W1" s="550" t="n"/>
      <c r="X1" s="550" t="n"/>
      <c r="Y1" s="550" t="n"/>
      <c r="Z1" s="550" t="n"/>
    </row>
    <row r="2" ht="15" customHeight="1" s="375">
      <c r="A2" s="550" t="n"/>
      <c r="B2" s="545" t="inlineStr">
        <is>
          <t>Monetary Policy, Emission Type and Supply Descriptions</t>
        </is>
      </c>
      <c r="C2" s="550" t="n"/>
      <c r="D2" s="550" t="n"/>
      <c r="E2" s="550" t="n"/>
      <c r="F2" s="550" t="n"/>
      <c r="G2" s="550" t="n"/>
      <c r="H2" s="550" t="n"/>
      <c r="I2" s="550" t="n"/>
      <c r="J2" s="550" t="n"/>
      <c r="K2" s="550" t="n"/>
      <c r="L2" s="550" t="n"/>
      <c r="M2" s="550" t="n"/>
      <c r="N2" s="550" t="n"/>
      <c r="O2" s="550" t="n"/>
      <c r="P2" s="550" t="n"/>
      <c r="Q2" s="550" t="n"/>
      <c r="R2" s="550" t="n"/>
      <c r="S2" s="550" t="n"/>
      <c r="T2" s="550" t="n"/>
      <c r="U2" s="550" t="n"/>
      <c r="V2" s="550" t="n"/>
      <c r="W2" s="550" t="n"/>
      <c r="X2" s="550" t="n"/>
      <c r="Y2" s="550" t="n"/>
      <c r="Z2" s="550" t="n"/>
    </row>
    <row r="3" ht="15" customHeight="1" s="375">
      <c r="A3" s="550" t="n"/>
      <c r="B3" s="550" t="n"/>
      <c r="C3" s="550" t="n"/>
      <c r="D3" s="550" t="n"/>
      <c r="E3" s="550" t="n"/>
      <c r="F3" s="550" t="n"/>
      <c r="G3" s="550" t="n"/>
      <c r="H3" s="550" t="n"/>
      <c r="I3" s="550" t="n"/>
      <c r="J3" s="550" t="n"/>
      <c r="K3" s="550" t="n"/>
      <c r="L3" s="550" t="n"/>
      <c r="M3" s="550" t="n"/>
      <c r="N3" s="550" t="n"/>
      <c r="O3" s="550" t="n"/>
      <c r="P3" s="550" t="n"/>
      <c r="Q3" s="550" t="n"/>
      <c r="R3" s="550" t="n"/>
      <c r="S3" s="550" t="n"/>
      <c r="T3" s="550" t="n"/>
      <c r="U3" s="550" t="n"/>
      <c r="V3" s="550" t="n"/>
      <c r="W3" s="550" t="n"/>
      <c r="X3" s="550" t="n"/>
      <c r="Y3" s="550" t="n"/>
      <c r="Z3" s="550" t="n"/>
    </row>
    <row r="4" ht="15" customHeight="1" s="375">
      <c r="A4" s="550" t="n"/>
      <c r="B4" s="545" t="inlineStr">
        <is>
          <t>1. Monetary Policy</t>
        </is>
      </c>
      <c r="C4" s="550" t="n"/>
      <c r="D4" s="550" t="n"/>
      <c r="E4" s="550" t="n"/>
      <c r="F4" s="550" t="n"/>
      <c r="G4" s="550" t="n"/>
      <c r="H4" s="550" t="n"/>
      <c r="I4" s="550" t="n"/>
      <c r="J4" s="550" t="n"/>
      <c r="K4" s="550" t="n"/>
      <c r="L4" s="550" t="n"/>
      <c r="M4" s="550" t="n"/>
      <c r="N4" s="550" t="n"/>
      <c r="O4" s="550" t="n"/>
      <c r="P4" s="550" t="n"/>
      <c r="Q4" s="550" t="n"/>
      <c r="R4" s="550" t="n"/>
      <c r="S4" s="550" t="n"/>
      <c r="T4" s="550" t="n"/>
      <c r="U4" s="550" t="n"/>
      <c r="V4" s="550" t="n"/>
      <c r="W4" s="550" t="n"/>
      <c r="X4" s="550" t="n"/>
      <c r="Y4" s="550" t="n"/>
      <c r="Z4" s="550" t="n"/>
    </row>
    <row r="5" ht="15" customHeight="1" s="375">
      <c r="A5" s="550" t="n"/>
      <c r="B5" s="608" t="n"/>
      <c r="C5" s="609" t="inlineStr">
        <is>
          <t>A) Fixed Supply</t>
        </is>
      </c>
      <c r="D5" s="550" t="n"/>
      <c r="E5" s="550" t="n"/>
      <c r="F5" s="550" t="n"/>
      <c r="G5" s="550" t="n"/>
      <c r="H5" s="550" t="n"/>
      <c r="I5" s="550" t="n"/>
      <c r="J5" s="550" t="n"/>
      <c r="K5" s="550" t="n"/>
      <c r="L5" s="550" t="n"/>
      <c r="M5" s="550" t="n"/>
      <c r="N5" s="550" t="n"/>
      <c r="O5" s="550" t="n"/>
      <c r="P5" s="550" t="n"/>
      <c r="Q5" s="550" t="n"/>
      <c r="R5" s="550" t="n"/>
      <c r="S5" s="550" t="n"/>
      <c r="T5" s="550" t="n"/>
      <c r="U5" s="550" t="n"/>
      <c r="V5" s="550" t="n"/>
      <c r="W5" s="550" t="n"/>
      <c r="X5" s="550" t="n"/>
      <c r="Y5" s="550" t="n"/>
      <c r="Z5" s="550" t="n"/>
    </row>
    <row r="6" ht="15" customHeight="1" s="375">
      <c r="A6" s="550" t="n"/>
      <c r="B6" s="608" t="inlineStr">
        <is>
          <t xml:space="preserve">B) Non Capped Supply </t>
        </is>
      </c>
      <c r="C6" s="550" t="inlineStr">
        <is>
          <t>B) Non Capped Supply (Inflationary based on emmission type)</t>
        </is>
      </c>
      <c r="D6" s="550" t="n"/>
      <c r="E6" s="550" t="n"/>
      <c r="F6" s="550" t="n"/>
      <c r="G6" s="550" t="n"/>
      <c r="H6" s="550" t="n"/>
      <c r="I6" s="550" t="n"/>
      <c r="J6" s="550" t="n"/>
      <c r="K6" s="550" t="n"/>
      <c r="L6" s="550" t="n"/>
      <c r="M6" s="550" t="n"/>
      <c r="N6" s="550" t="n"/>
      <c r="O6" s="550" t="n"/>
      <c r="P6" s="550" t="n"/>
      <c r="Q6" s="550" t="n"/>
      <c r="R6" s="550" t="n"/>
      <c r="S6" s="550" t="n"/>
      <c r="T6" s="550" t="n"/>
      <c r="U6" s="550" t="n"/>
      <c r="V6" s="550" t="n"/>
      <c r="W6" s="550" t="n"/>
      <c r="X6" s="550" t="n"/>
      <c r="Y6" s="550" t="n"/>
      <c r="Z6" s="550" t="n"/>
    </row>
    <row r="7" ht="15" customHeight="1" s="375">
      <c r="A7" s="550" t="n"/>
      <c r="B7" s="608" t="inlineStr">
        <is>
          <t>C) Non-Programmatic Deflationary</t>
        </is>
      </c>
      <c r="C7" s="550" t="inlineStr">
        <is>
          <t>C) Non-Programmatic Deflationary: Supply shrinks over time due to non-programmatic mechanisms such as burns (e.g., BNB)</t>
        </is>
      </c>
      <c r="D7" s="550" t="n"/>
      <c r="E7" s="550" t="n"/>
      <c r="F7" s="550" t="n"/>
      <c r="G7" s="550" t="n"/>
      <c r="H7" s="550" t="n"/>
      <c r="I7" s="550" t="n"/>
      <c r="J7" s="550" t="n"/>
      <c r="K7" s="550" t="n"/>
      <c r="L7" s="550" t="n"/>
      <c r="M7" s="550" t="n"/>
      <c r="N7" s="550" t="n"/>
      <c r="O7" s="550" t="n"/>
      <c r="P7" s="550" t="n"/>
      <c r="Q7" s="550" t="n"/>
      <c r="R7" s="550" t="n"/>
      <c r="S7" s="550" t="n"/>
      <c r="T7" s="550" t="n"/>
      <c r="U7" s="550" t="n"/>
      <c r="V7" s="550" t="n"/>
      <c r="W7" s="550" t="n"/>
      <c r="X7" s="550" t="n"/>
      <c r="Y7" s="550" t="n"/>
      <c r="Z7" s="550" t="n"/>
    </row>
    <row r="8" ht="15" customHeight="1" s="375">
      <c r="A8" s="550" t="n"/>
      <c r="B8" s="608" t="inlineStr">
        <is>
          <t>D) Programmatic Deflationary</t>
        </is>
      </c>
      <c r="C8" s="550" t="inlineStr">
        <is>
          <t>D) Programmatic Deflationary: Supply shrinks over time due to programmatic mechanism (burn schedule, slashing penalties, % of tx value burnt, etc.)</t>
        </is>
      </c>
      <c r="D8" s="550" t="n"/>
      <c r="E8" s="550" t="n"/>
      <c r="F8" s="550" t="n"/>
      <c r="G8" s="550" t="n"/>
      <c r="H8" s="550" t="n"/>
      <c r="I8" s="550" t="n"/>
      <c r="J8" s="550" t="n"/>
      <c r="K8" s="550" t="n"/>
      <c r="L8" s="550" t="n"/>
      <c r="M8" s="550" t="n"/>
      <c r="N8" s="550" t="n"/>
      <c r="O8" s="550" t="n"/>
      <c r="P8" s="550" t="n"/>
      <c r="Q8" s="550" t="n"/>
      <c r="R8" s="550" t="n"/>
      <c r="S8" s="550" t="n"/>
      <c r="T8" s="550" t="n"/>
      <c r="U8" s="550" t="n"/>
      <c r="V8" s="550" t="n"/>
      <c r="W8" s="550" t="n"/>
      <c r="X8" s="550" t="n"/>
      <c r="Y8" s="550" t="n"/>
      <c r="Z8" s="550" t="n"/>
    </row>
    <row r="9" ht="15" customHeight="1" s="375">
      <c r="A9" s="550" t="n"/>
      <c r="B9" s="610" t="inlineStr">
        <is>
          <t>E) Burn and Mint Equilibrium</t>
        </is>
      </c>
      <c r="C9" s="611" t="inlineStr">
        <is>
          <t>E) Burn and Mint Equilibrium: Tokens burned and, separately, protocol mints new tokens per period. (e.g., Factom)</t>
        </is>
      </c>
      <c r="D9" s="550" t="n"/>
      <c r="E9" s="550" t="n"/>
      <c r="F9" s="550" t="n"/>
      <c r="G9" s="550" t="n"/>
      <c r="H9" s="550" t="n"/>
      <c r="I9" s="550" t="n"/>
      <c r="J9" s="550" t="n"/>
      <c r="K9" s="550" t="n"/>
      <c r="L9" s="550" t="n"/>
      <c r="M9" s="550" t="n"/>
      <c r="N9" s="550" t="n"/>
      <c r="O9" s="550" t="n"/>
      <c r="P9" s="550" t="n"/>
      <c r="Q9" s="550" t="n"/>
      <c r="R9" s="550" t="n"/>
      <c r="S9" s="550" t="n"/>
      <c r="T9" s="550" t="n"/>
      <c r="U9" s="550" t="n"/>
      <c r="V9" s="550" t="n"/>
      <c r="W9" s="550" t="n"/>
      <c r="X9" s="550" t="n"/>
      <c r="Y9" s="550" t="n"/>
      <c r="Z9" s="550" t="n"/>
    </row>
    <row r="10" ht="15" customHeight="1" s="375">
      <c r="A10" s="550" t="n"/>
      <c r="B10" s="608" t="inlineStr">
        <is>
          <t>F) Other</t>
        </is>
      </c>
      <c r="C10" s="550" t="inlineStr">
        <is>
          <t>F) Other</t>
        </is>
      </c>
      <c r="D10" s="550" t="n"/>
      <c r="E10" s="550" t="n"/>
      <c r="F10" s="550" t="n"/>
      <c r="G10" s="550" t="n"/>
      <c r="H10" s="550" t="n"/>
      <c r="I10" s="550" t="n"/>
      <c r="J10" s="550" t="n"/>
      <c r="K10" s="550" t="n"/>
      <c r="L10" s="550" t="n"/>
      <c r="M10" s="550" t="n"/>
      <c r="N10" s="550" t="n"/>
      <c r="O10" s="550" t="n"/>
      <c r="P10" s="550" t="n"/>
      <c r="Q10" s="550" t="n"/>
      <c r="R10" s="550" t="n"/>
      <c r="S10" s="550" t="n"/>
      <c r="T10" s="550" t="n"/>
      <c r="U10" s="550" t="n"/>
      <c r="V10" s="550" t="n"/>
      <c r="W10" s="550" t="n"/>
      <c r="X10" s="550" t="n"/>
      <c r="Y10" s="550" t="n"/>
      <c r="Z10" s="550" t="n"/>
    </row>
    <row r="11" ht="15" customHeight="1" s="375">
      <c r="A11" s="550" t="n"/>
      <c r="B11" s="545" t="n"/>
      <c r="C11" s="550" t="n"/>
      <c r="D11" s="550" t="n"/>
      <c r="E11" s="550" t="n"/>
      <c r="F11" s="550" t="n"/>
      <c r="G11" s="550" t="n"/>
      <c r="H11" s="550" t="n"/>
      <c r="I11" s="550" t="n"/>
      <c r="J11" s="550" t="n"/>
      <c r="K11" s="550" t="n"/>
      <c r="L11" s="550" t="n"/>
      <c r="M11" s="550" t="n"/>
      <c r="N11" s="550" t="n"/>
      <c r="O11" s="550" t="n"/>
      <c r="P11" s="550" t="n"/>
      <c r="Q11" s="550" t="n"/>
      <c r="R11" s="550" t="n"/>
      <c r="S11" s="550" t="n"/>
      <c r="T11" s="550" t="n"/>
      <c r="U11" s="550" t="n"/>
      <c r="V11" s="550" t="n"/>
      <c r="W11" s="550" t="n"/>
      <c r="X11" s="550" t="n"/>
      <c r="Y11" s="550" t="n"/>
      <c r="Z11" s="550" t="n"/>
    </row>
    <row r="12" ht="15" customHeight="1" s="375">
      <c r="A12" s="550" t="n"/>
      <c r="B12" s="545" t="inlineStr">
        <is>
          <t>2. Emission Type</t>
        </is>
      </c>
      <c r="C12" s="550" t="n"/>
      <c r="D12" s="550" t="n"/>
      <c r="E12" s="550" t="n"/>
      <c r="F12" s="550" t="n"/>
      <c r="G12" s="550" t="n"/>
      <c r="H12" s="550" t="n"/>
      <c r="I12" s="550" t="n"/>
      <c r="J12" s="550" t="n"/>
      <c r="K12" s="550" t="n"/>
      <c r="L12" s="550" t="n"/>
      <c r="M12" s="550" t="n"/>
      <c r="N12" s="550" t="n"/>
      <c r="O12" s="550" t="n"/>
      <c r="P12" s="550" t="n"/>
      <c r="Q12" s="550" t="n"/>
      <c r="R12" s="550" t="n"/>
      <c r="S12" s="550" t="n"/>
      <c r="T12" s="550" t="n"/>
      <c r="U12" s="550" t="n"/>
      <c r="V12" s="550" t="n"/>
      <c r="W12" s="550" t="n"/>
      <c r="X12" s="550" t="n"/>
      <c r="Y12" s="550" t="n"/>
      <c r="Z12" s="550" t="n"/>
    </row>
    <row r="13" ht="15" customHeight="1" s="375">
      <c r="A13" s="550" t="n"/>
      <c r="B13" s="610" t="inlineStr">
        <is>
          <t>A) Increasing Issuance</t>
        </is>
      </c>
      <c r="C13" s="550" t="inlineStr">
        <is>
          <t xml:space="preserve">A) Increasing Issuance: Amount of coins generated per period (block, day, year), increases over time. </t>
        </is>
      </c>
      <c r="D13" s="550" t="n"/>
      <c r="E13" s="550" t="n"/>
      <c r="F13" s="550" t="n"/>
      <c r="G13" s="550" t="n"/>
      <c r="H13" s="550" t="n"/>
      <c r="I13" s="550" t="n"/>
      <c r="J13" s="550" t="n"/>
      <c r="K13" s="550" t="n"/>
      <c r="L13" s="550" t="n"/>
      <c r="M13" s="550" t="n"/>
      <c r="N13" s="550" t="n"/>
      <c r="O13" s="550" t="n"/>
      <c r="P13" s="550" t="n"/>
      <c r="Q13" s="550" t="n"/>
      <c r="R13" s="550" t="n"/>
      <c r="S13" s="550" t="n"/>
      <c r="T13" s="550" t="n"/>
      <c r="U13" s="550" t="n"/>
      <c r="V13" s="550" t="n"/>
      <c r="W13" s="550" t="n"/>
      <c r="X13" s="550" t="n"/>
      <c r="Y13" s="550" t="n"/>
      <c r="Z13" s="550" t="n"/>
    </row>
    <row r="14" ht="15" customHeight="1" s="375">
      <c r="A14" s="550" t="n"/>
      <c r="B14" s="610" t="inlineStr">
        <is>
          <t>B) Fixed Inflation Rate</t>
        </is>
      </c>
      <c r="C14" s="550" t="inlineStr">
        <is>
          <t>B) Fixed Inflation Rate: Increasing issuance based on a fixed inflation rate per period of time (block, day, year).</t>
        </is>
      </c>
      <c r="D14" s="550" t="n"/>
      <c r="E14" s="550" t="n"/>
      <c r="F14" s="550" t="n"/>
      <c r="G14" s="550" t="n"/>
      <c r="H14" s="550" t="n"/>
      <c r="I14" s="550" t="n"/>
      <c r="J14" s="550" t="n"/>
      <c r="K14" s="550" t="n"/>
      <c r="L14" s="550" t="n"/>
      <c r="M14" s="550" t="n"/>
      <c r="N14" s="550" t="n"/>
      <c r="O14" s="550" t="n"/>
      <c r="P14" s="550" t="n"/>
      <c r="Q14" s="550" t="n"/>
      <c r="R14" s="550" t="n"/>
      <c r="S14" s="550" t="n"/>
      <c r="T14" s="550" t="n"/>
      <c r="U14" s="550" t="n"/>
      <c r="V14" s="550" t="n"/>
      <c r="W14" s="550" t="n"/>
      <c r="X14" s="550" t="n"/>
      <c r="Y14" s="550" t="n"/>
      <c r="Z14" s="550" t="n"/>
    </row>
    <row r="15" ht="15" customHeight="1" s="375">
      <c r="A15" s="550" t="n"/>
      <c r="B15" s="610" t="inlineStr">
        <is>
          <t>D) Decreasing Inflation Rate</t>
        </is>
      </c>
      <c r="C15" s="550" t="inlineStr">
        <is>
          <t>D) Decreasing Inflation Rate: Depending on reduction rate of inflation, this model can lead to an increasing, fixed or decreasing issuance per period.</t>
        </is>
      </c>
      <c r="D15" s="550" t="n"/>
      <c r="E15" s="550" t="n"/>
      <c r="F15" s="550" t="n"/>
      <c r="G15" s="550" t="n"/>
      <c r="H15" s="550" t="n"/>
      <c r="I15" s="550" t="n"/>
      <c r="J15" s="550" t="n"/>
      <c r="K15" s="550" t="n"/>
      <c r="L15" s="550" t="n"/>
      <c r="M15" s="550" t="n"/>
      <c r="N15" s="550" t="n"/>
      <c r="O15" s="550" t="n"/>
      <c r="P15" s="550" t="n"/>
      <c r="Q15" s="550" t="n"/>
      <c r="R15" s="550" t="n"/>
      <c r="S15" s="550" t="n"/>
      <c r="T15" s="550" t="n"/>
      <c r="U15" s="550" t="n"/>
      <c r="V15" s="550" t="n"/>
      <c r="W15" s="550" t="n"/>
      <c r="X15" s="550" t="n"/>
      <c r="Y15" s="550" t="n"/>
      <c r="Z15" s="550" t="n"/>
    </row>
    <row r="16" ht="15" customHeight="1" s="375">
      <c r="A16" s="550" t="n"/>
      <c r="B16" s="610" t="inlineStr">
        <is>
          <t>E) Decreasing Issuance</t>
        </is>
      </c>
      <c r="C16" s="550" t="inlineStr">
        <is>
          <t>E) Decreasing Issuance: The amount of coins generated per period (block, day, year) decreases over time. Leads to an exponential decrease of the inflation rate. (e.g., Bitcoin)</t>
        </is>
      </c>
      <c r="D16" s="550" t="n"/>
      <c r="E16" s="550" t="n"/>
      <c r="F16" s="550" t="n"/>
      <c r="G16" s="550" t="n"/>
      <c r="H16" s="550" t="n"/>
      <c r="I16" s="550" t="n"/>
      <c r="J16" s="550" t="n"/>
      <c r="K16" s="550" t="n"/>
      <c r="L16" s="550" t="n"/>
      <c r="M16" s="550" t="n"/>
      <c r="N16" s="550" t="n"/>
      <c r="O16" s="550" t="n"/>
      <c r="P16" s="550" t="n"/>
      <c r="Q16" s="550" t="n"/>
      <c r="R16" s="550" t="n"/>
      <c r="S16" s="550" t="n"/>
      <c r="T16" s="550" t="n"/>
      <c r="U16" s="550" t="n"/>
      <c r="V16" s="550" t="n"/>
      <c r="W16" s="550" t="n"/>
      <c r="X16" s="550" t="n"/>
      <c r="Y16" s="550" t="n"/>
      <c r="Z16" s="550" t="n"/>
    </row>
    <row r="17" ht="15" customHeight="1" s="375">
      <c r="A17" s="550" t="n"/>
      <c r="B17" s="610" t="inlineStr">
        <is>
          <t>F) Dynamic Issuance and Inflation Rate</t>
        </is>
      </c>
      <c r="C17" s="550" t="inlineStr">
        <is>
          <t>F) Dynamic Issuance and Inflation Rate: Amount of coins generated per period (block, day, year) or the inflation rate, depend on specific network conditions such as the % of network staking. (E.g., Cosmos monetary policy targeting a total network stake)</t>
        </is>
      </c>
      <c r="D17" s="550" t="n"/>
      <c r="E17" s="550" t="n"/>
      <c r="F17" s="550" t="n"/>
      <c r="G17" s="550" t="n"/>
      <c r="H17" s="550" t="n"/>
      <c r="I17" s="550" t="n"/>
      <c r="J17" s="550" t="n"/>
      <c r="K17" s="550" t="n"/>
      <c r="L17" s="550" t="n"/>
      <c r="M17" s="550" t="n"/>
      <c r="N17" s="550" t="n"/>
      <c r="O17" s="550" t="n"/>
      <c r="P17" s="550" t="n"/>
      <c r="Q17" s="550" t="n"/>
      <c r="R17" s="550" t="n"/>
      <c r="S17" s="550" t="n"/>
      <c r="T17" s="550" t="n"/>
      <c r="U17" s="550" t="n"/>
      <c r="V17" s="550" t="n"/>
      <c r="W17" s="550" t="n"/>
      <c r="X17" s="550" t="n"/>
      <c r="Y17" s="550" t="n"/>
      <c r="Z17" s="550" t="n"/>
    </row>
    <row r="18" ht="15" customHeight="1" s="375">
      <c r="A18" s="550" t="n"/>
      <c r="B18" s="610" t="inlineStr">
        <is>
          <t>E) Other</t>
        </is>
      </c>
      <c r="C18" s="550" t="inlineStr">
        <is>
          <t>E) Other</t>
        </is>
      </c>
      <c r="D18" s="550" t="n"/>
      <c r="E18" s="550" t="n"/>
      <c r="F18" s="550" t="n"/>
      <c r="G18" s="550" t="n"/>
      <c r="H18" s="550" t="n"/>
      <c r="I18" s="550" t="n"/>
      <c r="J18" s="550" t="n"/>
      <c r="K18" s="550" t="n"/>
      <c r="L18" s="550" t="n"/>
      <c r="M18" s="550" t="n"/>
      <c r="N18" s="550" t="n"/>
      <c r="O18" s="550" t="n"/>
      <c r="P18" s="550" t="n"/>
      <c r="Q18" s="550" t="n"/>
      <c r="R18" s="550" t="n"/>
      <c r="S18" s="550" t="n"/>
      <c r="T18" s="550" t="n"/>
      <c r="U18" s="550" t="n"/>
      <c r="V18" s="550" t="n"/>
      <c r="W18" s="550" t="n"/>
      <c r="X18" s="550" t="n"/>
      <c r="Y18" s="550" t="n"/>
      <c r="Z18" s="550" t="n"/>
    </row>
    <row r="19" ht="15" customHeight="1" s="375">
      <c r="A19" s="550" t="n"/>
      <c r="B19" s="550" t="n"/>
      <c r="C19" s="550" t="n"/>
      <c r="D19" s="550" t="n"/>
      <c r="E19" s="550" t="n"/>
      <c r="F19" s="550" t="n"/>
      <c r="G19" s="550" t="n"/>
      <c r="H19" s="550" t="n"/>
      <c r="I19" s="550" t="n"/>
      <c r="J19" s="550" t="n"/>
      <c r="K19" s="550" t="n"/>
      <c r="L19" s="550" t="n"/>
      <c r="M19" s="550" t="n"/>
      <c r="N19" s="550" t="n"/>
      <c r="O19" s="550" t="n"/>
      <c r="P19" s="550" t="n"/>
      <c r="Q19" s="550" t="n"/>
      <c r="R19" s="550" t="n"/>
      <c r="S19" s="550" t="n"/>
      <c r="T19" s="550" t="n"/>
      <c r="U19" s="550" t="n"/>
      <c r="V19" s="550" t="n"/>
      <c r="W19" s="550" t="n"/>
      <c r="X19" s="550" t="n"/>
      <c r="Y19" s="550" t="n"/>
      <c r="Z19" s="550" t="n"/>
    </row>
    <row r="20" ht="393.25" customHeight="1" s="375">
      <c r="A20" s="550" t="n"/>
      <c r="B20" s="612" t="inlineStr">
        <is>
          <t>KNX : Monetary Policy = A) Fixed Supply - 1,000,000,000 max, with 100% of protocol revenue to open-market buy-and-burn from TGE (programmatic deflationary pressure). Emission Type = E) Decreasing Issuance - hard annual cap of 48M KNX in year 1 stepping down 15%/yr; actual issuance = the lesser of the cap and a usage-linked formula (KNX per verified attested task, halving annually).</t>
        </is>
      </c>
      <c r="C20" s="550" t="n"/>
      <c r="D20" s="550" t="n"/>
      <c r="E20" s="550" t="n"/>
      <c r="F20" s="550" t="n"/>
      <c r="G20" s="550" t="n"/>
      <c r="H20" s="550" t="n"/>
      <c r="I20" s="550" t="n"/>
      <c r="J20" s="550" t="n"/>
      <c r="K20" s="550" t="n"/>
      <c r="L20" s="550" t="n"/>
      <c r="M20" s="550" t="n"/>
      <c r="N20" s="550" t="n"/>
      <c r="O20" s="550" t="n"/>
      <c r="P20" s="550" t="n"/>
      <c r="Q20" s="550" t="n"/>
      <c r="R20" s="550" t="n"/>
      <c r="S20" s="550" t="n"/>
      <c r="T20" s="550" t="n"/>
      <c r="U20" s="550" t="n"/>
      <c r="V20" s="550" t="n"/>
      <c r="W20" s="550" t="n"/>
      <c r="X20" s="550" t="n"/>
      <c r="Y20" s="550" t="n"/>
      <c r="Z20" s="550" t="n"/>
    </row>
    <row r="21" ht="15.75" customHeight="1" s="375">
      <c r="A21" s="550" t="n"/>
      <c r="B21" s="550" t="n"/>
      <c r="C21" s="550" t="n"/>
      <c r="D21" s="550" t="n"/>
      <c r="E21" s="550" t="n"/>
      <c r="F21" s="550" t="n"/>
      <c r="G21" s="550" t="n"/>
      <c r="H21" s="550" t="n"/>
      <c r="I21" s="550" t="n"/>
      <c r="J21" s="550" t="n"/>
      <c r="K21" s="550" t="n"/>
      <c r="L21" s="550" t="n"/>
      <c r="M21" s="550" t="n"/>
      <c r="N21" s="550" t="n"/>
      <c r="O21" s="550" t="n"/>
      <c r="P21" s="550" t="n"/>
      <c r="Q21" s="550" t="n"/>
      <c r="R21" s="550" t="n"/>
      <c r="S21" s="550" t="n"/>
      <c r="T21" s="550" t="n"/>
      <c r="U21" s="550" t="n"/>
      <c r="V21" s="550" t="n"/>
      <c r="W21" s="550" t="n"/>
      <c r="X21" s="550" t="n"/>
      <c r="Y21" s="550" t="n"/>
      <c r="Z21" s="550" t="n"/>
    </row>
    <row r="22" ht="15.75" customHeight="1" s="375">
      <c r="A22" s="550" t="n"/>
      <c r="B22" s="545" t="n"/>
      <c r="C22" s="550" t="n"/>
      <c r="D22" s="550" t="n"/>
      <c r="E22" s="550" t="n"/>
      <c r="F22" s="550" t="n"/>
      <c r="G22" s="550" t="n"/>
      <c r="H22" s="550" t="n"/>
      <c r="I22" s="550" t="n"/>
      <c r="J22" s="550" t="n"/>
      <c r="K22" s="550" t="n"/>
      <c r="L22" s="550" t="n"/>
      <c r="M22" s="550" t="n"/>
      <c r="N22" s="550" t="n"/>
      <c r="O22" s="550" t="n"/>
      <c r="P22" s="550" t="n"/>
      <c r="Q22" s="550" t="n"/>
      <c r="R22" s="550" t="n"/>
      <c r="S22" s="550" t="n"/>
      <c r="T22" s="550" t="n"/>
      <c r="U22" s="550" t="n"/>
      <c r="V22" s="550" t="n"/>
      <c r="W22" s="550" t="n"/>
      <c r="X22" s="550" t="n"/>
      <c r="Y22" s="550" t="n"/>
      <c r="Z22" s="550" t="n"/>
    </row>
    <row r="23" ht="15.75" customHeight="1" s="375">
      <c r="A23" s="550" t="n"/>
      <c r="B23" s="610" t="n"/>
      <c r="C23" s="550" t="n"/>
      <c r="D23" s="550" t="n"/>
      <c r="E23" s="550" t="n"/>
      <c r="F23" s="550" t="n"/>
      <c r="G23" s="550" t="n"/>
      <c r="H23" s="550" t="n"/>
      <c r="I23" s="550" t="n"/>
      <c r="J23" s="550" t="n"/>
      <c r="K23" s="550" t="n"/>
      <c r="L23" s="550" t="n"/>
      <c r="M23" s="550" t="n"/>
      <c r="N23" s="550" t="n"/>
      <c r="O23" s="550" t="n"/>
      <c r="P23" s="550" t="n"/>
      <c r="Q23" s="550" t="n"/>
      <c r="R23" s="550" t="n"/>
      <c r="S23" s="550" t="n"/>
      <c r="T23" s="550" t="n"/>
      <c r="U23" s="550" t="n"/>
      <c r="V23" s="550" t="n"/>
      <c r="W23" s="550" t="n"/>
      <c r="X23" s="550" t="n"/>
      <c r="Y23" s="550" t="n"/>
      <c r="Z23" s="550" t="n"/>
    </row>
    <row r="24" ht="15.75" customHeight="1" s="375">
      <c r="A24" s="550" t="n"/>
      <c r="B24" s="550" t="n"/>
      <c r="C24" s="550" t="n"/>
      <c r="D24" s="550" t="n"/>
      <c r="E24" s="550" t="n"/>
      <c r="F24" s="550" t="n"/>
      <c r="G24" s="550" t="n"/>
      <c r="H24" s="550" t="n"/>
      <c r="I24" s="550" t="n"/>
      <c r="J24" s="550" t="n"/>
      <c r="K24" s="550" t="n"/>
      <c r="L24" s="550" t="n"/>
      <c r="M24" s="550" t="n"/>
      <c r="N24" s="550" t="n"/>
      <c r="O24" s="550" t="n"/>
      <c r="P24" s="550" t="n"/>
      <c r="Q24" s="550" t="n"/>
      <c r="R24" s="550" t="n"/>
      <c r="S24" s="550" t="n"/>
      <c r="T24" s="550" t="n"/>
      <c r="U24" s="550" t="n"/>
      <c r="V24" s="550" t="n"/>
      <c r="W24" s="550" t="n"/>
      <c r="X24" s="550" t="n"/>
      <c r="Y24" s="550" t="n"/>
      <c r="Z24" s="550" t="n"/>
    </row>
    <row r="25" ht="15.75" customHeight="1" s="375">
      <c r="A25" s="550" t="n"/>
      <c r="B25" s="550" t="n"/>
      <c r="C25" s="550" t="n"/>
      <c r="D25" s="550" t="n"/>
      <c r="E25" s="550" t="n"/>
      <c r="F25" s="550" t="n"/>
      <c r="G25" s="550" t="n"/>
      <c r="H25" s="550" t="n"/>
      <c r="I25" s="550" t="n"/>
      <c r="J25" s="550" t="n"/>
      <c r="K25" s="550" t="n"/>
      <c r="L25" s="550" t="n"/>
      <c r="M25" s="550" t="n"/>
      <c r="N25" s="550" t="n"/>
      <c r="O25" s="550" t="n"/>
      <c r="P25" s="550" t="n"/>
      <c r="Q25" s="550" t="n"/>
      <c r="R25" s="550" t="n"/>
      <c r="S25" s="550" t="n"/>
      <c r="T25" s="550" t="n"/>
      <c r="U25" s="550" t="n"/>
      <c r="V25" s="550" t="n"/>
      <c r="W25" s="550" t="n"/>
      <c r="X25" s="550" t="n"/>
      <c r="Y25" s="550" t="n"/>
      <c r="Z25" s="550" t="n"/>
    </row>
    <row r="26" ht="15.75" customHeight="1" s="375">
      <c r="A26" s="550" t="n"/>
      <c r="B26" s="550" t="n"/>
      <c r="C26" s="550" t="n"/>
      <c r="D26" s="550" t="n"/>
      <c r="E26" s="550" t="n"/>
      <c r="F26" s="550" t="n"/>
      <c r="G26" s="550" t="n"/>
      <c r="H26" s="550" t="n"/>
      <c r="I26" s="550" t="n"/>
      <c r="J26" s="550" t="n"/>
      <c r="K26" s="550" t="n"/>
      <c r="L26" s="550" t="n"/>
      <c r="M26" s="550" t="n"/>
      <c r="N26" s="550" t="n"/>
      <c r="O26" s="550" t="n"/>
      <c r="P26" s="550" t="n"/>
      <c r="Q26" s="550" t="n"/>
      <c r="R26" s="550" t="n"/>
      <c r="S26" s="550" t="n"/>
      <c r="T26" s="550" t="n"/>
      <c r="U26" s="550" t="n"/>
      <c r="V26" s="550" t="n"/>
      <c r="W26" s="550" t="n"/>
      <c r="X26" s="550" t="n"/>
      <c r="Y26" s="550" t="n"/>
      <c r="Z26" s="550" t="n"/>
    </row>
    <row r="27" ht="15.75" customHeight="1" s="375">
      <c r="A27" s="550" t="n"/>
      <c r="B27" s="550" t="n"/>
      <c r="C27" s="550" t="n"/>
      <c r="D27" s="550" t="n"/>
      <c r="E27" s="550" t="n"/>
      <c r="F27" s="550" t="n"/>
      <c r="G27" s="550" t="n"/>
      <c r="H27" s="550" t="n"/>
      <c r="I27" s="550" t="n"/>
      <c r="J27" s="550" t="n"/>
      <c r="K27" s="550" t="n"/>
      <c r="L27" s="550" t="n"/>
      <c r="M27" s="550" t="n"/>
      <c r="N27" s="550" t="n"/>
      <c r="O27" s="550" t="n"/>
      <c r="P27" s="550" t="n"/>
      <c r="Q27" s="550" t="n"/>
      <c r="R27" s="550" t="n"/>
      <c r="S27" s="550" t="n"/>
      <c r="T27" s="550" t="n"/>
      <c r="U27" s="550" t="n"/>
      <c r="V27" s="550" t="n"/>
      <c r="W27" s="550" t="n"/>
      <c r="X27" s="550" t="n"/>
      <c r="Y27" s="550" t="n"/>
      <c r="Z27" s="550" t="n"/>
    </row>
    <row r="28" ht="15.75" customHeight="1" s="375">
      <c r="A28" s="550" t="n"/>
      <c r="B28" s="550" t="n"/>
      <c r="C28" s="550" t="n"/>
      <c r="D28" s="550" t="n"/>
      <c r="E28" s="550" t="n"/>
      <c r="F28" s="550" t="n"/>
      <c r="G28" s="550" t="n"/>
      <c r="H28" s="550" t="n"/>
      <c r="I28" s="550" t="n"/>
      <c r="J28" s="550" t="n"/>
      <c r="K28" s="550" t="n"/>
      <c r="L28" s="550" t="n"/>
      <c r="M28" s="550" t="n"/>
      <c r="N28" s="550" t="n"/>
      <c r="O28" s="550" t="n"/>
      <c r="P28" s="550" t="n"/>
      <c r="Q28" s="550" t="n"/>
      <c r="R28" s="550" t="n"/>
      <c r="S28" s="550" t="n"/>
      <c r="T28" s="550" t="n"/>
      <c r="U28" s="550" t="n"/>
      <c r="V28" s="550" t="n"/>
      <c r="W28" s="550" t="n"/>
      <c r="X28" s="550" t="n"/>
      <c r="Y28" s="550" t="n"/>
      <c r="Z28" s="550" t="n"/>
    </row>
    <row r="29" ht="15.75" customHeight="1" s="375">
      <c r="A29" s="550" t="n"/>
      <c r="B29" s="550" t="n"/>
      <c r="C29" s="550" t="n"/>
      <c r="D29" s="550" t="n"/>
      <c r="E29" s="550" t="n"/>
      <c r="F29" s="550" t="n"/>
      <c r="G29" s="550" t="n"/>
      <c r="H29" s="550" t="n"/>
      <c r="I29" s="550" t="n"/>
      <c r="J29" s="550" t="n"/>
      <c r="K29" s="550" t="n"/>
      <c r="L29" s="550" t="n"/>
      <c r="M29" s="550" t="n"/>
      <c r="N29" s="550" t="n"/>
      <c r="O29" s="550" t="n"/>
      <c r="P29" s="550" t="n"/>
      <c r="Q29" s="550" t="n"/>
      <c r="R29" s="550" t="n"/>
      <c r="S29" s="550" t="n"/>
      <c r="T29" s="550" t="n"/>
      <c r="U29" s="550" t="n"/>
      <c r="V29" s="550" t="n"/>
      <c r="W29" s="550" t="n"/>
      <c r="X29" s="550" t="n"/>
      <c r="Y29" s="550" t="n"/>
      <c r="Z29" s="550" t="n"/>
    </row>
    <row r="30" ht="15.75" customHeight="1" s="375">
      <c r="A30" s="550" t="n"/>
      <c r="B30" s="550" t="n"/>
      <c r="C30" s="550" t="n"/>
      <c r="D30" s="550" t="n"/>
      <c r="E30" s="550" t="n"/>
      <c r="F30" s="550" t="n"/>
      <c r="G30" s="550" t="n"/>
      <c r="H30" s="550" t="n"/>
      <c r="I30" s="550" t="n"/>
      <c r="J30" s="550" t="n"/>
      <c r="K30" s="550" t="n"/>
      <c r="L30" s="550" t="n"/>
      <c r="M30" s="550" t="n"/>
      <c r="N30" s="550" t="n"/>
      <c r="O30" s="550" t="n"/>
      <c r="P30" s="550" t="n"/>
      <c r="Q30" s="550" t="n"/>
      <c r="R30" s="550" t="n"/>
      <c r="S30" s="550" t="n"/>
      <c r="T30" s="550" t="n"/>
      <c r="U30" s="550" t="n"/>
      <c r="V30" s="550" t="n"/>
      <c r="W30" s="550" t="n"/>
      <c r="X30" s="550" t="n"/>
      <c r="Y30" s="550" t="n"/>
      <c r="Z30" s="550" t="n"/>
    </row>
    <row r="31" ht="15.75" customHeight="1" s="375">
      <c r="A31" s="550" t="n"/>
      <c r="B31" s="550" t="n"/>
      <c r="C31" s="550" t="n"/>
      <c r="D31" s="550" t="n"/>
      <c r="E31" s="550" t="n"/>
      <c r="F31" s="550" t="n"/>
      <c r="G31" s="550" t="n"/>
      <c r="H31" s="550" t="n"/>
      <c r="I31" s="550" t="n"/>
      <c r="J31" s="550" t="n"/>
      <c r="K31" s="550" t="n"/>
      <c r="L31" s="550" t="n"/>
      <c r="M31" s="550" t="n"/>
      <c r="N31" s="550" t="n"/>
      <c r="O31" s="550" t="n"/>
      <c r="P31" s="550" t="n"/>
      <c r="Q31" s="550" t="n"/>
      <c r="R31" s="550" t="n"/>
      <c r="S31" s="550" t="n"/>
      <c r="T31" s="550" t="n"/>
      <c r="U31" s="550" t="n"/>
      <c r="V31" s="550" t="n"/>
      <c r="W31" s="550" t="n"/>
      <c r="X31" s="550" t="n"/>
      <c r="Y31" s="550" t="n"/>
      <c r="Z31" s="550" t="n"/>
    </row>
    <row r="32" ht="15.75" customHeight="1" s="375">
      <c r="A32" s="550" t="n"/>
      <c r="B32" s="550" t="n"/>
      <c r="C32" s="550" t="n"/>
      <c r="D32" s="550" t="n"/>
      <c r="E32" s="550" t="n"/>
      <c r="F32" s="550" t="n"/>
      <c r="G32" s="550" t="n"/>
      <c r="H32" s="550" t="n"/>
      <c r="I32" s="550" t="n"/>
      <c r="J32" s="550" t="n"/>
      <c r="K32" s="550" t="n"/>
      <c r="L32" s="550" t="n"/>
      <c r="M32" s="550" t="n"/>
      <c r="N32" s="550" t="n"/>
      <c r="O32" s="550" t="n"/>
      <c r="P32" s="550" t="n"/>
      <c r="Q32" s="550" t="n"/>
      <c r="R32" s="550" t="n"/>
      <c r="S32" s="550" t="n"/>
      <c r="T32" s="550" t="n"/>
      <c r="U32" s="550" t="n"/>
      <c r="V32" s="550" t="n"/>
      <c r="W32" s="550" t="n"/>
      <c r="X32" s="550" t="n"/>
      <c r="Y32" s="550" t="n"/>
      <c r="Z32" s="550" t="n"/>
    </row>
    <row r="33" ht="15.75" customHeight="1" s="375">
      <c r="A33" s="550" t="n"/>
      <c r="B33" s="550" t="n"/>
      <c r="C33" s="550" t="n"/>
      <c r="D33" s="550" t="n"/>
      <c r="E33" s="550" t="n"/>
      <c r="F33" s="550" t="n"/>
      <c r="G33" s="550" t="n"/>
      <c r="H33" s="550" t="n"/>
      <c r="I33" s="550" t="n"/>
      <c r="J33" s="550" t="n"/>
      <c r="K33" s="550" t="n"/>
      <c r="L33" s="550" t="n"/>
      <c r="M33" s="550" t="n"/>
      <c r="N33" s="550" t="n"/>
      <c r="O33" s="550" t="n"/>
      <c r="P33" s="550" t="n"/>
      <c r="Q33" s="550" t="n"/>
      <c r="R33" s="550" t="n"/>
      <c r="S33" s="550" t="n"/>
      <c r="T33" s="550" t="n"/>
      <c r="U33" s="550" t="n"/>
      <c r="V33" s="550" t="n"/>
      <c r="W33" s="550" t="n"/>
      <c r="X33" s="550" t="n"/>
      <c r="Y33" s="550" t="n"/>
      <c r="Z33" s="550" t="n"/>
    </row>
    <row r="34" ht="15.75" customHeight="1" s="375">
      <c r="A34" s="550" t="n"/>
      <c r="B34" s="550" t="n"/>
      <c r="C34" s="550" t="n"/>
      <c r="D34" s="550" t="n"/>
      <c r="E34" s="550" t="n"/>
      <c r="F34" s="550" t="n"/>
      <c r="G34" s="550" t="n"/>
      <c r="H34" s="550" t="n"/>
      <c r="I34" s="550" t="n"/>
      <c r="J34" s="550" t="n"/>
      <c r="K34" s="550" t="n"/>
      <c r="L34" s="550" t="n"/>
      <c r="M34" s="550" t="n"/>
      <c r="N34" s="550" t="n"/>
      <c r="O34" s="550" t="n"/>
      <c r="P34" s="550" t="n"/>
      <c r="Q34" s="550" t="n"/>
      <c r="R34" s="550" t="n"/>
      <c r="S34" s="550" t="n"/>
      <c r="T34" s="550" t="n"/>
      <c r="U34" s="550" t="n"/>
      <c r="V34" s="550" t="n"/>
      <c r="W34" s="550" t="n"/>
      <c r="X34" s="550" t="n"/>
      <c r="Y34" s="550" t="n"/>
      <c r="Z34" s="550" t="n"/>
    </row>
    <row r="35" ht="15.75" customHeight="1" s="375">
      <c r="A35" s="550" t="n"/>
      <c r="B35" s="550" t="n"/>
      <c r="C35" s="550" t="n"/>
      <c r="D35" s="550" t="n"/>
      <c r="E35" s="550" t="n"/>
      <c r="F35" s="550" t="n"/>
      <c r="G35" s="550" t="n"/>
      <c r="H35" s="550" t="n"/>
      <c r="I35" s="550" t="n"/>
      <c r="J35" s="550" t="n"/>
      <c r="K35" s="550" t="n"/>
      <c r="L35" s="550" t="n"/>
      <c r="M35" s="550" t="n"/>
      <c r="N35" s="550" t="n"/>
      <c r="O35" s="550" t="n"/>
      <c r="P35" s="550" t="n"/>
      <c r="Q35" s="550" t="n"/>
      <c r="R35" s="550" t="n"/>
      <c r="S35" s="550" t="n"/>
      <c r="T35" s="550" t="n"/>
      <c r="U35" s="550" t="n"/>
      <c r="V35" s="550" t="n"/>
      <c r="W35" s="550" t="n"/>
      <c r="X35" s="550" t="n"/>
      <c r="Y35" s="550" t="n"/>
      <c r="Z35" s="550" t="n"/>
    </row>
    <row r="36" ht="15.75" customHeight="1" s="375">
      <c r="A36" s="550" t="n"/>
      <c r="B36" s="550" t="n"/>
      <c r="C36" s="550" t="n"/>
      <c r="D36" s="550" t="n"/>
      <c r="E36" s="550" t="n"/>
      <c r="F36" s="550" t="n"/>
      <c r="G36" s="550" t="n"/>
      <c r="H36" s="550" t="n"/>
      <c r="I36" s="550" t="n"/>
      <c r="J36" s="550" t="n"/>
      <c r="K36" s="550" t="n"/>
      <c r="L36" s="550" t="n"/>
      <c r="M36" s="550" t="n"/>
      <c r="N36" s="550" t="n"/>
      <c r="O36" s="550" t="n"/>
      <c r="P36" s="550" t="n"/>
      <c r="Q36" s="550" t="n"/>
      <c r="R36" s="550" t="n"/>
      <c r="S36" s="550" t="n"/>
      <c r="T36" s="550" t="n"/>
      <c r="U36" s="550" t="n"/>
      <c r="V36" s="550" t="n"/>
      <c r="W36" s="550" t="n"/>
      <c r="X36" s="550" t="n"/>
      <c r="Y36" s="550" t="n"/>
      <c r="Z36" s="550" t="n"/>
    </row>
    <row r="37" ht="15.75" customHeight="1" s="375">
      <c r="A37" s="550" t="n"/>
      <c r="B37" s="550" t="n"/>
      <c r="C37" s="550" t="n"/>
      <c r="D37" s="550" t="n"/>
      <c r="E37" s="550" t="n"/>
      <c r="F37" s="550" t="n"/>
      <c r="G37" s="550" t="n"/>
      <c r="H37" s="550" t="n"/>
      <c r="I37" s="550" t="n"/>
      <c r="J37" s="550" t="n"/>
      <c r="K37" s="550" t="n"/>
      <c r="L37" s="550" t="n"/>
      <c r="M37" s="550" t="n"/>
      <c r="N37" s="550" t="n"/>
      <c r="O37" s="550" t="n"/>
      <c r="P37" s="550" t="n"/>
      <c r="Q37" s="550" t="n"/>
      <c r="R37" s="550" t="n"/>
      <c r="S37" s="550" t="n"/>
      <c r="T37" s="550" t="n"/>
      <c r="U37" s="550" t="n"/>
      <c r="V37" s="550" t="n"/>
      <c r="W37" s="550" t="n"/>
      <c r="X37" s="550" t="n"/>
      <c r="Y37" s="550" t="n"/>
      <c r="Z37" s="550" t="n"/>
    </row>
    <row r="38" ht="15.75" customHeight="1" s="375">
      <c r="A38" s="550" t="n"/>
      <c r="B38" s="550" t="n"/>
      <c r="C38" s="550" t="n"/>
      <c r="D38" s="550" t="n"/>
      <c r="E38" s="550" t="n"/>
      <c r="F38" s="550" t="n"/>
      <c r="G38" s="550" t="n"/>
      <c r="H38" s="550" t="n"/>
      <c r="I38" s="550" t="n"/>
      <c r="J38" s="550" t="n"/>
      <c r="K38" s="550" t="n"/>
      <c r="L38" s="550" t="n"/>
      <c r="M38" s="550" t="n"/>
      <c r="N38" s="550" t="n"/>
      <c r="O38" s="550" t="n"/>
      <c r="P38" s="550" t="n"/>
      <c r="Q38" s="550" t="n"/>
      <c r="R38" s="550" t="n"/>
      <c r="S38" s="550" t="n"/>
      <c r="T38" s="550" t="n"/>
      <c r="U38" s="550" t="n"/>
      <c r="V38" s="550" t="n"/>
      <c r="W38" s="550" t="n"/>
      <c r="X38" s="550" t="n"/>
      <c r="Y38" s="550" t="n"/>
      <c r="Z38" s="550" t="n"/>
    </row>
    <row r="39" ht="15.75" customHeight="1" s="375">
      <c r="A39" s="550" t="n"/>
      <c r="B39" s="550" t="n"/>
      <c r="C39" s="550" t="n"/>
      <c r="D39" s="550" t="n"/>
      <c r="E39" s="550" t="n"/>
      <c r="F39" s="550" t="n"/>
      <c r="G39" s="550" t="n"/>
      <c r="H39" s="550" t="n"/>
      <c r="I39" s="550" t="n"/>
      <c r="J39" s="550" t="n"/>
      <c r="K39" s="550" t="n"/>
      <c r="L39" s="550" t="n"/>
      <c r="M39" s="550" t="n"/>
      <c r="N39" s="550" t="n"/>
      <c r="O39" s="550" t="n"/>
      <c r="P39" s="550" t="n"/>
      <c r="Q39" s="550" t="n"/>
      <c r="R39" s="550" t="n"/>
      <c r="S39" s="550" t="n"/>
      <c r="T39" s="550" t="n"/>
      <c r="U39" s="550" t="n"/>
      <c r="V39" s="550" t="n"/>
      <c r="W39" s="550" t="n"/>
      <c r="X39" s="550" t="n"/>
      <c r="Y39" s="550" t="n"/>
      <c r="Z39" s="550" t="n"/>
    </row>
    <row r="40" ht="15.75" customHeight="1" s="375">
      <c r="A40" s="550" t="n"/>
      <c r="B40" s="550" t="n"/>
      <c r="C40" s="550" t="n"/>
      <c r="D40" s="550" t="n"/>
      <c r="E40" s="550" t="n"/>
      <c r="F40" s="550" t="n"/>
      <c r="G40" s="550" t="n"/>
      <c r="H40" s="550" t="n"/>
      <c r="I40" s="550" t="n"/>
      <c r="J40" s="550" t="n"/>
      <c r="K40" s="550" t="n"/>
      <c r="L40" s="550" t="n"/>
      <c r="M40" s="550" t="n"/>
      <c r="N40" s="550" t="n"/>
      <c r="O40" s="550" t="n"/>
      <c r="P40" s="550" t="n"/>
      <c r="Q40" s="550" t="n"/>
      <c r="R40" s="550" t="n"/>
      <c r="S40" s="550" t="n"/>
      <c r="T40" s="550" t="n"/>
      <c r="U40" s="550" t="n"/>
      <c r="V40" s="550" t="n"/>
      <c r="W40" s="550" t="n"/>
      <c r="X40" s="550" t="n"/>
      <c r="Y40" s="550" t="n"/>
      <c r="Z40" s="550" t="n"/>
    </row>
    <row r="41" ht="15.75" customHeight="1" s="375">
      <c r="A41" s="550" t="n"/>
      <c r="B41" s="550" t="n"/>
      <c r="C41" s="550" t="n"/>
      <c r="D41" s="550" t="n"/>
      <c r="E41" s="550" t="n"/>
      <c r="F41" s="550" t="n"/>
      <c r="G41" s="550" t="n"/>
      <c r="H41" s="550" t="n"/>
      <c r="I41" s="550" t="n"/>
      <c r="J41" s="550" t="n"/>
      <c r="K41" s="550" t="n"/>
      <c r="L41" s="550" t="n"/>
      <c r="M41" s="550" t="n"/>
      <c r="N41" s="550" t="n"/>
      <c r="O41" s="550" t="n"/>
      <c r="P41" s="550" t="n"/>
      <c r="Q41" s="550" t="n"/>
      <c r="R41" s="550" t="n"/>
      <c r="S41" s="550" t="n"/>
      <c r="T41" s="550" t="n"/>
      <c r="U41" s="550" t="n"/>
      <c r="V41" s="550" t="n"/>
      <c r="W41" s="550" t="n"/>
      <c r="X41" s="550" t="n"/>
      <c r="Y41" s="550" t="n"/>
      <c r="Z41" s="550" t="n"/>
    </row>
    <row r="42" ht="15.75" customHeight="1" s="375">
      <c r="A42" s="550" t="n"/>
      <c r="B42" s="550" t="n"/>
      <c r="C42" s="550" t="n"/>
      <c r="D42" s="550" t="n"/>
      <c r="E42" s="550" t="n"/>
      <c r="F42" s="550" t="n"/>
      <c r="G42" s="550" t="n"/>
      <c r="H42" s="550" t="n"/>
      <c r="I42" s="550" t="n"/>
      <c r="J42" s="550" t="n"/>
      <c r="K42" s="550" t="n"/>
      <c r="L42" s="550" t="n"/>
      <c r="M42" s="550" t="n"/>
      <c r="N42" s="550" t="n"/>
      <c r="O42" s="550" t="n"/>
      <c r="P42" s="550" t="n"/>
      <c r="Q42" s="550" t="n"/>
      <c r="R42" s="550" t="n"/>
      <c r="S42" s="550" t="n"/>
      <c r="T42" s="550" t="n"/>
      <c r="U42" s="550" t="n"/>
      <c r="V42" s="550" t="n"/>
      <c r="W42" s="550" t="n"/>
      <c r="X42" s="550" t="n"/>
      <c r="Y42" s="550" t="n"/>
      <c r="Z42" s="550" t="n"/>
    </row>
    <row r="43" ht="15.75" customHeight="1" s="375">
      <c r="A43" s="550" t="n"/>
      <c r="B43" s="550" t="n"/>
      <c r="C43" s="550" t="n"/>
      <c r="D43" s="550" t="n"/>
      <c r="E43" s="550" t="n"/>
      <c r="F43" s="550" t="n"/>
      <c r="G43" s="550" t="n"/>
      <c r="H43" s="550" t="n"/>
      <c r="I43" s="550" t="n"/>
      <c r="J43" s="550" t="n"/>
      <c r="K43" s="550" t="n"/>
      <c r="L43" s="550" t="n"/>
      <c r="M43" s="550" t="n"/>
      <c r="N43" s="550" t="n"/>
      <c r="O43" s="550" t="n"/>
      <c r="P43" s="550" t="n"/>
      <c r="Q43" s="550" t="n"/>
      <c r="R43" s="550" t="n"/>
      <c r="S43" s="550" t="n"/>
      <c r="T43" s="550" t="n"/>
      <c r="U43" s="550" t="n"/>
      <c r="V43" s="550" t="n"/>
      <c r="W43" s="550" t="n"/>
      <c r="X43" s="550" t="n"/>
      <c r="Y43" s="550" t="n"/>
      <c r="Z43" s="550" t="n"/>
    </row>
    <row r="44" ht="15.75" customHeight="1" s="375">
      <c r="A44" s="550" t="n"/>
      <c r="B44" s="550" t="n"/>
      <c r="C44" s="550" t="n"/>
      <c r="D44" s="550" t="n"/>
      <c r="E44" s="550" t="n"/>
      <c r="F44" s="550" t="n"/>
      <c r="G44" s="550" t="n"/>
      <c r="H44" s="550" t="n"/>
      <c r="I44" s="550" t="n"/>
      <c r="J44" s="550" t="n"/>
      <c r="K44" s="550" t="n"/>
      <c r="L44" s="550" t="n"/>
      <c r="M44" s="550" t="n"/>
      <c r="N44" s="550" t="n"/>
      <c r="O44" s="550" t="n"/>
      <c r="P44" s="550" t="n"/>
      <c r="Q44" s="550" t="n"/>
      <c r="R44" s="550" t="n"/>
      <c r="S44" s="550" t="n"/>
      <c r="T44" s="550" t="n"/>
      <c r="U44" s="550" t="n"/>
      <c r="V44" s="550" t="n"/>
      <c r="W44" s="550" t="n"/>
      <c r="X44" s="550" t="n"/>
      <c r="Y44" s="550" t="n"/>
      <c r="Z44" s="550" t="n"/>
    </row>
    <row r="45" ht="15.75" customHeight="1" s="375">
      <c r="A45" s="550" t="n"/>
      <c r="B45" s="550" t="n"/>
      <c r="C45" s="550" t="n"/>
      <c r="D45" s="550" t="n"/>
      <c r="E45" s="550" t="n"/>
      <c r="F45" s="550" t="n"/>
      <c r="G45" s="550" t="n"/>
      <c r="H45" s="550" t="n"/>
      <c r="I45" s="550" t="n"/>
      <c r="J45" s="550" t="n"/>
      <c r="K45" s="550" t="n"/>
      <c r="L45" s="550" t="n"/>
      <c r="M45" s="550" t="n"/>
      <c r="N45" s="550" t="n"/>
      <c r="O45" s="550" t="n"/>
      <c r="P45" s="550" t="n"/>
      <c r="Q45" s="550" t="n"/>
      <c r="R45" s="550" t="n"/>
      <c r="S45" s="550" t="n"/>
      <c r="T45" s="550" t="n"/>
      <c r="U45" s="550" t="n"/>
      <c r="V45" s="550" t="n"/>
      <c r="W45" s="550" t="n"/>
      <c r="X45" s="550" t="n"/>
      <c r="Y45" s="550" t="n"/>
      <c r="Z45" s="550" t="n"/>
    </row>
    <row r="46" ht="15.75" customHeight="1" s="375">
      <c r="A46" s="550" t="n"/>
      <c r="B46" s="550" t="n"/>
      <c r="C46" s="550" t="n"/>
      <c r="D46" s="550" t="n"/>
      <c r="E46" s="550" t="n"/>
      <c r="F46" s="550" t="n"/>
      <c r="G46" s="550" t="n"/>
      <c r="H46" s="550" t="n"/>
      <c r="I46" s="550" t="n"/>
      <c r="J46" s="550" t="n"/>
      <c r="K46" s="550" t="n"/>
      <c r="L46" s="550" t="n"/>
      <c r="M46" s="550" t="n"/>
      <c r="N46" s="550" t="n"/>
      <c r="O46" s="550" t="n"/>
      <c r="P46" s="550" t="n"/>
      <c r="Q46" s="550" t="n"/>
      <c r="R46" s="550" t="n"/>
      <c r="S46" s="550" t="n"/>
      <c r="T46" s="550" t="n"/>
      <c r="U46" s="550" t="n"/>
      <c r="V46" s="550" t="n"/>
      <c r="W46" s="550" t="n"/>
      <c r="X46" s="550" t="n"/>
      <c r="Y46" s="550" t="n"/>
      <c r="Z46" s="550" t="n"/>
    </row>
    <row r="47" ht="15.75" customHeight="1" s="375">
      <c r="A47" s="550" t="n"/>
      <c r="B47" s="550" t="n"/>
      <c r="C47" s="550" t="n"/>
      <c r="D47" s="550" t="n"/>
      <c r="E47" s="550" t="n"/>
      <c r="F47" s="550" t="n"/>
      <c r="G47" s="550" t="n"/>
      <c r="H47" s="550" t="n"/>
      <c r="I47" s="550" t="n"/>
      <c r="J47" s="550" t="n"/>
      <c r="K47" s="550" t="n"/>
      <c r="L47" s="550" t="n"/>
      <c r="M47" s="550" t="n"/>
      <c r="N47" s="550" t="n"/>
      <c r="O47" s="550" t="n"/>
      <c r="P47" s="550" t="n"/>
      <c r="Q47" s="550" t="n"/>
      <c r="R47" s="550" t="n"/>
      <c r="S47" s="550" t="n"/>
      <c r="T47" s="550" t="n"/>
      <c r="U47" s="550" t="n"/>
      <c r="V47" s="550" t="n"/>
      <c r="W47" s="550" t="n"/>
      <c r="X47" s="550" t="n"/>
      <c r="Y47" s="550" t="n"/>
      <c r="Z47" s="550" t="n"/>
    </row>
    <row r="48" ht="15.75" customHeight="1" s="375">
      <c r="A48" s="550" t="n"/>
      <c r="B48" s="550" t="n"/>
      <c r="C48" s="550" t="n"/>
      <c r="D48" s="550" t="n"/>
      <c r="E48" s="550" t="n"/>
      <c r="F48" s="550" t="n"/>
      <c r="G48" s="550" t="n"/>
      <c r="H48" s="550" t="n"/>
      <c r="I48" s="550" t="n"/>
      <c r="J48" s="550" t="n"/>
      <c r="K48" s="550" t="n"/>
      <c r="L48" s="550" t="n"/>
      <c r="M48" s="550" t="n"/>
      <c r="N48" s="550" t="n"/>
      <c r="O48" s="550" t="n"/>
      <c r="P48" s="550" t="n"/>
      <c r="Q48" s="550" t="n"/>
      <c r="R48" s="550" t="n"/>
      <c r="S48" s="550" t="n"/>
      <c r="T48" s="550" t="n"/>
      <c r="U48" s="550" t="n"/>
      <c r="V48" s="550" t="n"/>
      <c r="W48" s="550" t="n"/>
      <c r="X48" s="550" t="n"/>
      <c r="Y48" s="550" t="n"/>
      <c r="Z48" s="550" t="n"/>
    </row>
    <row r="49" ht="15.75" customHeight="1" s="375">
      <c r="A49" s="550" t="n"/>
      <c r="B49" s="550" t="n"/>
      <c r="C49" s="550" t="n"/>
      <c r="D49" s="550" t="n"/>
      <c r="E49" s="550" t="n"/>
      <c r="F49" s="550" t="n"/>
      <c r="G49" s="550" t="n"/>
      <c r="H49" s="550" t="n"/>
      <c r="I49" s="550" t="n"/>
      <c r="J49" s="550" t="n"/>
      <c r="K49" s="550" t="n"/>
      <c r="L49" s="550" t="n"/>
      <c r="M49" s="550" t="n"/>
      <c r="N49" s="550" t="n"/>
      <c r="O49" s="550" t="n"/>
      <c r="P49" s="550" t="n"/>
      <c r="Q49" s="550" t="n"/>
      <c r="R49" s="550" t="n"/>
      <c r="S49" s="550" t="n"/>
      <c r="T49" s="550" t="n"/>
      <c r="U49" s="550" t="n"/>
      <c r="V49" s="550" t="n"/>
      <c r="W49" s="550" t="n"/>
      <c r="X49" s="550" t="n"/>
      <c r="Y49" s="550" t="n"/>
      <c r="Z49" s="550" t="n"/>
    </row>
    <row r="50" ht="15.75" customHeight="1" s="375">
      <c r="A50" s="550" t="n"/>
      <c r="B50" s="550" t="n"/>
      <c r="C50" s="550" t="n"/>
      <c r="D50" s="550" t="n"/>
      <c r="E50" s="550" t="n"/>
      <c r="F50" s="550" t="n"/>
      <c r="G50" s="550" t="n"/>
      <c r="H50" s="550" t="n"/>
      <c r="I50" s="550" t="n"/>
      <c r="J50" s="550" t="n"/>
      <c r="K50" s="550" t="n"/>
      <c r="L50" s="550" t="n"/>
      <c r="M50" s="550" t="n"/>
      <c r="N50" s="550" t="n"/>
      <c r="O50" s="550" t="n"/>
      <c r="P50" s="550" t="n"/>
      <c r="Q50" s="550" t="n"/>
      <c r="R50" s="550" t="n"/>
      <c r="S50" s="550" t="n"/>
      <c r="T50" s="550" t="n"/>
      <c r="U50" s="550" t="n"/>
      <c r="V50" s="550" t="n"/>
      <c r="W50" s="550" t="n"/>
      <c r="X50" s="550" t="n"/>
      <c r="Y50" s="550" t="n"/>
      <c r="Z50" s="550" t="n"/>
    </row>
    <row r="51" ht="15.75" customHeight="1" s="375">
      <c r="A51" s="550" t="n"/>
      <c r="B51" s="550" t="n"/>
      <c r="C51" s="550" t="n"/>
      <c r="D51" s="550" t="n"/>
      <c r="E51" s="550" t="n"/>
      <c r="F51" s="550" t="n"/>
      <c r="G51" s="550" t="n"/>
      <c r="H51" s="550" t="n"/>
      <c r="I51" s="550" t="n"/>
      <c r="J51" s="550" t="n"/>
      <c r="K51" s="550" t="n"/>
      <c r="L51" s="550" t="n"/>
      <c r="M51" s="550" t="n"/>
      <c r="N51" s="550" t="n"/>
      <c r="O51" s="550" t="n"/>
      <c r="P51" s="550" t="n"/>
      <c r="Q51" s="550" t="n"/>
      <c r="R51" s="550" t="n"/>
      <c r="S51" s="550" t="n"/>
      <c r="T51" s="550" t="n"/>
      <c r="U51" s="550" t="n"/>
      <c r="V51" s="550" t="n"/>
      <c r="W51" s="550" t="n"/>
      <c r="X51" s="550" t="n"/>
      <c r="Y51" s="550" t="n"/>
      <c r="Z51" s="550" t="n"/>
    </row>
    <row r="52" ht="15.75" customHeight="1" s="375">
      <c r="A52" s="550" t="n"/>
      <c r="B52" s="550" t="n"/>
      <c r="C52" s="550" t="n"/>
      <c r="D52" s="550" t="n"/>
      <c r="E52" s="550" t="n"/>
      <c r="F52" s="550" t="n"/>
      <c r="G52" s="550" t="n"/>
      <c r="H52" s="550" t="n"/>
      <c r="I52" s="550" t="n"/>
      <c r="J52" s="550" t="n"/>
      <c r="K52" s="550" t="n"/>
      <c r="L52" s="550" t="n"/>
      <c r="M52" s="550" t="n"/>
      <c r="N52" s="550" t="n"/>
      <c r="O52" s="550" t="n"/>
      <c r="P52" s="550" t="n"/>
      <c r="Q52" s="550" t="n"/>
      <c r="R52" s="550" t="n"/>
      <c r="S52" s="550" t="n"/>
      <c r="T52" s="550" t="n"/>
      <c r="U52" s="550" t="n"/>
      <c r="V52" s="550" t="n"/>
      <c r="W52" s="550" t="n"/>
      <c r="X52" s="550" t="n"/>
      <c r="Y52" s="550" t="n"/>
      <c r="Z52" s="550" t="n"/>
    </row>
    <row r="53" ht="15.75" customHeight="1" s="375">
      <c r="A53" s="550" t="n"/>
      <c r="B53" s="550" t="n"/>
      <c r="C53" s="550" t="n"/>
      <c r="D53" s="550" t="n"/>
      <c r="E53" s="550" t="n"/>
      <c r="F53" s="550" t="n"/>
      <c r="G53" s="550" t="n"/>
      <c r="H53" s="550" t="n"/>
      <c r="I53" s="550" t="n"/>
      <c r="J53" s="550" t="n"/>
      <c r="K53" s="550" t="n"/>
      <c r="L53" s="550" t="n"/>
      <c r="M53" s="550" t="n"/>
      <c r="N53" s="550" t="n"/>
      <c r="O53" s="550" t="n"/>
      <c r="P53" s="550" t="n"/>
      <c r="Q53" s="550" t="n"/>
      <c r="R53" s="550" t="n"/>
      <c r="S53" s="550" t="n"/>
      <c r="T53" s="550" t="n"/>
      <c r="U53" s="550" t="n"/>
      <c r="V53" s="550" t="n"/>
      <c r="W53" s="550" t="n"/>
      <c r="X53" s="550" t="n"/>
      <c r="Y53" s="550" t="n"/>
      <c r="Z53" s="550" t="n"/>
    </row>
    <row r="54" ht="15.75" customHeight="1" s="375">
      <c r="A54" s="550" t="n"/>
      <c r="B54" s="550" t="n"/>
      <c r="C54" s="550" t="n"/>
      <c r="D54" s="550" t="n"/>
      <c r="E54" s="550" t="n"/>
      <c r="F54" s="550" t="n"/>
      <c r="G54" s="550" t="n"/>
      <c r="H54" s="550" t="n"/>
      <c r="I54" s="550" t="n"/>
      <c r="J54" s="550" t="n"/>
      <c r="K54" s="550" t="n"/>
      <c r="L54" s="550" t="n"/>
      <c r="M54" s="550" t="n"/>
      <c r="N54" s="550" t="n"/>
      <c r="O54" s="550" t="n"/>
      <c r="P54" s="550" t="n"/>
      <c r="Q54" s="550" t="n"/>
      <c r="R54" s="550" t="n"/>
      <c r="S54" s="550" t="n"/>
      <c r="T54" s="550" t="n"/>
      <c r="U54" s="550" t="n"/>
      <c r="V54" s="550" t="n"/>
      <c r="W54" s="550" t="n"/>
      <c r="X54" s="550" t="n"/>
      <c r="Y54" s="550" t="n"/>
      <c r="Z54" s="550" t="n"/>
    </row>
    <row r="55" ht="15.75" customHeight="1" s="375">
      <c r="A55" s="550" t="n"/>
      <c r="B55" s="550" t="n"/>
      <c r="C55" s="550" t="n"/>
      <c r="D55" s="550" t="n"/>
      <c r="E55" s="550" t="n"/>
      <c r="F55" s="550" t="n"/>
      <c r="G55" s="550" t="n"/>
      <c r="H55" s="550" t="n"/>
      <c r="I55" s="550" t="n"/>
      <c r="J55" s="550" t="n"/>
      <c r="K55" s="550" t="n"/>
      <c r="L55" s="550" t="n"/>
      <c r="M55" s="550" t="n"/>
      <c r="N55" s="550" t="n"/>
      <c r="O55" s="550" t="n"/>
      <c r="P55" s="550" t="n"/>
      <c r="Q55" s="550" t="n"/>
      <c r="R55" s="550" t="n"/>
      <c r="S55" s="550" t="n"/>
      <c r="T55" s="550" t="n"/>
      <c r="U55" s="550" t="n"/>
      <c r="V55" s="550" t="n"/>
      <c r="W55" s="550" t="n"/>
      <c r="X55" s="550" t="n"/>
      <c r="Y55" s="550" t="n"/>
      <c r="Z55" s="550" t="n"/>
    </row>
    <row r="56" ht="15.75" customHeight="1" s="375">
      <c r="A56" s="550" t="n"/>
      <c r="B56" s="550" t="n"/>
      <c r="C56" s="550" t="n"/>
      <c r="D56" s="550" t="n"/>
      <c r="E56" s="550" t="n"/>
      <c r="F56" s="550" t="n"/>
      <c r="G56" s="550" t="n"/>
      <c r="H56" s="550" t="n"/>
      <c r="I56" s="550" t="n"/>
      <c r="J56" s="550" t="n"/>
      <c r="K56" s="550" t="n"/>
      <c r="L56" s="550" t="n"/>
      <c r="M56" s="550" t="n"/>
      <c r="N56" s="550" t="n"/>
      <c r="O56" s="550" t="n"/>
      <c r="P56" s="550" t="n"/>
      <c r="Q56" s="550" t="n"/>
      <c r="R56" s="550" t="n"/>
      <c r="S56" s="550" t="n"/>
      <c r="T56" s="550" t="n"/>
      <c r="U56" s="550" t="n"/>
      <c r="V56" s="550" t="n"/>
      <c r="W56" s="550" t="n"/>
      <c r="X56" s="550" t="n"/>
      <c r="Y56" s="550" t="n"/>
      <c r="Z56" s="550" t="n"/>
    </row>
    <row r="57" ht="15.75" customHeight="1" s="375">
      <c r="A57" s="550" t="n"/>
      <c r="B57" s="550" t="n"/>
      <c r="C57" s="550" t="n"/>
      <c r="D57" s="550" t="n"/>
      <c r="E57" s="550" t="n"/>
      <c r="F57" s="550" t="n"/>
      <c r="G57" s="550" t="n"/>
      <c r="H57" s="550" t="n"/>
      <c r="I57" s="550" t="n"/>
      <c r="J57" s="550" t="n"/>
      <c r="K57" s="550" t="n"/>
      <c r="L57" s="550" t="n"/>
      <c r="M57" s="550" t="n"/>
      <c r="N57" s="550" t="n"/>
      <c r="O57" s="550" t="n"/>
      <c r="P57" s="550" t="n"/>
      <c r="Q57" s="550" t="n"/>
      <c r="R57" s="550" t="n"/>
      <c r="S57" s="550" t="n"/>
      <c r="T57" s="550" t="n"/>
      <c r="U57" s="550" t="n"/>
      <c r="V57" s="550" t="n"/>
      <c r="W57" s="550" t="n"/>
      <c r="X57" s="550" t="n"/>
      <c r="Y57" s="550" t="n"/>
      <c r="Z57" s="550" t="n"/>
    </row>
    <row r="58" ht="15.75" customHeight="1" s="375">
      <c r="A58" s="550" t="n"/>
      <c r="B58" s="550" t="n"/>
      <c r="C58" s="550" t="n"/>
      <c r="D58" s="550" t="n"/>
      <c r="E58" s="550" t="n"/>
      <c r="F58" s="550" t="n"/>
      <c r="G58" s="550" t="n"/>
      <c r="H58" s="550" t="n"/>
      <c r="I58" s="550" t="n"/>
      <c r="J58" s="550" t="n"/>
      <c r="K58" s="550" t="n"/>
      <c r="L58" s="550" t="n"/>
      <c r="M58" s="550" t="n"/>
      <c r="N58" s="550" t="n"/>
      <c r="O58" s="550" t="n"/>
      <c r="P58" s="550" t="n"/>
      <c r="Q58" s="550" t="n"/>
      <c r="R58" s="550" t="n"/>
      <c r="S58" s="550" t="n"/>
      <c r="T58" s="550" t="n"/>
      <c r="U58" s="550" t="n"/>
      <c r="V58" s="550" t="n"/>
      <c r="W58" s="550" t="n"/>
      <c r="X58" s="550" t="n"/>
      <c r="Y58" s="550" t="n"/>
      <c r="Z58" s="550" t="n"/>
    </row>
    <row r="59" ht="15.75" customHeight="1" s="375">
      <c r="A59" s="550" t="n"/>
      <c r="B59" s="550" t="n"/>
      <c r="C59" s="550" t="n"/>
      <c r="D59" s="550" t="n"/>
      <c r="E59" s="550" t="n"/>
      <c r="F59" s="550" t="n"/>
      <c r="G59" s="550" t="n"/>
      <c r="H59" s="550" t="n"/>
      <c r="I59" s="550" t="n"/>
      <c r="J59" s="550" t="n"/>
      <c r="K59" s="550" t="n"/>
      <c r="L59" s="550" t="n"/>
      <c r="M59" s="550" t="n"/>
      <c r="N59" s="550" t="n"/>
      <c r="O59" s="550" t="n"/>
      <c r="P59" s="550" t="n"/>
      <c r="Q59" s="550" t="n"/>
      <c r="R59" s="550" t="n"/>
      <c r="S59" s="550" t="n"/>
      <c r="T59" s="550" t="n"/>
      <c r="U59" s="550" t="n"/>
      <c r="V59" s="550" t="n"/>
      <c r="W59" s="550" t="n"/>
      <c r="X59" s="550" t="n"/>
      <c r="Y59" s="550" t="n"/>
      <c r="Z59" s="550" t="n"/>
    </row>
    <row r="60" ht="15.75" customHeight="1" s="375">
      <c r="A60" s="550" t="n"/>
      <c r="B60" s="550" t="n"/>
      <c r="C60" s="550" t="n"/>
      <c r="D60" s="550" t="n"/>
      <c r="E60" s="550" t="n"/>
      <c r="F60" s="550" t="n"/>
      <c r="G60" s="550" t="n"/>
      <c r="H60" s="550" t="n"/>
      <c r="I60" s="550" t="n"/>
      <c r="J60" s="550" t="n"/>
      <c r="K60" s="550" t="n"/>
      <c r="L60" s="550" t="n"/>
      <c r="M60" s="550" t="n"/>
      <c r="N60" s="550" t="n"/>
      <c r="O60" s="550" t="n"/>
      <c r="P60" s="550" t="n"/>
      <c r="Q60" s="550" t="n"/>
      <c r="R60" s="550" t="n"/>
      <c r="S60" s="550" t="n"/>
      <c r="T60" s="550" t="n"/>
      <c r="U60" s="550" t="n"/>
      <c r="V60" s="550" t="n"/>
      <c r="W60" s="550" t="n"/>
      <c r="X60" s="550" t="n"/>
      <c r="Y60" s="550" t="n"/>
      <c r="Z60" s="550" t="n"/>
    </row>
    <row r="61" ht="15.75" customHeight="1" s="375">
      <c r="A61" s="550" t="n"/>
      <c r="B61" s="550" t="n"/>
      <c r="C61" s="550" t="n"/>
      <c r="D61" s="550" t="n"/>
      <c r="E61" s="550" t="n"/>
      <c r="F61" s="550" t="n"/>
      <c r="G61" s="550" t="n"/>
      <c r="H61" s="550" t="n"/>
      <c r="I61" s="550" t="n"/>
      <c r="J61" s="550" t="n"/>
      <c r="K61" s="550" t="n"/>
      <c r="L61" s="550" t="n"/>
      <c r="M61" s="550" t="n"/>
      <c r="N61" s="550" t="n"/>
      <c r="O61" s="550" t="n"/>
      <c r="P61" s="550" t="n"/>
      <c r="Q61" s="550" t="n"/>
      <c r="R61" s="550" t="n"/>
      <c r="S61" s="550" t="n"/>
      <c r="T61" s="550" t="n"/>
      <c r="U61" s="550" t="n"/>
      <c r="V61" s="550" t="n"/>
      <c r="W61" s="550" t="n"/>
      <c r="X61" s="550" t="n"/>
      <c r="Y61" s="550" t="n"/>
      <c r="Z61" s="550" t="n"/>
    </row>
    <row r="62" ht="15.75" customHeight="1" s="375">
      <c r="A62" s="550" t="n"/>
      <c r="B62" s="550" t="n"/>
      <c r="C62" s="550" t="n"/>
      <c r="D62" s="550" t="n"/>
      <c r="E62" s="550" t="n"/>
      <c r="F62" s="550" t="n"/>
      <c r="G62" s="550" t="n"/>
      <c r="H62" s="550" t="n"/>
      <c r="I62" s="550" t="n"/>
      <c r="J62" s="550" t="n"/>
      <c r="K62" s="550" t="n"/>
      <c r="L62" s="550" t="n"/>
      <c r="M62" s="550" t="n"/>
      <c r="N62" s="550" t="n"/>
      <c r="O62" s="550" t="n"/>
      <c r="P62" s="550" t="n"/>
      <c r="Q62" s="550" t="n"/>
      <c r="R62" s="550" t="n"/>
      <c r="S62" s="550" t="n"/>
      <c r="T62" s="550" t="n"/>
      <c r="U62" s="550" t="n"/>
      <c r="V62" s="550" t="n"/>
      <c r="W62" s="550" t="n"/>
      <c r="X62" s="550" t="n"/>
      <c r="Y62" s="550" t="n"/>
      <c r="Z62" s="550" t="n"/>
    </row>
    <row r="63" ht="15.75" customHeight="1" s="375">
      <c r="A63" s="550" t="n"/>
      <c r="B63" s="550" t="n"/>
      <c r="C63" s="550" t="n"/>
      <c r="D63" s="550" t="n"/>
      <c r="E63" s="550" t="n"/>
      <c r="F63" s="550" t="n"/>
      <c r="G63" s="550" t="n"/>
      <c r="H63" s="550" t="n"/>
      <c r="I63" s="550" t="n"/>
      <c r="J63" s="550" t="n"/>
      <c r="K63" s="550" t="n"/>
      <c r="L63" s="550" t="n"/>
      <c r="M63" s="550" t="n"/>
      <c r="N63" s="550" t="n"/>
      <c r="O63" s="550" t="n"/>
      <c r="P63" s="550" t="n"/>
      <c r="Q63" s="550" t="n"/>
      <c r="R63" s="550" t="n"/>
      <c r="S63" s="550" t="n"/>
      <c r="T63" s="550" t="n"/>
      <c r="U63" s="550" t="n"/>
      <c r="V63" s="550" t="n"/>
      <c r="W63" s="550" t="n"/>
      <c r="X63" s="550" t="n"/>
      <c r="Y63" s="550" t="n"/>
      <c r="Z63" s="550" t="n"/>
    </row>
    <row r="64" ht="15.75" customHeight="1" s="375">
      <c r="A64" s="550" t="n"/>
      <c r="B64" s="550" t="n"/>
      <c r="C64" s="550" t="n"/>
      <c r="D64" s="550" t="n"/>
      <c r="E64" s="550" t="n"/>
      <c r="F64" s="550" t="n"/>
      <c r="G64" s="550" t="n"/>
      <c r="H64" s="550" t="n"/>
      <c r="I64" s="550" t="n"/>
      <c r="J64" s="550" t="n"/>
      <c r="K64" s="550" t="n"/>
      <c r="L64" s="550" t="n"/>
      <c r="M64" s="550" t="n"/>
      <c r="N64" s="550" t="n"/>
      <c r="O64" s="550" t="n"/>
      <c r="P64" s="550" t="n"/>
      <c r="Q64" s="550" t="n"/>
      <c r="R64" s="550" t="n"/>
      <c r="S64" s="550" t="n"/>
      <c r="T64" s="550" t="n"/>
      <c r="U64" s="550" t="n"/>
      <c r="V64" s="550" t="n"/>
      <c r="W64" s="550" t="n"/>
      <c r="X64" s="550" t="n"/>
      <c r="Y64" s="550" t="n"/>
      <c r="Z64" s="550" t="n"/>
    </row>
    <row r="65" ht="15.75" customHeight="1" s="375">
      <c r="A65" s="550" t="n"/>
      <c r="B65" s="550" t="n"/>
      <c r="C65" s="550" t="n"/>
      <c r="D65" s="550" t="n"/>
      <c r="E65" s="550" t="n"/>
      <c r="F65" s="550" t="n"/>
      <c r="G65" s="550" t="n"/>
      <c r="H65" s="550" t="n"/>
      <c r="I65" s="550" t="n"/>
      <c r="J65" s="550" t="n"/>
      <c r="K65" s="550" t="n"/>
      <c r="L65" s="550" t="n"/>
      <c r="M65" s="550" t="n"/>
      <c r="N65" s="550" t="n"/>
      <c r="O65" s="550" t="n"/>
      <c r="P65" s="550" t="n"/>
      <c r="Q65" s="550" t="n"/>
      <c r="R65" s="550" t="n"/>
      <c r="S65" s="550" t="n"/>
      <c r="T65" s="550" t="n"/>
      <c r="U65" s="550" t="n"/>
      <c r="V65" s="550" t="n"/>
      <c r="W65" s="550" t="n"/>
      <c r="X65" s="550" t="n"/>
      <c r="Y65" s="550" t="n"/>
      <c r="Z65" s="550" t="n"/>
    </row>
    <row r="66" ht="15.75" customHeight="1" s="375">
      <c r="A66" s="550" t="n"/>
      <c r="B66" s="550" t="n"/>
      <c r="C66" s="550" t="n"/>
      <c r="D66" s="550" t="n"/>
      <c r="E66" s="550" t="n"/>
      <c r="F66" s="550" t="n"/>
      <c r="G66" s="550" t="n"/>
      <c r="H66" s="550" t="n"/>
      <c r="I66" s="550" t="n"/>
      <c r="J66" s="550" t="n"/>
      <c r="K66" s="550" t="n"/>
      <c r="L66" s="550" t="n"/>
      <c r="M66" s="550" t="n"/>
      <c r="N66" s="550" t="n"/>
      <c r="O66" s="550" t="n"/>
      <c r="P66" s="550" t="n"/>
      <c r="Q66" s="550" t="n"/>
      <c r="R66" s="550" t="n"/>
      <c r="S66" s="550" t="n"/>
      <c r="T66" s="550" t="n"/>
      <c r="U66" s="550" t="n"/>
      <c r="V66" s="550" t="n"/>
      <c r="W66" s="550" t="n"/>
      <c r="X66" s="550" t="n"/>
      <c r="Y66" s="550" t="n"/>
      <c r="Z66" s="550" t="n"/>
    </row>
    <row r="67" ht="15.75" customHeight="1" s="375">
      <c r="A67" s="550" t="n"/>
      <c r="B67" s="550" t="n"/>
      <c r="C67" s="550" t="n"/>
      <c r="D67" s="550" t="n"/>
      <c r="E67" s="550" t="n"/>
      <c r="F67" s="550" t="n"/>
      <c r="G67" s="550" t="n"/>
      <c r="H67" s="550" t="n"/>
      <c r="I67" s="550" t="n"/>
      <c r="J67" s="550" t="n"/>
      <c r="K67" s="550" t="n"/>
      <c r="L67" s="550" t="n"/>
      <c r="M67" s="550" t="n"/>
      <c r="N67" s="550" t="n"/>
      <c r="O67" s="550" t="n"/>
      <c r="P67" s="550" t="n"/>
      <c r="Q67" s="550" t="n"/>
      <c r="R67" s="550" t="n"/>
      <c r="S67" s="550" t="n"/>
      <c r="T67" s="550" t="n"/>
      <c r="U67" s="550" t="n"/>
      <c r="V67" s="550" t="n"/>
      <c r="W67" s="550" t="n"/>
      <c r="X67" s="550" t="n"/>
      <c r="Y67" s="550" t="n"/>
      <c r="Z67" s="550" t="n"/>
    </row>
    <row r="68" ht="15.75" customHeight="1" s="375">
      <c r="A68" s="550" t="n"/>
      <c r="B68" s="550" t="n"/>
      <c r="C68" s="550" t="n"/>
      <c r="D68" s="550" t="n"/>
      <c r="E68" s="550" t="n"/>
      <c r="F68" s="550" t="n"/>
      <c r="G68" s="550" t="n"/>
      <c r="H68" s="550" t="n"/>
      <c r="I68" s="550" t="n"/>
      <c r="J68" s="550" t="n"/>
      <c r="K68" s="550" t="n"/>
      <c r="L68" s="550" t="n"/>
      <c r="M68" s="550" t="n"/>
      <c r="N68" s="550" t="n"/>
      <c r="O68" s="550" t="n"/>
      <c r="P68" s="550" t="n"/>
      <c r="Q68" s="550" t="n"/>
      <c r="R68" s="550" t="n"/>
      <c r="S68" s="550" t="n"/>
      <c r="T68" s="550" t="n"/>
      <c r="U68" s="550" t="n"/>
      <c r="V68" s="550" t="n"/>
      <c r="W68" s="550" t="n"/>
      <c r="X68" s="550" t="n"/>
      <c r="Y68" s="550" t="n"/>
      <c r="Z68" s="550" t="n"/>
    </row>
    <row r="69" ht="15.75" customHeight="1" s="375">
      <c r="A69" s="550" t="n"/>
      <c r="B69" s="550" t="n"/>
      <c r="C69" s="550" t="n"/>
      <c r="D69" s="550" t="n"/>
      <c r="E69" s="550" t="n"/>
      <c r="F69" s="550" t="n"/>
      <c r="G69" s="550" t="n"/>
      <c r="H69" s="550" t="n"/>
      <c r="I69" s="550" t="n"/>
      <c r="J69" s="550" t="n"/>
      <c r="K69" s="550" t="n"/>
      <c r="L69" s="550" t="n"/>
      <c r="M69" s="550" t="n"/>
      <c r="N69" s="550" t="n"/>
      <c r="O69" s="550" t="n"/>
      <c r="P69" s="550" t="n"/>
      <c r="Q69" s="550" t="n"/>
      <c r="R69" s="550" t="n"/>
      <c r="S69" s="550" t="n"/>
      <c r="T69" s="550" t="n"/>
      <c r="U69" s="550" t="n"/>
      <c r="V69" s="550" t="n"/>
      <c r="W69" s="550" t="n"/>
      <c r="X69" s="550" t="n"/>
      <c r="Y69" s="550" t="n"/>
      <c r="Z69" s="550" t="n"/>
    </row>
    <row r="70" ht="15.75" customHeight="1" s="375">
      <c r="A70" s="550" t="n"/>
      <c r="B70" s="550" t="n"/>
      <c r="C70" s="550" t="n"/>
      <c r="D70" s="550" t="n"/>
      <c r="E70" s="550" t="n"/>
      <c r="F70" s="550" t="n"/>
      <c r="G70" s="550" t="n"/>
      <c r="H70" s="550" t="n"/>
      <c r="I70" s="550" t="n"/>
      <c r="J70" s="550" t="n"/>
      <c r="K70" s="550" t="n"/>
      <c r="L70" s="550" t="n"/>
      <c r="M70" s="550" t="n"/>
      <c r="N70" s="550" t="n"/>
      <c r="O70" s="550" t="n"/>
      <c r="P70" s="550" t="n"/>
      <c r="Q70" s="550" t="n"/>
      <c r="R70" s="550" t="n"/>
      <c r="S70" s="550" t="n"/>
      <c r="T70" s="550" t="n"/>
      <c r="U70" s="550" t="n"/>
      <c r="V70" s="550" t="n"/>
      <c r="W70" s="550" t="n"/>
      <c r="X70" s="550" t="n"/>
      <c r="Y70" s="550" t="n"/>
      <c r="Z70" s="550" t="n"/>
    </row>
    <row r="71" ht="15.75" customHeight="1" s="375">
      <c r="A71" s="550" t="n"/>
      <c r="B71" s="550" t="n"/>
      <c r="C71" s="550" t="n"/>
      <c r="D71" s="550" t="n"/>
      <c r="E71" s="550" t="n"/>
      <c r="F71" s="550" t="n"/>
      <c r="G71" s="550" t="n"/>
      <c r="H71" s="550" t="n"/>
      <c r="I71" s="550" t="n"/>
      <c r="J71" s="550" t="n"/>
      <c r="K71" s="550" t="n"/>
      <c r="L71" s="550" t="n"/>
      <c r="M71" s="550" t="n"/>
      <c r="N71" s="550" t="n"/>
      <c r="O71" s="550" t="n"/>
      <c r="P71" s="550" t="n"/>
      <c r="Q71" s="550" t="n"/>
      <c r="R71" s="550" t="n"/>
      <c r="S71" s="550" t="n"/>
      <c r="T71" s="550" t="n"/>
      <c r="U71" s="550" t="n"/>
      <c r="V71" s="550" t="n"/>
      <c r="W71" s="550" t="n"/>
      <c r="X71" s="550" t="n"/>
      <c r="Y71" s="550" t="n"/>
      <c r="Z71" s="550" t="n"/>
    </row>
    <row r="72" ht="15.75" customHeight="1" s="375">
      <c r="A72" s="550" t="n"/>
      <c r="B72" s="550" t="n"/>
      <c r="C72" s="550" t="n"/>
      <c r="D72" s="550" t="n"/>
      <c r="E72" s="550" t="n"/>
      <c r="F72" s="550" t="n"/>
      <c r="G72" s="550" t="n"/>
      <c r="H72" s="550" t="n"/>
      <c r="I72" s="550" t="n"/>
      <c r="J72" s="550" t="n"/>
      <c r="K72" s="550" t="n"/>
      <c r="L72" s="550" t="n"/>
      <c r="M72" s="550" t="n"/>
      <c r="N72" s="550" t="n"/>
      <c r="O72" s="550" t="n"/>
      <c r="P72" s="550" t="n"/>
      <c r="Q72" s="550" t="n"/>
      <c r="R72" s="550" t="n"/>
      <c r="S72" s="550" t="n"/>
      <c r="T72" s="550" t="n"/>
      <c r="U72" s="550" t="n"/>
      <c r="V72" s="550" t="n"/>
      <c r="W72" s="550" t="n"/>
      <c r="X72" s="550" t="n"/>
      <c r="Y72" s="550" t="n"/>
      <c r="Z72" s="550" t="n"/>
    </row>
    <row r="73" ht="15.75" customHeight="1" s="375">
      <c r="A73" s="550" t="n"/>
      <c r="B73" s="550" t="n"/>
      <c r="C73" s="550" t="n"/>
      <c r="D73" s="550" t="n"/>
      <c r="E73" s="550" t="n"/>
      <c r="F73" s="550" t="n"/>
      <c r="G73" s="550" t="n"/>
      <c r="H73" s="550" t="n"/>
      <c r="I73" s="550" t="n"/>
      <c r="J73" s="550" t="n"/>
      <c r="K73" s="550" t="n"/>
      <c r="L73" s="550" t="n"/>
      <c r="M73" s="550" t="n"/>
      <c r="N73" s="550" t="n"/>
      <c r="O73" s="550" t="n"/>
      <c r="P73" s="550" t="n"/>
      <c r="Q73" s="550" t="n"/>
      <c r="R73" s="550" t="n"/>
      <c r="S73" s="550" t="n"/>
      <c r="T73" s="550" t="n"/>
      <c r="U73" s="550" t="n"/>
      <c r="V73" s="550" t="n"/>
      <c r="W73" s="550" t="n"/>
      <c r="X73" s="550" t="n"/>
      <c r="Y73" s="550" t="n"/>
      <c r="Z73" s="550" t="n"/>
    </row>
    <row r="74" ht="15.75" customHeight="1" s="375">
      <c r="A74" s="550" t="n"/>
      <c r="B74" s="550" t="n"/>
      <c r="C74" s="550" t="n"/>
      <c r="D74" s="550" t="n"/>
      <c r="E74" s="550" t="n"/>
      <c r="F74" s="550" t="n"/>
      <c r="G74" s="550" t="n"/>
      <c r="H74" s="550" t="n"/>
      <c r="I74" s="550" t="n"/>
      <c r="J74" s="550" t="n"/>
      <c r="K74" s="550" t="n"/>
      <c r="L74" s="550" t="n"/>
      <c r="M74" s="550" t="n"/>
      <c r="N74" s="550" t="n"/>
      <c r="O74" s="550" t="n"/>
      <c r="P74" s="550" t="n"/>
      <c r="Q74" s="550" t="n"/>
      <c r="R74" s="550" t="n"/>
      <c r="S74" s="550" t="n"/>
      <c r="T74" s="550" t="n"/>
      <c r="U74" s="550" t="n"/>
      <c r="V74" s="550" t="n"/>
      <c r="W74" s="550" t="n"/>
      <c r="X74" s="550" t="n"/>
      <c r="Y74" s="550" t="n"/>
      <c r="Z74" s="550" t="n"/>
    </row>
    <row r="75" ht="15.75" customHeight="1" s="375">
      <c r="A75" s="550" t="n"/>
      <c r="B75" s="550" t="n"/>
      <c r="C75" s="550" t="n"/>
      <c r="D75" s="550" t="n"/>
      <c r="E75" s="550" t="n"/>
      <c r="F75" s="550" t="n"/>
      <c r="G75" s="550" t="n"/>
      <c r="H75" s="550" t="n"/>
      <c r="I75" s="550" t="n"/>
      <c r="J75" s="550" t="n"/>
      <c r="K75" s="550" t="n"/>
      <c r="L75" s="550" t="n"/>
      <c r="M75" s="550" t="n"/>
      <c r="N75" s="550" t="n"/>
      <c r="O75" s="550" t="n"/>
      <c r="P75" s="550" t="n"/>
      <c r="Q75" s="550" t="n"/>
      <c r="R75" s="550" t="n"/>
      <c r="S75" s="550" t="n"/>
      <c r="T75" s="550" t="n"/>
      <c r="U75" s="550" t="n"/>
      <c r="V75" s="550" t="n"/>
      <c r="W75" s="550" t="n"/>
      <c r="X75" s="550" t="n"/>
      <c r="Y75" s="550" t="n"/>
      <c r="Z75" s="550" t="n"/>
    </row>
    <row r="76" ht="15.75" customHeight="1" s="375">
      <c r="A76" s="550" t="n"/>
      <c r="B76" s="550" t="n"/>
      <c r="C76" s="550" t="n"/>
      <c r="D76" s="550" t="n"/>
      <c r="E76" s="550" t="n"/>
      <c r="F76" s="550" t="n"/>
      <c r="G76" s="550" t="n"/>
      <c r="H76" s="550" t="n"/>
      <c r="I76" s="550" t="n"/>
      <c r="J76" s="550" t="n"/>
      <c r="K76" s="550" t="n"/>
      <c r="L76" s="550" t="n"/>
      <c r="M76" s="550" t="n"/>
      <c r="N76" s="550" t="n"/>
      <c r="O76" s="550" t="n"/>
      <c r="P76" s="550" t="n"/>
      <c r="Q76" s="550" t="n"/>
      <c r="R76" s="550" t="n"/>
      <c r="S76" s="550" t="n"/>
      <c r="T76" s="550" t="n"/>
      <c r="U76" s="550" t="n"/>
      <c r="V76" s="550" t="n"/>
      <c r="W76" s="550" t="n"/>
      <c r="X76" s="550" t="n"/>
      <c r="Y76" s="550" t="n"/>
      <c r="Z76" s="550" t="n"/>
    </row>
    <row r="77" ht="15.75" customHeight="1" s="375">
      <c r="A77" s="550" t="n"/>
      <c r="B77" s="550" t="n"/>
      <c r="C77" s="550" t="n"/>
      <c r="D77" s="550" t="n"/>
      <c r="E77" s="550" t="n"/>
      <c r="F77" s="550" t="n"/>
      <c r="G77" s="550" t="n"/>
      <c r="H77" s="550" t="n"/>
      <c r="I77" s="550" t="n"/>
      <c r="J77" s="550" t="n"/>
      <c r="K77" s="550" t="n"/>
      <c r="L77" s="550" t="n"/>
      <c r="M77" s="550" t="n"/>
      <c r="N77" s="550" t="n"/>
      <c r="O77" s="550" t="n"/>
      <c r="P77" s="550" t="n"/>
      <c r="Q77" s="550" t="n"/>
      <c r="R77" s="550" t="n"/>
      <c r="S77" s="550" t="n"/>
      <c r="T77" s="550" t="n"/>
      <c r="U77" s="550" t="n"/>
      <c r="V77" s="550" t="n"/>
      <c r="W77" s="550" t="n"/>
      <c r="X77" s="550" t="n"/>
      <c r="Y77" s="550" t="n"/>
      <c r="Z77" s="550" t="n"/>
    </row>
    <row r="78" ht="15.75" customHeight="1" s="375">
      <c r="A78" s="550" t="n"/>
      <c r="B78" s="550" t="n"/>
      <c r="C78" s="550" t="n"/>
      <c r="D78" s="550" t="n"/>
      <c r="E78" s="550" t="n"/>
      <c r="F78" s="550" t="n"/>
      <c r="G78" s="550" t="n"/>
      <c r="H78" s="550" t="n"/>
      <c r="I78" s="550" t="n"/>
      <c r="J78" s="550" t="n"/>
      <c r="K78" s="550" t="n"/>
      <c r="L78" s="550" t="n"/>
      <c r="M78" s="550" t="n"/>
      <c r="N78" s="550" t="n"/>
      <c r="O78" s="550" t="n"/>
      <c r="P78" s="550" t="n"/>
      <c r="Q78" s="550" t="n"/>
      <c r="R78" s="550" t="n"/>
      <c r="S78" s="550" t="n"/>
      <c r="T78" s="550" t="n"/>
      <c r="U78" s="550" t="n"/>
      <c r="V78" s="550" t="n"/>
      <c r="W78" s="550" t="n"/>
      <c r="X78" s="550" t="n"/>
      <c r="Y78" s="550" t="n"/>
      <c r="Z78" s="550" t="n"/>
    </row>
    <row r="79" ht="15.75" customHeight="1" s="375">
      <c r="A79" s="550" t="n"/>
      <c r="B79" s="550" t="n"/>
      <c r="C79" s="550" t="n"/>
      <c r="D79" s="550" t="n"/>
      <c r="E79" s="550" t="n"/>
      <c r="F79" s="550" t="n"/>
      <c r="G79" s="550" t="n"/>
      <c r="H79" s="550" t="n"/>
      <c r="I79" s="550" t="n"/>
      <c r="J79" s="550" t="n"/>
      <c r="K79" s="550" t="n"/>
      <c r="L79" s="550" t="n"/>
      <c r="M79" s="550" t="n"/>
      <c r="N79" s="550" t="n"/>
      <c r="O79" s="550" t="n"/>
      <c r="P79" s="550" t="n"/>
      <c r="Q79" s="550" t="n"/>
      <c r="R79" s="550" t="n"/>
      <c r="S79" s="550" t="n"/>
      <c r="T79" s="550" t="n"/>
      <c r="U79" s="550" t="n"/>
      <c r="V79" s="550" t="n"/>
      <c r="W79" s="550" t="n"/>
      <c r="X79" s="550" t="n"/>
      <c r="Y79" s="550" t="n"/>
      <c r="Z79" s="550" t="n"/>
    </row>
    <row r="80" ht="15.75" customHeight="1" s="375">
      <c r="A80" s="550" t="n"/>
      <c r="B80" s="550" t="n"/>
      <c r="C80" s="550" t="n"/>
      <c r="D80" s="550" t="n"/>
      <c r="E80" s="550" t="n"/>
      <c r="F80" s="550" t="n"/>
      <c r="G80" s="550" t="n"/>
      <c r="H80" s="550" t="n"/>
      <c r="I80" s="550" t="n"/>
      <c r="J80" s="550" t="n"/>
      <c r="K80" s="550" t="n"/>
      <c r="L80" s="550" t="n"/>
      <c r="M80" s="550" t="n"/>
      <c r="N80" s="550" t="n"/>
      <c r="O80" s="550" t="n"/>
      <c r="P80" s="550" t="n"/>
      <c r="Q80" s="550" t="n"/>
      <c r="R80" s="550" t="n"/>
      <c r="S80" s="550" t="n"/>
      <c r="T80" s="550" t="n"/>
      <c r="U80" s="550" t="n"/>
      <c r="V80" s="550" t="n"/>
      <c r="W80" s="550" t="n"/>
      <c r="X80" s="550" t="n"/>
      <c r="Y80" s="550" t="n"/>
      <c r="Z80" s="550" t="n"/>
    </row>
    <row r="81" ht="15.75" customHeight="1" s="375">
      <c r="A81" s="550" t="n"/>
      <c r="B81" s="550" t="n"/>
      <c r="C81" s="550" t="n"/>
      <c r="D81" s="550" t="n"/>
      <c r="E81" s="550" t="n"/>
      <c r="F81" s="550" t="n"/>
      <c r="G81" s="550" t="n"/>
      <c r="H81" s="550" t="n"/>
      <c r="I81" s="550" t="n"/>
      <c r="J81" s="550" t="n"/>
      <c r="K81" s="550" t="n"/>
      <c r="L81" s="550" t="n"/>
      <c r="M81" s="550" t="n"/>
      <c r="N81" s="550" t="n"/>
      <c r="O81" s="550" t="n"/>
      <c r="P81" s="550" t="n"/>
      <c r="Q81" s="550" t="n"/>
      <c r="R81" s="550" t="n"/>
      <c r="S81" s="550" t="n"/>
      <c r="T81" s="550" t="n"/>
      <c r="U81" s="550" t="n"/>
      <c r="V81" s="550" t="n"/>
      <c r="W81" s="550" t="n"/>
      <c r="X81" s="550" t="n"/>
      <c r="Y81" s="550" t="n"/>
      <c r="Z81" s="550" t="n"/>
    </row>
    <row r="82" ht="15.75" customHeight="1" s="375">
      <c r="A82" s="550" t="n"/>
      <c r="B82" s="550" t="n"/>
      <c r="C82" s="550" t="n"/>
      <c r="D82" s="550" t="n"/>
      <c r="E82" s="550" t="n"/>
      <c r="F82" s="550" t="n"/>
      <c r="G82" s="550" t="n"/>
      <c r="H82" s="550" t="n"/>
      <c r="I82" s="550" t="n"/>
      <c r="J82" s="550" t="n"/>
      <c r="K82" s="550" t="n"/>
      <c r="L82" s="550" t="n"/>
      <c r="M82" s="550" t="n"/>
      <c r="N82" s="550" t="n"/>
      <c r="O82" s="550" t="n"/>
      <c r="P82" s="550" t="n"/>
      <c r="Q82" s="550" t="n"/>
      <c r="R82" s="550" t="n"/>
      <c r="S82" s="550" t="n"/>
      <c r="T82" s="550" t="n"/>
      <c r="U82" s="550" t="n"/>
      <c r="V82" s="550" t="n"/>
      <c r="W82" s="550" t="n"/>
      <c r="X82" s="550" t="n"/>
      <c r="Y82" s="550" t="n"/>
      <c r="Z82" s="550" t="n"/>
    </row>
    <row r="83" ht="15.75" customHeight="1" s="375">
      <c r="A83" s="550" t="n"/>
      <c r="B83" s="550" t="n"/>
      <c r="C83" s="550" t="n"/>
      <c r="D83" s="550" t="n"/>
      <c r="E83" s="550" t="n"/>
      <c r="F83" s="550" t="n"/>
      <c r="G83" s="550" t="n"/>
      <c r="H83" s="550" t="n"/>
      <c r="I83" s="550" t="n"/>
      <c r="J83" s="550" t="n"/>
      <c r="K83" s="550" t="n"/>
      <c r="L83" s="550" t="n"/>
      <c r="M83" s="550" t="n"/>
      <c r="N83" s="550" t="n"/>
      <c r="O83" s="550" t="n"/>
      <c r="P83" s="550" t="n"/>
      <c r="Q83" s="550" t="n"/>
      <c r="R83" s="550" t="n"/>
      <c r="S83" s="550" t="n"/>
      <c r="T83" s="550" t="n"/>
      <c r="U83" s="550" t="n"/>
      <c r="V83" s="550" t="n"/>
      <c r="W83" s="550" t="n"/>
      <c r="X83" s="550" t="n"/>
      <c r="Y83" s="550" t="n"/>
      <c r="Z83" s="550" t="n"/>
    </row>
    <row r="84" ht="15.75" customHeight="1" s="375">
      <c r="A84" s="550" t="n"/>
      <c r="B84" s="550" t="n"/>
      <c r="C84" s="550" t="n"/>
      <c r="D84" s="550" t="n"/>
      <c r="E84" s="550" t="n"/>
      <c r="F84" s="550" t="n"/>
      <c r="G84" s="550" t="n"/>
      <c r="H84" s="550" t="n"/>
      <c r="I84" s="550" t="n"/>
      <c r="J84" s="550" t="n"/>
      <c r="K84" s="550" t="n"/>
      <c r="L84" s="550" t="n"/>
      <c r="M84" s="550" t="n"/>
      <c r="N84" s="550" t="n"/>
      <c r="O84" s="550" t="n"/>
      <c r="P84" s="550" t="n"/>
      <c r="Q84" s="550" t="n"/>
      <c r="R84" s="550" t="n"/>
      <c r="S84" s="550" t="n"/>
      <c r="T84" s="550" t="n"/>
      <c r="U84" s="550" t="n"/>
      <c r="V84" s="550" t="n"/>
      <c r="W84" s="550" t="n"/>
      <c r="X84" s="550" t="n"/>
      <c r="Y84" s="550" t="n"/>
      <c r="Z84" s="550" t="n"/>
    </row>
    <row r="85" ht="15.75" customHeight="1" s="375">
      <c r="A85" s="550" t="n"/>
      <c r="B85" s="550" t="n"/>
      <c r="C85" s="550" t="n"/>
      <c r="D85" s="550" t="n"/>
      <c r="E85" s="550" t="n"/>
      <c r="F85" s="550" t="n"/>
      <c r="G85" s="550" t="n"/>
      <c r="H85" s="550" t="n"/>
      <c r="I85" s="550" t="n"/>
      <c r="J85" s="550" t="n"/>
      <c r="K85" s="550" t="n"/>
      <c r="L85" s="550" t="n"/>
      <c r="M85" s="550" t="n"/>
      <c r="N85" s="550" t="n"/>
      <c r="O85" s="550" t="n"/>
      <c r="P85" s="550" t="n"/>
      <c r="Q85" s="550" t="n"/>
      <c r="R85" s="550" t="n"/>
      <c r="S85" s="550" t="n"/>
      <c r="T85" s="550" t="n"/>
      <c r="U85" s="550" t="n"/>
      <c r="V85" s="550" t="n"/>
      <c r="W85" s="550" t="n"/>
      <c r="X85" s="550" t="n"/>
      <c r="Y85" s="550" t="n"/>
      <c r="Z85" s="550" t="n"/>
    </row>
    <row r="86" ht="15.75" customHeight="1" s="375">
      <c r="A86" s="550" t="n"/>
      <c r="B86" s="550" t="n"/>
      <c r="C86" s="550" t="n"/>
      <c r="D86" s="550" t="n"/>
      <c r="E86" s="550" t="n"/>
      <c r="F86" s="550" t="n"/>
      <c r="G86" s="550" t="n"/>
      <c r="H86" s="550" t="n"/>
      <c r="I86" s="550" t="n"/>
      <c r="J86" s="550" t="n"/>
      <c r="K86" s="550" t="n"/>
      <c r="L86" s="550" t="n"/>
      <c r="M86" s="550" t="n"/>
      <c r="N86" s="550" t="n"/>
      <c r="O86" s="550" t="n"/>
      <c r="P86" s="550" t="n"/>
      <c r="Q86" s="550" t="n"/>
      <c r="R86" s="550" t="n"/>
      <c r="S86" s="550" t="n"/>
      <c r="T86" s="550" t="n"/>
      <c r="U86" s="550" t="n"/>
      <c r="V86" s="550" t="n"/>
      <c r="W86" s="550" t="n"/>
      <c r="X86" s="550" t="n"/>
      <c r="Y86" s="550" t="n"/>
      <c r="Z86" s="550" t="n"/>
    </row>
    <row r="87" ht="15.75" customHeight="1" s="375">
      <c r="A87" s="550" t="n"/>
      <c r="B87" s="550" t="n"/>
      <c r="C87" s="550" t="n"/>
      <c r="D87" s="550" t="n"/>
      <c r="E87" s="550" t="n"/>
      <c r="F87" s="550" t="n"/>
      <c r="G87" s="550" t="n"/>
      <c r="H87" s="550" t="n"/>
      <c r="I87" s="550" t="n"/>
      <c r="J87" s="550" t="n"/>
      <c r="K87" s="550" t="n"/>
      <c r="L87" s="550" t="n"/>
      <c r="M87" s="550" t="n"/>
      <c r="N87" s="550" t="n"/>
      <c r="O87" s="550" t="n"/>
      <c r="P87" s="550" t="n"/>
      <c r="Q87" s="550" t="n"/>
      <c r="R87" s="550" t="n"/>
      <c r="S87" s="550" t="n"/>
      <c r="T87" s="550" t="n"/>
      <c r="U87" s="550" t="n"/>
      <c r="V87" s="550" t="n"/>
      <c r="W87" s="550" t="n"/>
      <c r="X87" s="550" t="n"/>
      <c r="Y87" s="550" t="n"/>
      <c r="Z87" s="550" t="n"/>
    </row>
    <row r="88" ht="15.75" customHeight="1" s="375">
      <c r="A88" s="550" t="n"/>
      <c r="B88" s="550" t="n"/>
      <c r="C88" s="550" t="n"/>
      <c r="D88" s="550" t="n"/>
      <c r="E88" s="550" t="n"/>
      <c r="F88" s="550" t="n"/>
      <c r="G88" s="550" t="n"/>
      <c r="H88" s="550" t="n"/>
      <c r="I88" s="550" t="n"/>
      <c r="J88" s="550" t="n"/>
      <c r="K88" s="550" t="n"/>
      <c r="L88" s="550" t="n"/>
      <c r="M88" s="550" t="n"/>
      <c r="N88" s="550" t="n"/>
      <c r="O88" s="550" t="n"/>
      <c r="P88" s="550" t="n"/>
      <c r="Q88" s="550" t="n"/>
      <c r="R88" s="550" t="n"/>
      <c r="S88" s="550" t="n"/>
      <c r="T88" s="550" t="n"/>
      <c r="U88" s="550" t="n"/>
      <c r="V88" s="550" t="n"/>
      <c r="W88" s="550" t="n"/>
      <c r="X88" s="550" t="n"/>
      <c r="Y88" s="550" t="n"/>
      <c r="Z88" s="550" t="n"/>
    </row>
    <row r="89" ht="15.75" customHeight="1" s="375">
      <c r="A89" s="550" t="n"/>
      <c r="B89" s="550" t="n"/>
      <c r="C89" s="550" t="n"/>
      <c r="D89" s="550" t="n"/>
      <c r="E89" s="550" t="n"/>
      <c r="F89" s="550" t="n"/>
      <c r="G89" s="550" t="n"/>
      <c r="H89" s="550" t="n"/>
      <c r="I89" s="550" t="n"/>
      <c r="J89" s="550" t="n"/>
      <c r="K89" s="550" t="n"/>
      <c r="L89" s="550" t="n"/>
      <c r="M89" s="550" t="n"/>
      <c r="N89" s="550" t="n"/>
      <c r="O89" s="550" t="n"/>
      <c r="P89" s="550" t="n"/>
      <c r="Q89" s="550" t="n"/>
      <c r="R89" s="550" t="n"/>
      <c r="S89" s="550" t="n"/>
      <c r="T89" s="550" t="n"/>
      <c r="U89" s="550" t="n"/>
      <c r="V89" s="550" t="n"/>
      <c r="W89" s="550" t="n"/>
      <c r="X89" s="550" t="n"/>
      <c r="Y89" s="550" t="n"/>
      <c r="Z89" s="550" t="n"/>
    </row>
    <row r="90" ht="15.75" customHeight="1" s="375">
      <c r="A90" s="550" t="n"/>
      <c r="B90" s="550" t="n"/>
      <c r="C90" s="550" t="n"/>
      <c r="D90" s="550" t="n"/>
      <c r="E90" s="550" t="n"/>
      <c r="F90" s="550" t="n"/>
      <c r="G90" s="550" t="n"/>
      <c r="H90" s="550" t="n"/>
      <c r="I90" s="550" t="n"/>
      <c r="J90" s="550" t="n"/>
      <c r="K90" s="550" t="n"/>
      <c r="L90" s="550" t="n"/>
      <c r="M90" s="550" t="n"/>
      <c r="N90" s="550" t="n"/>
      <c r="O90" s="550" t="n"/>
      <c r="P90" s="550" t="n"/>
      <c r="Q90" s="550" t="n"/>
      <c r="R90" s="550" t="n"/>
      <c r="S90" s="550" t="n"/>
      <c r="T90" s="550" t="n"/>
      <c r="U90" s="550" t="n"/>
      <c r="V90" s="550" t="n"/>
      <c r="W90" s="550" t="n"/>
      <c r="X90" s="550" t="n"/>
      <c r="Y90" s="550" t="n"/>
      <c r="Z90" s="550" t="n"/>
    </row>
    <row r="91" ht="15.75" customHeight="1" s="375">
      <c r="A91" s="550" t="n"/>
      <c r="B91" s="550" t="n"/>
      <c r="C91" s="550" t="n"/>
      <c r="D91" s="550" t="n"/>
      <c r="E91" s="550" t="n"/>
      <c r="F91" s="550" t="n"/>
      <c r="G91" s="550" t="n"/>
      <c r="H91" s="550" t="n"/>
      <c r="I91" s="550" t="n"/>
      <c r="J91" s="550" t="n"/>
      <c r="K91" s="550" t="n"/>
      <c r="L91" s="550" t="n"/>
      <c r="M91" s="550" t="n"/>
      <c r="N91" s="550" t="n"/>
      <c r="O91" s="550" t="n"/>
      <c r="P91" s="550" t="n"/>
      <c r="Q91" s="550" t="n"/>
      <c r="R91" s="550" t="n"/>
      <c r="S91" s="550" t="n"/>
      <c r="T91" s="550" t="n"/>
      <c r="U91" s="550" t="n"/>
      <c r="V91" s="550" t="n"/>
      <c r="W91" s="550" t="n"/>
      <c r="X91" s="550" t="n"/>
      <c r="Y91" s="550" t="n"/>
      <c r="Z91" s="550" t="n"/>
    </row>
    <row r="92" ht="15.75" customHeight="1" s="375">
      <c r="A92" s="550" t="n"/>
      <c r="B92" s="550" t="n"/>
      <c r="C92" s="550" t="n"/>
      <c r="D92" s="550" t="n"/>
      <c r="E92" s="550" t="n"/>
      <c r="F92" s="550" t="n"/>
      <c r="G92" s="550" t="n"/>
      <c r="H92" s="550" t="n"/>
      <c r="I92" s="550" t="n"/>
      <c r="J92" s="550" t="n"/>
      <c r="K92" s="550" t="n"/>
      <c r="L92" s="550" t="n"/>
      <c r="M92" s="550" t="n"/>
      <c r="N92" s="550" t="n"/>
      <c r="O92" s="550" t="n"/>
      <c r="P92" s="550" t="n"/>
      <c r="Q92" s="550" t="n"/>
      <c r="R92" s="550" t="n"/>
      <c r="S92" s="550" t="n"/>
      <c r="T92" s="550" t="n"/>
      <c r="U92" s="550" t="n"/>
      <c r="V92" s="550" t="n"/>
      <c r="W92" s="550" t="n"/>
      <c r="X92" s="550" t="n"/>
      <c r="Y92" s="550" t="n"/>
      <c r="Z92" s="550" t="n"/>
    </row>
    <row r="93" ht="15.75" customHeight="1" s="375">
      <c r="A93" s="550" t="n"/>
      <c r="B93" s="550" t="n"/>
      <c r="C93" s="550" t="n"/>
      <c r="D93" s="550" t="n"/>
      <c r="E93" s="550" t="n"/>
      <c r="F93" s="550" t="n"/>
      <c r="G93" s="550" t="n"/>
      <c r="H93" s="550" t="n"/>
      <c r="I93" s="550" t="n"/>
      <c r="J93" s="550" t="n"/>
      <c r="K93" s="550" t="n"/>
      <c r="L93" s="550" t="n"/>
      <c r="M93" s="550" t="n"/>
      <c r="N93" s="550" t="n"/>
      <c r="O93" s="550" t="n"/>
      <c r="P93" s="550" t="n"/>
      <c r="Q93" s="550" t="n"/>
      <c r="R93" s="550" t="n"/>
      <c r="S93" s="550" t="n"/>
      <c r="T93" s="550" t="n"/>
      <c r="U93" s="550" t="n"/>
      <c r="V93" s="550" t="n"/>
      <c r="W93" s="550" t="n"/>
      <c r="X93" s="550" t="n"/>
      <c r="Y93" s="550" t="n"/>
      <c r="Z93" s="550" t="n"/>
    </row>
    <row r="94" ht="15.75" customHeight="1" s="375">
      <c r="A94" s="550" t="n"/>
      <c r="B94" s="550" t="n"/>
      <c r="C94" s="550" t="n"/>
      <c r="D94" s="550" t="n"/>
      <c r="E94" s="550" t="n"/>
      <c r="F94" s="550" t="n"/>
      <c r="G94" s="550" t="n"/>
      <c r="H94" s="550" t="n"/>
      <c r="I94" s="550" t="n"/>
      <c r="J94" s="550" t="n"/>
      <c r="K94" s="550" t="n"/>
      <c r="L94" s="550" t="n"/>
      <c r="M94" s="550" t="n"/>
      <c r="N94" s="550" t="n"/>
      <c r="O94" s="550" t="n"/>
      <c r="P94" s="550" t="n"/>
      <c r="Q94" s="550" t="n"/>
      <c r="R94" s="550" t="n"/>
      <c r="S94" s="550" t="n"/>
      <c r="T94" s="550" t="n"/>
      <c r="U94" s="550" t="n"/>
      <c r="V94" s="550" t="n"/>
      <c r="W94" s="550" t="n"/>
      <c r="X94" s="550" t="n"/>
      <c r="Y94" s="550" t="n"/>
      <c r="Z94" s="550" t="n"/>
    </row>
    <row r="95" ht="15.75" customHeight="1" s="375">
      <c r="A95" s="550" t="n"/>
      <c r="B95" s="550" t="n"/>
      <c r="C95" s="550" t="n"/>
      <c r="D95" s="550" t="n"/>
      <c r="E95" s="550" t="n"/>
      <c r="F95" s="550" t="n"/>
      <c r="G95" s="550" t="n"/>
      <c r="H95" s="550" t="n"/>
      <c r="I95" s="550" t="n"/>
      <c r="J95" s="550" t="n"/>
      <c r="K95" s="550" t="n"/>
      <c r="L95" s="550" t="n"/>
      <c r="M95" s="550" t="n"/>
      <c r="N95" s="550" t="n"/>
      <c r="O95" s="550" t="n"/>
      <c r="P95" s="550" t="n"/>
      <c r="Q95" s="550" t="n"/>
      <c r="R95" s="550" t="n"/>
      <c r="S95" s="550" t="n"/>
      <c r="T95" s="550" t="n"/>
      <c r="U95" s="550" t="n"/>
      <c r="V95" s="550" t="n"/>
      <c r="W95" s="550" t="n"/>
      <c r="X95" s="550" t="n"/>
      <c r="Y95" s="550" t="n"/>
      <c r="Z95" s="550" t="n"/>
    </row>
    <row r="96" ht="15.75" customHeight="1" s="375">
      <c r="A96" s="550" t="n"/>
      <c r="B96" s="550" t="n"/>
      <c r="C96" s="550" t="n"/>
      <c r="D96" s="550" t="n"/>
      <c r="E96" s="550" t="n"/>
      <c r="F96" s="550" t="n"/>
      <c r="G96" s="550" t="n"/>
      <c r="H96" s="550" t="n"/>
      <c r="I96" s="550" t="n"/>
      <c r="J96" s="550" t="n"/>
      <c r="K96" s="550" t="n"/>
      <c r="L96" s="550" t="n"/>
      <c r="M96" s="550" t="n"/>
      <c r="N96" s="550" t="n"/>
      <c r="O96" s="550" t="n"/>
      <c r="P96" s="550" t="n"/>
      <c r="Q96" s="550" t="n"/>
      <c r="R96" s="550" t="n"/>
      <c r="S96" s="550" t="n"/>
      <c r="T96" s="550" t="n"/>
      <c r="U96" s="550" t="n"/>
      <c r="V96" s="550" t="n"/>
      <c r="W96" s="550" t="n"/>
      <c r="X96" s="550" t="n"/>
      <c r="Y96" s="550" t="n"/>
      <c r="Z96" s="550" t="n"/>
    </row>
    <row r="97" ht="15.75" customHeight="1" s="375">
      <c r="A97" s="550" t="n"/>
      <c r="B97" s="550" t="n"/>
      <c r="C97" s="550" t="n"/>
      <c r="D97" s="550" t="n"/>
      <c r="E97" s="550" t="n"/>
      <c r="F97" s="550" t="n"/>
      <c r="G97" s="550" t="n"/>
      <c r="H97" s="550" t="n"/>
      <c r="I97" s="550" t="n"/>
      <c r="J97" s="550" t="n"/>
      <c r="K97" s="550" t="n"/>
      <c r="L97" s="550" t="n"/>
      <c r="M97" s="550" t="n"/>
      <c r="N97" s="550" t="n"/>
      <c r="O97" s="550" t="n"/>
      <c r="P97" s="550" t="n"/>
      <c r="Q97" s="550" t="n"/>
      <c r="R97" s="550" t="n"/>
      <c r="S97" s="550" t="n"/>
      <c r="T97" s="550" t="n"/>
      <c r="U97" s="550" t="n"/>
      <c r="V97" s="550" t="n"/>
      <c r="W97" s="550" t="n"/>
      <c r="X97" s="550" t="n"/>
      <c r="Y97" s="550" t="n"/>
      <c r="Z97" s="550" t="n"/>
    </row>
    <row r="98" ht="15.75" customHeight="1" s="375">
      <c r="A98" s="550" t="n"/>
      <c r="B98" s="550" t="n"/>
      <c r="C98" s="550" t="n"/>
      <c r="D98" s="550" t="n"/>
      <c r="E98" s="550" t="n"/>
      <c r="F98" s="550" t="n"/>
      <c r="G98" s="550" t="n"/>
      <c r="H98" s="550" t="n"/>
      <c r="I98" s="550" t="n"/>
      <c r="J98" s="550" t="n"/>
      <c r="K98" s="550" t="n"/>
      <c r="L98" s="550" t="n"/>
      <c r="M98" s="550" t="n"/>
      <c r="N98" s="550" t="n"/>
      <c r="O98" s="550" t="n"/>
      <c r="P98" s="550" t="n"/>
      <c r="Q98" s="550" t="n"/>
      <c r="R98" s="550" t="n"/>
      <c r="S98" s="550" t="n"/>
      <c r="T98" s="550" t="n"/>
      <c r="U98" s="550" t="n"/>
      <c r="V98" s="550" t="n"/>
      <c r="W98" s="550" t="n"/>
      <c r="X98" s="550" t="n"/>
      <c r="Y98" s="550" t="n"/>
      <c r="Z98" s="550" t="n"/>
    </row>
    <row r="99" ht="15.75" customHeight="1" s="375">
      <c r="A99" s="550" t="n"/>
      <c r="B99" s="550" t="n"/>
      <c r="C99" s="550" t="n"/>
      <c r="D99" s="550" t="n"/>
      <c r="E99" s="550" t="n"/>
      <c r="F99" s="550" t="n"/>
      <c r="G99" s="550" t="n"/>
      <c r="H99" s="550" t="n"/>
      <c r="I99" s="550" t="n"/>
      <c r="J99" s="550" t="n"/>
      <c r="K99" s="550" t="n"/>
      <c r="L99" s="550" t="n"/>
      <c r="M99" s="550" t="n"/>
      <c r="N99" s="550" t="n"/>
      <c r="O99" s="550" t="n"/>
      <c r="P99" s="550" t="n"/>
      <c r="Q99" s="550" t="n"/>
      <c r="R99" s="550" t="n"/>
      <c r="S99" s="550" t="n"/>
      <c r="T99" s="550" t="n"/>
      <c r="U99" s="550" t="n"/>
      <c r="V99" s="550" t="n"/>
      <c r="W99" s="550" t="n"/>
      <c r="X99" s="550" t="n"/>
      <c r="Y99" s="550" t="n"/>
      <c r="Z99" s="550" t="n"/>
    </row>
    <row r="100" ht="15.75" customHeight="1" s="375">
      <c r="A100" s="550" t="n"/>
      <c r="B100" s="550" t="n"/>
      <c r="C100" s="550" t="n"/>
      <c r="D100" s="550" t="n"/>
      <c r="E100" s="550" t="n"/>
      <c r="F100" s="550" t="n"/>
      <c r="G100" s="550" t="n"/>
      <c r="H100" s="550" t="n"/>
      <c r="I100" s="550" t="n"/>
      <c r="J100" s="550" t="n"/>
      <c r="K100" s="550" t="n"/>
      <c r="L100" s="550" t="n"/>
      <c r="M100" s="550" t="n"/>
      <c r="N100" s="550" t="n"/>
      <c r="O100" s="550" t="n"/>
      <c r="P100" s="550" t="n"/>
      <c r="Q100" s="550" t="n"/>
      <c r="R100" s="550" t="n"/>
      <c r="S100" s="550" t="n"/>
      <c r="T100" s="550" t="n"/>
      <c r="U100" s="550" t="n"/>
      <c r="V100" s="550" t="n"/>
      <c r="W100" s="550" t="n"/>
      <c r="X100" s="550" t="n"/>
      <c r="Y100" s="550" t="n"/>
      <c r="Z100" s="550" t="n"/>
    </row>
    <row r="101" ht="15.75" customHeight="1" s="375">
      <c r="A101" s="550" t="n"/>
      <c r="B101" s="550" t="n"/>
      <c r="C101" s="550" t="n"/>
      <c r="D101" s="550" t="n"/>
      <c r="E101" s="550" t="n"/>
      <c r="F101" s="550" t="n"/>
      <c r="G101" s="550" t="n"/>
      <c r="H101" s="550" t="n"/>
      <c r="I101" s="550" t="n"/>
      <c r="J101" s="550" t="n"/>
      <c r="K101" s="550" t="n"/>
      <c r="L101" s="550" t="n"/>
      <c r="M101" s="550" t="n"/>
      <c r="N101" s="550" t="n"/>
      <c r="O101" s="550" t="n"/>
      <c r="P101" s="550" t="n"/>
      <c r="Q101" s="550" t="n"/>
      <c r="R101" s="550" t="n"/>
      <c r="S101" s="550" t="n"/>
      <c r="T101" s="550" t="n"/>
      <c r="U101" s="550" t="n"/>
      <c r="V101" s="550" t="n"/>
      <c r="W101" s="550" t="n"/>
      <c r="X101" s="550" t="n"/>
      <c r="Y101" s="550" t="n"/>
      <c r="Z101" s="550" t="n"/>
    </row>
    <row r="102" ht="15.75" customHeight="1" s="375">
      <c r="A102" s="550" t="n"/>
      <c r="B102" s="550" t="n"/>
      <c r="C102" s="550" t="n"/>
      <c r="D102" s="550" t="n"/>
      <c r="E102" s="550" t="n"/>
      <c r="F102" s="550" t="n"/>
      <c r="G102" s="550" t="n"/>
      <c r="H102" s="550" t="n"/>
      <c r="I102" s="550" t="n"/>
      <c r="J102" s="550" t="n"/>
      <c r="K102" s="550" t="n"/>
      <c r="L102" s="550" t="n"/>
      <c r="M102" s="550" t="n"/>
      <c r="N102" s="550" t="n"/>
      <c r="O102" s="550" t="n"/>
      <c r="P102" s="550" t="n"/>
      <c r="Q102" s="550" t="n"/>
      <c r="R102" s="550" t="n"/>
      <c r="S102" s="550" t="n"/>
      <c r="T102" s="550" t="n"/>
      <c r="U102" s="550" t="n"/>
      <c r="V102" s="550" t="n"/>
      <c r="W102" s="550" t="n"/>
      <c r="X102" s="550" t="n"/>
      <c r="Y102" s="550" t="n"/>
      <c r="Z102" s="550" t="n"/>
    </row>
    <row r="103" ht="15.75" customHeight="1" s="375">
      <c r="A103" s="550" t="n"/>
      <c r="B103" s="550" t="n"/>
      <c r="C103" s="550" t="n"/>
      <c r="D103" s="550" t="n"/>
      <c r="E103" s="550" t="n"/>
      <c r="F103" s="550" t="n"/>
      <c r="G103" s="550" t="n"/>
      <c r="H103" s="550" t="n"/>
      <c r="I103" s="550" t="n"/>
      <c r="J103" s="550" t="n"/>
      <c r="K103" s="550" t="n"/>
      <c r="L103" s="550" t="n"/>
      <c r="M103" s="550" t="n"/>
      <c r="N103" s="550" t="n"/>
      <c r="O103" s="550" t="n"/>
      <c r="P103" s="550" t="n"/>
      <c r="Q103" s="550" t="n"/>
      <c r="R103" s="550" t="n"/>
      <c r="S103" s="550" t="n"/>
      <c r="T103" s="550" t="n"/>
      <c r="U103" s="550" t="n"/>
      <c r="V103" s="550" t="n"/>
      <c r="W103" s="550" t="n"/>
      <c r="X103" s="550" t="n"/>
      <c r="Y103" s="550" t="n"/>
      <c r="Z103" s="550" t="n"/>
    </row>
    <row r="104" ht="15.75" customHeight="1" s="375">
      <c r="A104" s="550" t="n"/>
      <c r="B104" s="550" t="n"/>
      <c r="C104" s="550" t="n"/>
      <c r="D104" s="550" t="n"/>
      <c r="E104" s="550" t="n"/>
      <c r="F104" s="550" t="n"/>
      <c r="G104" s="550" t="n"/>
      <c r="H104" s="550" t="n"/>
      <c r="I104" s="550" t="n"/>
      <c r="J104" s="550" t="n"/>
      <c r="K104" s="550" t="n"/>
      <c r="L104" s="550" t="n"/>
      <c r="M104" s="550" t="n"/>
      <c r="N104" s="550" t="n"/>
      <c r="O104" s="550" t="n"/>
      <c r="P104" s="550" t="n"/>
      <c r="Q104" s="550" t="n"/>
      <c r="R104" s="550" t="n"/>
      <c r="S104" s="550" t="n"/>
      <c r="T104" s="550" t="n"/>
      <c r="U104" s="550" t="n"/>
      <c r="V104" s="550" t="n"/>
      <c r="W104" s="550" t="n"/>
      <c r="X104" s="550" t="n"/>
      <c r="Y104" s="550" t="n"/>
      <c r="Z104" s="550" t="n"/>
    </row>
    <row r="105" ht="15.75" customHeight="1" s="375">
      <c r="A105" s="550" t="n"/>
      <c r="B105" s="550" t="n"/>
      <c r="C105" s="550" t="n"/>
      <c r="D105" s="550" t="n"/>
      <c r="E105" s="550" t="n"/>
      <c r="F105" s="550" t="n"/>
      <c r="G105" s="550" t="n"/>
      <c r="H105" s="550" t="n"/>
      <c r="I105" s="550" t="n"/>
      <c r="J105" s="550" t="n"/>
      <c r="K105" s="550" t="n"/>
      <c r="L105" s="550" t="n"/>
      <c r="M105" s="550" t="n"/>
      <c r="N105" s="550" t="n"/>
      <c r="O105" s="550" t="n"/>
      <c r="P105" s="550" t="n"/>
      <c r="Q105" s="550" t="n"/>
      <c r="R105" s="550" t="n"/>
      <c r="S105" s="550" t="n"/>
      <c r="T105" s="550" t="n"/>
      <c r="U105" s="550" t="n"/>
      <c r="V105" s="550" t="n"/>
      <c r="W105" s="550" t="n"/>
      <c r="X105" s="550" t="n"/>
      <c r="Y105" s="550" t="n"/>
      <c r="Z105" s="550" t="n"/>
    </row>
    <row r="106" ht="15.75" customHeight="1" s="375">
      <c r="A106" s="550" t="n"/>
      <c r="B106" s="550" t="n"/>
      <c r="C106" s="550" t="n"/>
      <c r="D106" s="550" t="n"/>
      <c r="E106" s="550" t="n"/>
      <c r="F106" s="550" t="n"/>
      <c r="G106" s="550" t="n"/>
      <c r="H106" s="550" t="n"/>
      <c r="I106" s="550" t="n"/>
      <c r="J106" s="550" t="n"/>
      <c r="K106" s="550" t="n"/>
      <c r="L106" s="550" t="n"/>
      <c r="M106" s="550" t="n"/>
      <c r="N106" s="550" t="n"/>
      <c r="O106" s="550" t="n"/>
      <c r="P106" s="550" t="n"/>
      <c r="Q106" s="550" t="n"/>
      <c r="R106" s="550" t="n"/>
      <c r="S106" s="550" t="n"/>
      <c r="T106" s="550" t="n"/>
      <c r="U106" s="550" t="n"/>
      <c r="V106" s="550" t="n"/>
      <c r="W106" s="550" t="n"/>
      <c r="X106" s="550" t="n"/>
      <c r="Y106" s="550" t="n"/>
      <c r="Z106" s="550" t="n"/>
    </row>
    <row r="107" ht="15.75" customHeight="1" s="375">
      <c r="A107" s="550" t="n"/>
      <c r="B107" s="550" t="n"/>
      <c r="C107" s="550" t="n"/>
      <c r="D107" s="550" t="n"/>
      <c r="E107" s="550" t="n"/>
      <c r="F107" s="550" t="n"/>
      <c r="G107" s="550" t="n"/>
      <c r="H107" s="550" t="n"/>
      <c r="I107" s="550" t="n"/>
      <c r="J107" s="550" t="n"/>
      <c r="K107" s="550" t="n"/>
      <c r="L107" s="550" t="n"/>
      <c r="M107" s="550" t="n"/>
      <c r="N107" s="550" t="n"/>
      <c r="O107" s="550" t="n"/>
      <c r="P107" s="550" t="n"/>
      <c r="Q107" s="550" t="n"/>
      <c r="R107" s="550" t="n"/>
      <c r="S107" s="550" t="n"/>
      <c r="T107" s="550" t="n"/>
      <c r="U107" s="550" t="n"/>
      <c r="V107" s="550" t="n"/>
      <c r="W107" s="550" t="n"/>
      <c r="X107" s="550" t="n"/>
      <c r="Y107" s="550" t="n"/>
      <c r="Z107" s="550" t="n"/>
    </row>
    <row r="108" ht="15.75" customHeight="1" s="375">
      <c r="A108" s="550" t="n"/>
      <c r="B108" s="550" t="n"/>
      <c r="C108" s="550" t="n"/>
      <c r="D108" s="550" t="n"/>
      <c r="E108" s="550" t="n"/>
      <c r="F108" s="550" t="n"/>
      <c r="G108" s="550" t="n"/>
      <c r="H108" s="550" t="n"/>
      <c r="I108" s="550" t="n"/>
      <c r="J108" s="550" t="n"/>
      <c r="K108" s="550" t="n"/>
      <c r="L108" s="550" t="n"/>
      <c r="M108" s="550" t="n"/>
      <c r="N108" s="550" t="n"/>
      <c r="O108" s="550" t="n"/>
      <c r="P108" s="550" t="n"/>
      <c r="Q108" s="550" t="n"/>
      <c r="R108" s="550" t="n"/>
      <c r="S108" s="550" t="n"/>
      <c r="T108" s="550" t="n"/>
      <c r="U108" s="550" t="n"/>
      <c r="V108" s="550" t="n"/>
      <c r="W108" s="550" t="n"/>
      <c r="X108" s="550" t="n"/>
      <c r="Y108" s="550" t="n"/>
      <c r="Z108" s="550" t="n"/>
    </row>
    <row r="109" ht="15.75" customHeight="1" s="375">
      <c r="A109" s="550" t="n"/>
      <c r="B109" s="550" t="n"/>
      <c r="C109" s="550" t="n"/>
      <c r="D109" s="550" t="n"/>
      <c r="E109" s="550" t="n"/>
      <c r="F109" s="550" t="n"/>
      <c r="G109" s="550" t="n"/>
      <c r="H109" s="550" t="n"/>
      <c r="I109" s="550" t="n"/>
      <c r="J109" s="550" t="n"/>
      <c r="K109" s="550" t="n"/>
      <c r="L109" s="550" t="n"/>
      <c r="M109" s="550" t="n"/>
      <c r="N109" s="550" t="n"/>
      <c r="O109" s="550" t="n"/>
      <c r="P109" s="550" t="n"/>
      <c r="Q109" s="550" t="n"/>
      <c r="R109" s="550" t="n"/>
      <c r="S109" s="550" t="n"/>
      <c r="T109" s="550" t="n"/>
      <c r="U109" s="550" t="n"/>
      <c r="V109" s="550" t="n"/>
      <c r="W109" s="550" t="n"/>
      <c r="X109" s="550" t="n"/>
      <c r="Y109" s="550" t="n"/>
      <c r="Z109" s="550" t="n"/>
    </row>
    <row r="110" ht="15.75" customHeight="1" s="375">
      <c r="A110" s="550" t="n"/>
      <c r="B110" s="550" t="n"/>
      <c r="C110" s="550" t="n"/>
      <c r="D110" s="550" t="n"/>
      <c r="E110" s="550" t="n"/>
      <c r="F110" s="550" t="n"/>
      <c r="G110" s="550" t="n"/>
      <c r="H110" s="550" t="n"/>
      <c r="I110" s="550" t="n"/>
      <c r="J110" s="550" t="n"/>
      <c r="K110" s="550" t="n"/>
      <c r="L110" s="550" t="n"/>
      <c r="M110" s="550" t="n"/>
      <c r="N110" s="550" t="n"/>
      <c r="O110" s="550" t="n"/>
      <c r="P110" s="550" t="n"/>
      <c r="Q110" s="550" t="n"/>
      <c r="R110" s="550" t="n"/>
      <c r="S110" s="550" t="n"/>
      <c r="T110" s="550" t="n"/>
      <c r="U110" s="550" t="n"/>
      <c r="V110" s="550" t="n"/>
      <c r="W110" s="550" t="n"/>
      <c r="X110" s="550" t="n"/>
      <c r="Y110" s="550" t="n"/>
      <c r="Z110" s="550" t="n"/>
    </row>
    <row r="111" ht="15.75" customHeight="1" s="375">
      <c r="A111" s="550" t="n"/>
      <c r="B111" s="550" t="n"/>
      <c r="C111" s="550" t="n"/>
      <c r="D111" s="550" t="n"/>
      <c r="E111" s="550" t="n"/>
      <c r="F111" s="550" t="n"/>
      <c r="G111" s="550" t="n"/>
      <c r="H111" s="550" t="n"/>
      <c r="I111" s="550" t="n"/>
      <c r="J111" s="550" t="n"/>
      <c r="K111" s="550" t="n"/>
      <c r="L111" s="550" t="n"/>
      <c r="M111" s="550" t="n"/>
      <c r="N111" s="550" t="n"/>
      <c r="O111" s="550" t="n"/>
      <c r="P111" s="550" t="n"/>
      <c r="Q111" s="550" t="n"/>
      <c r="R111" s="550" t="n"/>
      <c r="S111" s="550" t="n"/>
      <c r="T111" s="550" t="n"/>
      <c r="U111" s="550" t="n"/>
      <c r="V111" s="550" t="n"/>
      <c r="W111" s="550" t="n"/>
      <c r="X111" s="550" t="n"/>
      <c r="Y111" s="550" t="n"/>
      <c r="Z111" s="550" t="n"/>
    </row>
    <row r="112" ht="15.75" customHeight="1" s="375">
      <c r="A112" s="550" t="n"/>
      <c r="B112" s="550" t="n"/>
      <c r="C112" s="550" t="n"/>
      <c r="D112" s="550" t="n"/>
      <c r="E112" s="550" t="n"/>
      <c r="F112" s="550" t="n"/>
      <c r="G112" s="550" t="n"/>
      <c r="H112" s="550" t="n"/>
      <c r="I112" s="550" t="n"/>
      <c r="J112" s="550" t="n"/>
      <c r="K112" s="550" t="n"/>
      <c r="L112" s="550" t="n"/>
      <c r="M112" s="550" t="n"/>
      <c r="N112" s="550" t="n"/>
      <c r="O112" s="550" t="n"/>
      <c r="P112" s="550" t="n"/>
      <c r="Q112" s="550" t="n"/>
      <c r="R112" s="550" t="n"/>
      <c r="S112" s="550" t="n"/>
      <c r="T112" s="550" t="n"/>
      <c r="U112" s="550" t="n"/>
      <c r="V112" s="550" t="n"/>
      <c r="W112" s="550" t="n"/>
      <c r="X112" s="550" t="n"/>
      <c r="Y112" s="550" t="n"/>
      <c r="Z112" s="550" t="n"/>
    </row>
    <row r="113" ht="15.75" customHeight="1" s="375">
      <c r="A113" s="550" t="n"/>
      <c r="B113" s="550" t="n"/>
      <c r="C113" s="550" t="n"/>
      <c r="D113" s="550" t="n"/>
      <c r="E113" s="550" t="n"/>
      <c r="F113" s="550" t="n"/>
      <c r="G113" s="550" t="n"/>
      <c r="H113" s="550" t="n"/>
      <c r="I113" s="550" t="n"/>
      <c r="J113" s="550" t="n"/>
      <c r="K113" s="550" t="n"/>
      <c r="L113" s="550" t="n"/>
      <c r="M113" s="550" t="n"/>
      <c r="N113" s="550" t="n"/>
      <c r="O113" s="550" t="n"/>
      <c r="P113" s="550" t="n"/>
      <c r="Q113" s="550" t="n"/>
      <c r="R113" s="550" t="n"/>
      <c r="S113" s="550" t="n"/>
      <c r="T113" s="550" t="n"/>
      <c r="U113" s="550" t="n"/>
      <c r="V113" s="550" t="n"/>
      <c r="W113" s="550" t="n"/>
      <c r="X113" s="550" t="n"/>
      <c r="Y113" s="550" t="n"/>
      <c r="Z113" s="550" t="n"/>
    </row>
    <row r="114" ht="15.75" customHeight="1" s="375">
      <c r="A114" s="550" t="n"/>
      <c r="B114" s="550" t="n"/>
      <c r="C114" s="550" t="n"/>
      <c r="D114" s="550" t="n"/>
      <c r="E114" s="550" t="n"/>
      <c r="F114" s="550" t="n"/>
      <c r="G114" s="550" t="n"/>
      <c r="H114" s="550" t="n"/>
      <c r="I114" s="550" t="n"/>
      <c r="J114" s="550" t="n"/>
      <c r="K114" s="550" t="n"/>
      <c r="L114" s="550" t="n"/>
      <c r="M114" s="550" t="n"/>
      <c r="N114" s="550" t="n"/>
      <c r="O114" s="550" t="n"/>
      <c r="P114" s="550" t="n"/>
      <c r="Q114" s="550" t="n"/>
      <c r="R114" s="550" t="n"/>
      <c r="S114" s="550" t="n"/>
      <c r="T114" s="550" t="n"/>
      <c r="U114" s="550" t="n"/>
      <c r="V114" s="550" t="n"/>
      <c r="W114" s="550" t="n"/>
      <c r="X114" s="550" t="n"/>
      <c r="Y114" s="550" t="n"/>
      <c r="Z114" s="550" t="n"/>
    </row>
    <row r="115" ht="15.75" customHeight="1" s="375">
      <c r="A115" s="550" t="n"/>
      <c r="B115" s="550" t="n"/>
      <c r="C115" s="550" t="n"/>
      <c r="D115" s="550" t="n"/>
      <c r="E115" s="550" t="n"/>
      <c r="F115" s="550" t="n"/>
      <c r="G115" s="550" t="n"/>
      <c r="H115" s="550" t="n"/>
      <c r="I115" s="550" t="n"/>
      <c r="J115" s="550" t="n"/>
      <c r="K115" s="550" t="n"/>
      <c r="L115" s="550" t="n"/>
      <c r="M115" s="550" t="n"/>
      <c r="N115" s="550" t="n"/>
      <c r="O115" s="550" t="n"/>
      <c r="P115" s="550" t="n"/>
      <c r="Q115" s="550" t="n"/>
      <c r="R115" s="550" t="n"/>
      <c r="S115" s="550" t="n"/>
      <c r="T115" s="550" t="n"/>
      <c r="U115" s="550" t="n"/>
      <c r="V115" s="550" t="n"/>
      <c r="W115" s="550" t="n"/>
      <c r="X115" s="550" t="n"/>
      <c r="Y115" s="550" t="n"/>
      <c r="Z115" s="550" t="n"/>
    </row>
    <row r="116" ht="15.75" customHeight="1" s="375">
      <c r="A116" s="550" t="n"/>
      <c r="B116" s="550" t="n"/>
      <c r="C116" s="550" t="n"/>
      <c r="D116" s="550" t="n"/>
      <c r="E116" s="550" t="n"/>
      <c r="F116" s="550" t="n"/>
      <c r="G116" s="550" t="n"/>
      <c r="H116" s="550" t="n"/>
      <c r="I116" s="550" t="n"/>
      <c r="J116" s="550" t="n"/>
      <c r="K116" s="550" t="n"/>
      <c r="L116" s="550" t="n"/>
      <c r="M116" s="550" t="n"/>
      <c r="N116" s="550" t="n"/>
      <c r="O116" s="550" t="n"/>
      <c r="P116" s="550" t="n"/>
      <c r="Q116" s="550" t="n"/>
      <c r="R116" s="550" t="n"/>
      <c r="S116" s="550" t="n"/>
      <c r="T116" s="550" t="n"/>
      <c r="U116" s="550" t="n"/>
      <c r="V116" s="550" t="n"/>
      <c r="W116" s="550" t="n"/>
      <c r="X116" s="550" t="n"/>
      <c r="Y116" s="550" t="n"/>
      <c r="Z116" s="550" t="n"/>
    </row>
    <row r="117" ht="15.75" customHeight="1" s="375">
      <c r="A117" s="550" t="n"/>
      <c r="B117" s="550" t="n"/>
      <c r="C117" s="550" t="n"/>
      <c r="D117" s="550" t="n"/>
      <c r="E117" s="550" t="n"/>
      <c r="F117" s="550" t="n"/>
      <c r="G117" s="550" t="n"/>
      <c r="H117" s="550" t="n"/>
      <c r="I117" s="550" t="n"/>
      <c r="J117" s="550" t="n"/>
      <c r="K117" s="550" t="n"/>
      <c r="L117" s="550" t="n"/>
      <c r="M117" s="550" t="n"/>
      <c r="N117" s="550" t="n"/>
      <c r="O117" s="550" t="n"/>
      <c r="P117" s="550" t="n"/>
      <c r="Q117" s="550" t="n"/>
      <c r="R117" s="550" t="n"/>
      <c r="S117" s="550" t="n"/>
      <c r="T117" s="550" t="n"/>
      <c r="U117" s="550" t="n"/>
      <c r="V117" s="550" t="n"/>
      <c r="W117" s="550" t="n"/>
      <c r="X117" s="550" t="n"/>
      <c r="Y117" s="550" t="n"/>
      <c r="Z117" s="550" t="n"/>
    </row>
    <row r="118" ht="15.75" customHeight="1" s="375">
      <c r="A118" s="550" t="n"/>
      <c r="B118" s="550" t="n"/>
      <c r="C118" s="550" t="n"/>
      <c r="D118" s="550" t="n"/>
      <c r="E118" s="550" t="n"/>
      <c r="F118" s="550" t="n"/>
      <c r="G118" s="550" t="n"/>
      <c r="H118" s="550" t="n"/>
      <c r="I118" s="550" t="n"/>
      <c r="J118" s="550" t="n"/>
      <c r="K118" s="550" t="n"/>
      <c r="L118" s="550" t="n"/>
      <c r="M118" s="550" t="n"/>
      <c r="N118" s="550" t="n"/>
      <c r="O118" s="550" t="n"/>
      <c r="P118" s="550" t="n"/>
      <c r="Q118" s="550" t="n"/>
      <c r="R118" s="550" t="n"/>
      <c r="S118" s="550" t="n"/>
      <c r="T118" s="550" t="n"/>
      <c r="U118" s="550" t="n"/>
      <c r="V118" s="550" t="n"/>
      <c r="W118" s="550" t="n"/>
      <c r="X118" s="550" t="n"/>
      <c r="Y118" s="550" t="n"/>
      <c r="Z118" s="550" t="n"/>
    </row>
    <row r="119" ht="15.75" customHeight="1" s="375">
      <c r="A119" s="550" t="n"/>
      <c r="B119" s="550" t="n"/>
      <c r="C119" s="550" t="n"/>
      <c r="D119" s="550" t="n"/>
      <c r="E119" s="550" t="n"/>
      <c r="F119" s="550" t="n"/>
      <c r="G119" s="550" t="n"/>
      <c r="H119" s="550" t="n"/>
      <c r="I119" s="550" t="n"/>
      <c r="J119" s="550" t="n"/>
      <c r="K119" s="550" t="n"/>
      <c r="L119" s="550" t="n"/>
      <c r="M119" s="550" t="n"/>
      <c r="N119" s="550" t="n"/>
      <c r="O119" s="550" t="n"/>
      <c r="P119" s="550" t="n"/>
      <c r="Q119" s="550" t="n"/>
      <c r="R119" s="550" t="n"/>
      <c r="S119" s="550" t="n"/>
      <c r="T119" s="550" t="n"/>
      <c r="U119" s="550" t="n"/>
      <c r="V119" s="550" t="n"/>
      <c r="W119" s="550" t="n"/>
      <c r="X119" s="550" t="n"/>
      <c r="Y119" s="550" t="n"/>
      <c r="Z119" s="550" t="n"/>
    </row>
    <row r="120" ht="15.75" customHeight="1" s="375">
      <c r="A120" s="550" t="n"/>
      <c r="B120" s="550" t="n"/>
      <c r="C120" s="550" t="n"/>
      <c r="D120" s="550" t="n"/>
      <c r="E120" s="550" t="n"/>
      <c r="F120" s="550" t="n"/>
      <c r="G120" s="550" t="n"/>
      <c r="H120" s="550" t="n"/>
      <c r="I120" s="550" t="n"/>
      <c r="J120" s="550" t="n"/>
      <c r="K120" s="550" t="n"/>
      <c r="L120" s="550" t="n"/>
      <c r="M120" s="550" t="n"/>
      <c r="N120" s="550" t="n"/>
      <c r="O120" s="550" t="n"/>
      <c r="P120" s="550" t="n"/>
      <c r="Q120" s="550" t="n"/>
      <c r="R120" s="550" t="n"/>
      <c r="S120" s="550" t="n"/>
      <c r="T120" s="550" t="n"/>
      <c r="U120" s="550" t="n"/>
      <c r="V120" s="550" t="n"/>
      <c r="W120" s="550" t="n"/>
      <c r="X120" s="550" t="n"/>
      <c r="Y120" s="550" t="n"/>
      <c r="Z120" s="550" t="n"/>
    </row>
    <row r="121" ht="15.75" customHeight="1" s="375">
      <c r="A121" s="550" t="n"/>
      <c r="B121" s="550" t="n"/>
      <c r="C121" s="550" t="n"/>
      <c r="D121" s="550" t="n"/>
      <c r="E121" s="550" t="n"/>
      <c r="F121" s="550" t="n"/>
      <c r="G121" s="550" t="n"/>
      <c r="H121" s="550" t="n"/>
      <c r="I121" s="550" t="n"/>
      <c r="J121" s="550" t="n"/>
      <c r="K121" s="550" t="n"/>
      <c r="L121" s="550" t="n"/>
      <c r="M121" s="550" t="n"/>
      <c r="N121" s="550" t="n"/>
      <c r="O121" s="550" t="n"/>
      <c r="P121" s="550" t="n"/>
      <c r="Q121" s="550" t="n"/>
      <c r="R121" s="550" t="n"/>
      <c r="S121" s="550" t="n"/>
      <c r="T121" s="550" t="n"/>
      <c r="U121" s="550" t="n"/>
      <c r="V121" s="550" t="n"/>
      <c r="W121" s="550" t="n"/>
      <c r="X121" s="550" t="n"/>
      <c r="Y121" s="550" t="n"/>
      <c r="Z121" s="550" t="n"/>
    </row>
    <row r="122" ht="15.75" customHeight="1" s="375">
      <c r="A122" s="550" t="n"/>
      <c r="B122" s="550" t="n"/>
      <c r="C122" s="550" t="n"/>
      <c r="D122" s="550" t="n"/>
      <c r="E122" s="550" t="n"/>
      <c r="F122" s="550" t="n"/>
      <c r="G122" s="550" t="n"/>
      <c r="H122" s="550" t="n"/>
      <c r="I122" s="550" t="n"/>
      <c r="J122" s="550" t="n"/>
      <c r="K122" s="550" t="n"/>
      <c r="L122" s="550" t="n"/>
      <c r="M122" s="550" t="n"/>
      <c r="N122" s="550" t="n"/>
      <c r="O122" s="550" t="n"/>
      <c r="P122" s="550" t="n"/>
      <c r="Q122" s="550" t="n"/>
      <c r="R122" s="550" t="n"/>
      <c r="S122" s="550" t="n"/>
      <c r="T122" s="550" t="n"/>
      <c r="U122" s="550" t="n"/>
      <c r="V122" s="550" t="n"/>
      <c r="W122" s="550" t="n"/>
      <c r="X122" s="550" t="n"/>
      <c r="Y122" s="550" t="n"/>
      <c r="Z122" s="550" t="n"/>
    </row>
    <row r="123" ht="15.75" customHeight="1" s="375">
      <c r="A123" s="550" t="n"/>
      <c r="B123" s="550" t="n"/>
      <c r="C123" s="550" t="n"/>
      <c r="D123" s="550" t="n"/>
      <c r="E123" s="550" t="n"/>
      <c r="F123" s="550" t="n"/>
      <c r="G123" s="550" t="n"/>
      <c r="H123" s="550" t="n"/>
      <c r="I123" s="550" t="n"/>
      <c r="J123" s="550" t="n"/>
      <c r="K123" s="550" t="n"/>
      <c r="L123" s="550" t="n"/>
      <c r="M123" s="550" t="n"/>
      <c r="N123" s="550" t="n"/>
      <c r="O123" s="550" t="n"/>
      <c r="P123" s="550" t="n"/>
      <c r="Q123" s="550" t="n"/>
      <c r="R123" s="550" t="n"/>
      <c r="S123" s="550" t="n"/>
      <c r="T123" s="550" t="n"/>
      <c r="U123" s="550" t="n"/>
      <c r="V123" s="550" t="n"/>
      <c r="W123" s="550" t="n"/>
      <c r="X123" s="550" t="n"/>
      <c r="Y123" s="550" t="n"/>
      <c r="Z123" s="550" t="n"/>
    </row>
    <row r="124" ht="15.75" customHeight="1" s="375">
      <c r="A124" s="550" t="n"/>
      <c r="B124" s="550" t="n"/>
      <c r="C124" s="550" t="n"/>
      <c r="D124" s="550" t="n"/>
      <c r="E124" s="550" t="n"/>
      <c r="F124" s="550" t="n"/>
      <c r="G124" s="550" t="n"/>
      <c r="H124" s="550" t="n"/>
      <c r="I124" s="550" t="n"/>
      <c r="J124" s="550" t="n"/>
      <c r="K124" s="550" t="n"/>
      <c r="L124" s="550" t="n"/>
      <c r="M124" s="550" t="n"/>
      <c r="N124" s="550" t="n"/>
      <c r="O124" s="550" t="n"/>
      <c r="P124" s="550" t="n"/>
      <c r="Q124" s="550" t="n"/>
      <c r="R124" s="550" t="n"/>
      <c r="S124" s="550" t="n"/>
      <c r="T124" s="550" t="n"/>
      <c r="U124" s="550" t="n"/>
      <c r="V124" s="550" t="n"/>
      <c r="W124" s="550" t="n"/>
      <c r="X124" s="550" t="n"/>
      <c r="Y124" s="550" t="n"/>
      <c r="Z124" s="550" t="n"/>
    </row>
    <row r="125" ht="15.75" customHeight="1" s="375">
      <c r="A125" s="550" t="n"/>
      <c r="B125" s="550" t="n"/>
      <c r="C125" s="550" t="n"/>
      <c r="D125" s="550" t="n"/>
      <c r="E125" s="550" t="n"/>
      <c r="F125" s="550" t="n"/>
      <c r="G125" s="550" t="n"/>
      <c r="H125" s="550" t="n"/>
      <c r="I125" s="550" t="n"/>
      <c r="J125" s="550" t="n"/>
      <c r="K125" s="550" t="n"/>
      <c r="L125" s="550" t="n"/>
      <c r="M125" s="550" t="n"/>
      <c r="N125" s="550" t="n"/>
      <c r="O125" s="550" t="n"/>
      <c r="P125" s="550" t="n"/>
      <c r="Q125" s="550" t="n"/>
      <c r="R125" s="550" t="n"/>
      <c r="S125" s="550" t="n"/>
      <c r="T125" s="550" t="n"/>
      <c r="U125" s="550" t="n"/>
      <c r="V125" s="550" t="n"/>
      <c r="W125" s="550" t="n"/>
      <c r="X125" s="550" t="n"/>
      <c r="Y125" s="550" t="n"/>
      <c r="Z125" s="550" t="n"/>
    </row>
    <row r="126" ht="15.75" customHeight="1" s="375">
      <c r="A126" s="550" t="n"/>
      <c r="B126" s="550" t="n"/>
      <c r="C126" s="550" t="n"/>
      <c r="D126" s="550" t="n"/>
      <c r="E126" s="550" t="n"/>
      <c r="F126" s="550" t="n"/>
      <c r="G126" s="550" t="n"/>
      <c r="H126" s="550" t="n"/>
      <c r="I126" s="550" t="n"/>
      <c r="J126" s="550" t="n"/>
      <c r="K126" s="550" t="n"/>
      <c r="L126" s="550" t="n"/>
      <c r="M126" s="550" t="n"/>
      <c r="N126" s="550" t="n"/>
      <c r="O126" s="550" t="n"/>
      <c r="P126" s="550" t="n"/>
      <c r="Q126" s="550" t="n"/>
      <c r="R126" s="550" t="n"/>
      <c r="S126" s="550" t="n"/>
      <c r="T126" s="550" t="n"/>
      <c r="U126" s="550" t="n"/>
      <c r="V126" s="550" t="n"/>
      <c r="W126" s="550" t="n"/>
      <c r="X126" s="550" t="n"/>
      <c r="Y126" s="550" t="n"/>
      <c r="Z126" s="550" t="n"/>
    </row>
    <row r="127" ht="15.75" customHeight="1" s="375">
      <c r="A127" s="550" t="n"/>
      <c r="B127" s="550" t="n"/>
      <c r="C127" s="550" t="n"/>
      <c r="D127" s="550" t="n"/>
      <c r="E127" s="550" t="n"/>
      <c r="F127" s="550" t="n"/>
      <c r="G127" s="550" t="n"/>
      <c r="H127" s="550" t="n"/>
      <c r="I127" s="550" t="n"/>
      <c r="J127" s="550" t="n"/>
      <c r="K127" s="550" t="n"/>
      <c r="L127" s="550" t="n"/>
      <c r="M127" s="550" t="n"/>
      <c r="N127" s="550" t="n"/>
      <c r="O127" s="550" t="n"/>
      <c r="P127" s="550" t="n"/>
      <c r="Q127" s="550" t="n"/>
      <c r="R127" s="550" t="n"/>
      <c r="S127" s="550" t="n"/>
      <c r="T127" s="550" t="n"/>
      <c r="U127" s="550" t="n"/>
      <c r="V127" s="550" t="n"/>
      <c r="W127" s="550" t="n"/>
      <c r="X127" s="550" t="n"/>
      <c r="Y127" s="550" t="n"/>
      <c r="Z127" s="550" t="n"/>
    </row>
    <row r="128" ht="15.75" customHeight="1" s="375">
      <c r="A128" s="550" t="n"/>
      <c r="B128" s="550" t="n"/>
      <c r="C128" s="550" t="n"/>
      <c r="D128" s="550" t="n"/>
      <c r="E128" s="550" t="n"/>
      <c r="F128" s="550" t="n"/>
      <c r="G128" s="550" t="n"/>
      <c r="H128" s="550" t="n"/>
      <c r="I128" s="550" t="n"/>
      <c r="J128" s="550" t="n"/>
      <c r="K128" s="550" t="n"/>
      <c r="L128" s="550" t="n"/>
      <c r="M128" s="550" t="n"/>
      <c r="N128" s="550" t="n"/>
      <c r="O128" s="550" t="n"/>
      <c r="P128" s="550" t="n"/>
      <c r="Q128" s="550" t="n"/>
      <c r="R128" s="550" t="n"/>
      <c r="S128" s="550" t="n"/>
      <c r="T128" s="550" t="n"/>
      <c r="U128" s="550" t="n"/>
      <c r="V128" s="550" t="n"/>
      <c r="W128" s="550" t="n"/>
      <c r="X128" s="550" t="n"/>
      <c r="Y128" s="550" t="n"/>
      <c r="Z128" s="550" t="n"/>
    </row>
    <row r="129" ht="15.75" customHeight="1" s="375">
      <c r="A129" s="550" t="n"/>
      <c r="B129" s="550" t="n"/>
      <c r="C129" s="550" t="n"/>
      <c r="D129" s="550" t="n"/>
      <c r="E129" s="550" t="n"/>
      <c r="F129" s="550" t="n"/>
      <c r="G129" s="550" t="n"/>
      <c r="H129" s="550" t="n"/>
      <c r="I129" s="550" t="n"/>
      <c r="J129" s="550" t="n"/>
      <c r="K129" s="550" t="n"/>
      <c r="L129" s="550" t="n"/>
      <c r="M129" s="550" t="n"/>
      <c r="N129" s="550" t="n"/>
      <c r="O129" s="550" t="n"/>
      <c r="P129" s="550" t="n"/>
      <c r="Q129" s="550" t="n"/>
      <c r="R129" s="550" t="n"/>
      <c r="S129" s="550" t="n"/>
      <c r="T129" s="550" t="n"/>
      <c r="U129" s="550" t="n"/>
      <c r="V129" s="550" t="n"/>
      <c r="W129" s="550" t="n"/>
      <c r="X129" s="550" t="n"/>
      <c r="Y129" s="550" t="n"/>
      <c r="Z129" s="550" t="n"/>
    </row>
    <row r="130" ht="15.75" customHeight="1" s="375">
      <c r="A130" s="550" t="n"/>
      <c r="B130" s="550" t="n"/>
      <c r="C130" s="550" t="n"/>
      <c r="D130" s="550" t="n"/>
      <c r="E130" s="550" t="n"/>
      <c r="F130" s="550" t="n"/>
      <c r="G130" s="550" t="n"/>
      <c r="H130" s="550" t="n"/>
      <c r="I130" s="550" t="n"/>
      <c r="J130" s="550" t="n"/>
      <c r="K130" s="550" t="n"/>
      <c r="L130" s="550" t="n"/>
      <c r="M130" s="550" t="n"/>
      <c r="N130" s="550" t="n"/>
      <c r="O130" s="550" t="n"/>
      <c r="P130" s="550" t="n"/>
      <c r="Q130" s="550" t="n"/>
      <c r="R130" s="550" t="n"/>
      <c r="S130" s="550" t="n"/>
      <c r="T130" s="550" t="n"/>
      <c r="U130" s="550" t="n"/>
      <c r="V130" s="550" t="n"/>
      <c r="W130" s="550" t="n"/>
      <c r="X130" s="550" t="n"/>
      <c r="Y130" s="550" t="n"/>
      <c r="Z130" s="550" t="n"/>
    </row>
    <row r="131" ht="15.75" customHeight="1" s="375">
      <c r="A131" s="550" t="n"/>
      <c r="B131" s="550" t="n"/>
      <c r="C131" s="550" t="n"/>
      <c r="D131" s="550" t="n"/>
      <c r="E131" s="550" t="n"/>
      <c r="F131" s="550" t="n"/>
      <c r="G131" s="550" t="n"/>
      <c r="H131" s="550" t="n"/>
      <c r="I131" s="550" t="n"/>
      <c r="J131" s="550" t="n"/>
      <c r="K131" s="550" t="n"/>
      <c r="L131" s="550" t="n"/>
      <c r="M131" s="550" t="n"/>
      <c r="N131" s="550" t="n"/>
      <c r="O131" s="550" t="n"/>
      <c r="P131" s="550" t="n"/>
      <c r="Q131" s="550" t="n"/>
      <c r="R131" s="550" t="n"/>
      <c r="S131" s="550" t="n"/>
      <c r="T131" s="550" t="n"/>
      <c r="U131" s="550" t="n"/>
      <c r="V131" s="550" t="n"/>
      <c r="W131" s="550" t="n"/>
      <c r="X131" s="550" t="n"/>
      <c r="Y131" s="550" t="n"/>
      <c r="Z131" s="550" t="n"/>
    </row>
    <row r="132" ht="15.75" customHeight="1" s="375">
      <c r="A132" s="550" t="n"/>
      <c r="B132" s="550" t="n"/>
      <c r="C132" s="550" t="n"/>
      <c r="D132" s="550" t="n"/>
      <c r="E132" s="550" t="n"/>
      <c r="F132" s="550" t="n"/>
      <c r="G132" s="550" t="n"/>
      <c r="H132" s="550" t="n"/>
      <c r="I132" s="550" t="n"/>
      <c r="J132" s="550" t="n"/>
      <c r="K132" s="550" t="n"/>
      <c r="L132" s="550" t="n"/>
      <c r="M132" s="550" t="n"/>
      <c r="N132" s="550" t="n"/>
      <c r="O132" s="550" t="n"/>
      <c r="P132" s="550" t="n"/>
      <c r="Q132" s="550" t="n"/>
      <c r="R132" s="550" t="n"/>
      <c r="S132" s="550" t="n"/>
      <c r="T132" s="550" t="n"/>
      <c r="U132" s="550" t="n"/>
      <c r="V132" s="550" t="n"/>
      <c r="W132" s="550" t="n"/>
      <c r="X132" s="550" t="n"/>
      <c r="Y132" s="550" t="n"/>
      <c r="Z132" s="550" t="n"/>
    </row>
    <row r="133" ht="15.75" customHeight="1" s="375">
      <c r="A133" s="550" t="n"/>
      <c r="B133" s="550" t="n"/>
      <c r="C133" s="550" t="n"/>
      <c r="D133" s="550" t="n"/>
      <c r="E133" s="550" t="n"/>
      <c r="F133" s="550" t="n"/>
      <c r="G133" s="550" t="n"/>
      <c r="H133" s="550" t="n"/>
      <c r="I133" s="550" t="n"/>
      <c r="J133" s="550" t="n"/>
      <c r="K133" s="550" t="n"/>
      <c r="L133" s="550" t="n"/>
      <c r="M133" s="550" t="n"/>
      <c r="N133" s="550" t="n"/>
      <c r="O133" s="550" t="n"/>
      <c r="P133" s="550" t="n"/>
      <c r="Q133" s="550" t="n"/>
      <c r="R133" s="550" t="n"/>
      <c r="S133" s="550" t="n"/>
      <c r="T133" s="550" t="n"/>
      <c r="U133" s="550" t="n"/>
      <c r="V133" s="550" t="n"/>
      <c r="W133" s="550" t="n"/>
      <c r="X133" s="550" t="n"/>
      <c r="Y133" s="550" t="n"/>
      <c r="Z133" s="550" t="n"/>
    </row>
    <row r="134" ht="15.75" customHeight="1" s="375">
      <c r="A134" s="550" t="n"/>
      <c r="B134" s="550" t="n"/>
      <c r="C134" s="550" t="n"/>
      <c r="D134" s="550" t="n"/>
      <c r="E134" s="550" t="n"/>
      <c r="F134" s="550" t="n"/>
      <c r="G134" s="550" t="n"/>
      <c r="H134" s="550" t="n"/>
      <c r="I134" s="550" t="n"/>
      <c r="J134" s="550" t="n"/>
      <c r="K134" s="550" t="n"/>
      <c r="L134" s="550" t="n"/>
      <c r="M134" s="550" t="n"/>
      <c r="N134" s="550" t="n"/>
      <c r="O134" s="550" t="n"/>
      <c r="P134" s="550" t="n"/>
      <c r="Q134" s="550" t="n"/>
      <c r="R134" s="550" t="n"/>
      <c r="S134" s="550" t="n"/>
      <c r="T134" s="550" t="n"/>
      <c r="U134" s="550" t="n"/>
      <c r="V134" s="550" t="n"/>
      <c r="W134" s="550" t="n"/>
      <c r="X134" s="550" t="n"/>
      <c r="Y134" s="550" t="n"/>
      <c r="Z134" s="550" t="n"/>
    </row>
    <row r="135" ht="15.75" customHeight="1" s="375">
      <c r="A135" s="550" t="n"/>
      <c r="B135" s="550" t="n"/>
      <c r="C135" s="550" t="n"/>
      <c r="D135" s="550" t="n"/>
      <c r="E135" s="550" t="n"/>
      <c r="F135" s="550" t="n"/>
      <c r="G135" s="550" t="n"/>
      <c r="H135" s="550" t="n"/>
      <c r="I135" s="550" t="n"/>
      <c r="J135" s="550" t="n"/>
      <c r="K135" s="550" t="n"/>
      <c r="L135" s="550" t="n"/>
      <c r="M135" s="550" t="n"/>
      <c r="N135" s="550" t="n"/>
      <c r="O135" s="550" t="n"/>
      <c r="P135" s="550" t="n"/>
      <c r="Q135" s="550" t="n"/>
      <c r="R135" s="550" t="n"/>
      <c r="S135" s="550" t="n"/>
      <c r="T135" s="550" t="n"/>
      <c r="U135" s="550" t="n"/>
      <c r="V135" s="550" t="n"/>
      <c r="W135" s="550" t="n"/>
      <c r="X135" s="550" t="n"/>
      <c r="Y135" s="550" t="n"/>
      <c r="Z135" s="550" t="n"/>
    </row>
    <row r="136" ht="15.75" customHeight="1" s="375">
      <c r="A136" s="550" t="n"/>
      <c r="B136" s="550" t="n"/>
      <c r="C136" s="550" t="n"/>
      <c r="D136" s="550" t="n"/>
      <c r="E136" s="550" t="n"/>
      <c r="F136" s="550" t="n"/>
      <c r="G136" s="550" t="n"/>
      <c r="H136" s="550" t="n"/>
      <c r="I136" s="550" t="n"/>
      <c r="J136" s="550" t="n"/>
      <c r="K136" s="550" t="n"/>
      <c r="L136" s="550" t="n"/>
      <c r="M136" s="550" t="n"/>
      <c r="N136" s="550" t="n"/>
      <c r="O136" s="550" t="n"/>
      <c r="P136" s="550" t="n"/>
      <c r="Q136" s="550" t="n"/>
      <c r="R136" s="550" t="n"/>
      <c r="S136" s="550" t="n"/>
      <c r="T136" s="550" t="n"/>
      <c r="U136" s="550" t="n"/>
      <c r="V136" s="550" t="n"/>
      <c r="W136" s="550" t="n"/>
      <c r="X136" s="550" t="n"/>
      <c r="Y136" s="550" t="n"/>
      <c r="Z136" s="550" t="n"/>
    </row>
    <row r="137" ht="15.75" customHeight="1" s="375">
      <c r="A137" s="550" t="n"/>
      <c r="B137" s="550" t="n"/>
      <c r="C137" s="550" t="n"/>
      <c r="D137" s="550" t="n"/>
      <c r="E137" s="550" t="n"/>
      <c r="F137" s="550" t="n"/>
      <c r="G137" s="550" t="n"/>
      <c r="H137" s="550" t="n"/>
      <c r="I137" s="550" t="n"/>
      <c r="J137" s="550" t="n"/>
      <c r="K137" s="550" t="n"/>
      <c r="L137" s="550" t="n"/>
      <c r="M137" s="550" t="n"/>
      <c r="N137" s="550" t="n"/>
      <c r="O137" s="550" t="n"/>
      <c r="P137" s="550" t="n"/>
      <c r="Q137" s="550" t="n"/>
      <c r="R137" s="550" t="n"/>
      <c r="S137" s="550" t="n"/>
      <c r="T137" s="550" t="n"/>
      <c r="U137" s="550" t="n"/>
      <c r="V137" s="550" t="n"/>
      <c r="W137" s="550" t="n"/>
      <c r="X137" s="550" t="n"/>
      <c r="Y137" s="550" t="n"/>
      <c r="Z137" s="550" t="n"/>
    </row>
    <row r="138" ht="15.75" customHeight="1" s="375">
      <c r="A138" s="550" t="n"/>
      <c r="B138" s="550" t="n"/>
      <c r="C138" s="550" t="n"/>
      <c r="D138" s="550" t="n"/>
      <c r="E138" s="550" t="n"/>
      <c r="F138" s="550" t="n"/>
      <c r="G138" s="550" t="n"/>
      <c r="H138" s="550" t="n"/>
      <c r="I138" s="550" t="n"/>
      <c r="J138" s="550" t="n"/>
      <c r="K138" s="550" t="n"/>
      <c r="L138" s="550" t="n"/>
      <c r="M138" s="550" t="n"/>
      <c r="N138" s="550" t="n"/>
      <c r="O138" s="550" t="n"/>
      <c r="P138" s="550" t="n"/>
      <c r="Q138" s="550" t="n"/>
      <c r="R138" s="550" t="n"/>
      <c r="S138" s="550" t="n"/>
      <c r="T138" s="550" t="n"/>
      <c r="U138" s="550" t="n"/>
      <c r="V138" s="550" t="n"/>
      <c r="W138" s="550" t="n"/>
      <c r="X138" s="550" t="n"/>
      <c r="Y138" s="550" t="n"/>
      <c r="Z138" s="550" t="n"/>
    </row>
    <row r="139" ht="15.75" customHeight="1" s="375">
      <c r="A139" s="550" t="n"/>
      <c r="B139" s="550" t="n"/>
      <c r="C139" s="550" t="n"/>
      <c r="D139" s="550" t="n"/>
      <c r="E139" s="550" t="n"/>
      <c r="F139" s="550" t="n"/>
      <c r="G139" s="550" t="n"/>
      <c r="H139" s="550" t="n"/>
      <c r="I139" s="550" t="n"/>
      <c r="J139" s="550" t="n"/>
      <c r="K139" s="550" t="n"/>
      <c r="L139" s="550" t="n"/>
      <c r="M139" s="550" t="n"/>
      <c r="N139" s="550" t="n"/>
      <c r="O139" s="550" t="n"/>
      <c r="P139" s="550" t="n"/>
      <c r="Q139" s="550" t="n"/>
      <c r="R139" s="550" t="n"/>
      <c r="S139" s="550" t="n"/>
      <c r="T139" s="550" t="n"/>
      <c r="U139" s="550" t="n"/>
      <c r="V139" s="550" t="n"/>
      <c r="W139" s="550" t="n"/>
      <c r="X139" s="550" t="n"/>
      <c r="Y139" s="550" t="n"/>
      <c r="Z139" s="550" t="n"/>
    </row>
    <row r="140" ht="15.75" customHeight="1" s="375">
      <c r="A140" s="550" t="n"/>
      <c r="B140" s="550" t="n"/>
      <c r="C140" s="550" t="n"/>
      <c r="D140" s="550" t="n"/>
      <c r="E140" s="550" t="n"/>
      <c r="F140" s="550" t="n"/>
      <c r="G140" s="550" t="n"/>
      <c r="H140" s="550" t="n"/>
      <c r="I140" s="550" t="n"/>
      <c r="J140" s="550" t="n"/>
      <c r="K140" s="550" t="n"/>
      <c r="L140" s="550" t="n"/>
      <c r="M140" s="550" t="n"/>
      <c r="N140" s="550" t="n"/>
      <c r="O140" s="550" t="n"/>
      <c r="P140" s="550" t="n"/>
      <c r="Q140" s="550" t="n"/>
      <c r="R140" s="550" t="n"/>
      <c r="S140" s="550" t="n"/>
      <c r="T140" s="550" t="n"/>
      <c r="U140" s="550" t="n"/>
      <c r="V140" s="550" t="n"/>
      <c r="W140" s="550" t="n"/>
      <c r="X140" s="550" t="n"/>
      <c r="Y140" s="550" t="n"/>
      <c r="Z140" s="550" t="n"/>
    </row>
    <row r="141" ht="15.75" customHeight="1" s="375">
      <c r="A141" s="550" t="n"/>
      <c r="B141" s="550" t="n"/>
      <c r="C141" s="550" t="n"/>
      <c r="D141" s="550" t="n"/>
      <c r="E141" s="550" t="n"/>
      <c r="F141" s="550" t="n"/>
      <c r="G141" s="550" t="n"/>
      <c r="H141" s="550" t="n"/>
      <c r="I141" s="550" t="n"/>
      <c r="J141" s="550" t="n"/>
      <c r="K141" s="550" t="n"/>
      <c r="L141" s="550" t="n"/>
      <c r="M141" s="550" t="n"/>
      <c r="N141" s="550" t="n"/>
      <c r="O141" s="550" t="n"/>
      <c r="P141" s="550" t="n"/>
      <c r="Q141" s="550" t="n"/>
      <c r="R141" s="550" t="n"/>
      <c r="S141" s="550" t="n"/>
      <c r="T141" s="550" t="n"/>
      <c r="U141" s="550" t="n"/>
      <c r="V141" s="550" t="n"/>
      <c r="W141" s="550" t="n"/>
      <c r="X141" s="550" t="n"/>
      <c r="Y141" s="550" t="n"/>
      <c r="Z141" s="550" t="n"/>
    </row>
    <row r="142" ht="15.75" customHeight="1" s="375">
      <c r="A142" s="550" t="n"/>
      <c r="B142" s="550" t="n"/>
      <c r="C142" s="550" t="n"/>
      <c r="D142" s="550" t="n"/>
      <c r="E142" s="550" t="n"/>
      <c r="F142" s="550" t="n"/>
      <c r="G142" s="550" t="n"/>
      <c r="H142" s="550" t="n"/>
      <c r="I142" s="550" t="n"/>
      <c r="J142" s="550" t="n"/>
      <c r="K142" s="550" t="n"/>
      <c r="L142" s="550" t="n"/>
      <c r="M142" s="550" t="n"/>
      <c r="N142" s="550" t="n"/>
      <c r="O142" s="550" t="n"/>
      <c r="P142" s="550" t="n"/>
      <c r="Q142" s="550" t="n"/>
      <c r="R142" s="550" t="n"/>
      <c r="S142" s="550" t="n"/>
      <c r="T142" s="550" t="n"/>
      <c r="U142" s="550" t="n"/>
      <c r="V142" s="550" t="n"/>
      <c r="W142" s="550" t="n"/>
      <c r="X142" s="550" t="n"/>
      <c r="Y142" s="550" t="n"/>
      <c r="Z142" s="550" t="n"/>
    </row>
    <row r="143" ht="15.75" customHeight="1" s="375">
      <c r="A143" s="550" t="n"/>
      <c r="B143" s="550" t="n"/>
      <c r="C143" s="550" t="n"/>
      <c r="D143" s="550" t="n"/>
      <c r="E143" s="550" t="n"/>
      <c r="F143" s="550" t="n"/>
      <c r="G143" s="550" t="n"/>
      <c r="H143" s="550" t="n"/>
      <c r="I143" s="550" t="n"/>
      <c r="J143" s="550" t="n"/>
      <c r="K143" s="550" t="n"/>
      <c r="L143" s="550" t="n"/>
      <c r="M143" s="550" t="n"/>
      <c r="N143" s="550" t="n"/>
      <c r="O143" s="550" t="n"/>
      <c r="P143" s="550" t="n"/>
      <c r="Q143" s="550" t="n"/>
      <c r="R143" s="550" t="n"/>
      <c r="S143" s="550" t="n"/>
      <c r="T143" s="550" t="n"/>
      <c r="U143" s="550" t="n"/>
      <c r="V143" s="550" t="n"/>
      <c r="W143" s="550" t="n"/>
      <c r="X143" s="550" t="n"/>
      <c r="Y143" s="550" t="n"/>
      <c r="Z143" s="550" t="n"/>
    </row>
    <row r="144" ht="15.75" customHeight="1" s="375">
      <c r="A144" s="550" t="n"/>
      <c r="B144" s="550" t="n"/>
      <c r="C144" s="550" t="n"/>
      <c r="D144" s="550" t="n"/>
      <c r="E144" s="550" t="n"/>
      <c r="F144" s="550" t="n"/>
      <c r="G144" s="550" t="n"/>
      <c r="H144" s="550" t="n"/>
      <c r="I144" s="550" t="n"/>
      <c r="J144" s="550" t="n"/>
      <c r="K144" s="550" t="n"/>
      <c r="L144" s="550" t="n"/>
      <c r="M144" s="550" t="n"/>
      <c r="N144" s="550" t="n"/>
      <c r="O144" s="550" t="n"/>
      <c r="P144" s="550" t="n"/>
      <c r="Q144" s="550" t="n"/>
      <c r="R144" s="550" t="n"/>
      <c r="S144" s="550" t="n"/>
      <c r="T144" s="550" t="n"/>
      <c r="U144" s="550" t="n"/>
      <c r="V144" s="550" t="n"/>
      <c r="W144" s="550" t="n"/>
      <c r="X144" s="550" t="n"/>
      <c r="Y144" s="550" t="n"/>
      <c r="Z144" s="550" t="n"/>
    </row>
    <row r="145" ht="15.75" customHeight="1" s="375">
      <c r="A145" s="550" t="n"/>
      <c r="B145" s="550" t="n"/>
      <c r="C145" s="550" t="n"/>
      <c r="D145" s="550" t="n"/>
      <c r="E145" s="550" t="n"/>
      <c r="F145" s="550" t="n"/>
      <c r="G145" s="550" t="n"/>
      <c r="H145" s="550" t="n"/>
      <c r="I145" s="550" t="n"/>
      <c r="J145" s="550" t="n"/>
      <c r="K145" s="550" t="n"/>
      <c r="L145" s="550" t="n"/>
      <c r="M145" s="550" t="n"/>
      <c r="N145" s="550" t="n"/>
      <c r="O145" s="550" t="n"/>
      <c r="P145" s="550" t="n"/>
      <c r="Q145" s="550" t="n"/>
      <c r="R145" s="550" t="n"/>
      <c r="S145" s="550" t="n"/>
      <c r="T145" s="550" t="n"/>
      <c r="U145" s="550" t="n"/>
      <c r="V145" s="550" t="n"/>
      <c r="W145" s="550" t="n"/>
      <c r="X145" s="550" t="n"/>
      <c r="Y145" s="550" t="n"/>
      <c r="Z145" s="550" t="n"/>
    </row>
    <row r="146" ht="15.75" customHeight="1" s="375">
      <c r="A146" s="550" t="n"/>
      <c r="B146" s="550" t="n"/>
      <c r="C146" s="550" t="n"/>
      <c r="D146" s="550" t="n"/>
      <c r="E146" s="550" t="n"/>
      <c r="F146" s="550" t="n"/>
      <c r="G146" s="550" t="n"/>
      <c r="H146" s="550" t="n"/>
      <c r="I146" s="550" t="n"/>
      <c r="J146" s="550" t="n"/>
      <c r="K146" s="550" t="n"/>
      <c r="L146" s="550" t="n"/>
      <c r="M146" s="550" t="n"/>
      <c r="N146" s="550" t="n"/>
      <c r="O146" s="550" t="n"/>
      <c r="P146" s="550" t="n"/>
      <c r="Q146" s="550" t="n"/>
      <c r="R146" s="550" t="n"/>
      <c r="S146" s="550" t="n"/>
      <c r="T146" s="550" t="n"/>
      <c r="U146" s="550" t="n"/>
      <c r="V146" s="550" t="n"/>
      <c r="W146" s="550" t="n"/>
      <c r="X146" s="550" t="n"/>
      <c r="Y146" s="550" t="n"/>
      <c r="Z146" s="550" t="n"/>
    </row>
    <row r="147" ht="15.75" customHeight="1" s="375">
      <c r="A147" s="550" t="n"/>
      <c r="B147" s="550" t="n"/>
      <c r="C147" s="550" t="n"/>
      <c r="D147" s="550" t="n"/>
      <c r="E147" s="550" t="n"/>
      <c r="F147" s="550" t="n"/>
      <c r="G147" s="550" t="n"/>
      <c r="H147" s="550" t="n"/>
      <c r="I147" s="550" t="n"/>
      <c r="J147" s="550" t="n"/>
      <c r="K147" s="550" t="n"/>
      <c r="L147" s="550" t="n"/>
      <c r="M147" s="550" t="n"/>
      <c r="N147" s="550" t="n"/>
      <c r="O147" s="550" t="n"/>
      <c r="P147" s="550" t="n"/>
      <c r="Q147" s="550" t="n"/>
      <c r="R147" s="550" t="n"/>
      <c r="S147" s="550" t="n"/>
      <c r="T147" s="550" t="n"/>
      <c r="U147" s="550" t="n"/>
      <c r="V147" s="550" t="n"/>
      <c r="W147" s="550" t="n"/>
      <c r="X147" s="550" t="n"/>
      <c r="Y147" s="550" t="n"/>
      <c r="Z147" s="550" t="n"/>
    </row>
    <row r="148" ht="15.75" customHeight="1" s="375">
      <c r="A148" s="550" t="n"/>
      <c r="B148" s="550" t="n"/>
      <c r="C148" s="550" t="n"/>
      <c r="D148" s="550" t="n"/>
      <c r="E148" s="550" t="n"/>
      <c r="F148" s="550" t="n"/>
      <c r="G148" s="550" t="n"/>
      <c r="H148" s="550" t="n"/>
      <c r="I148" s="550" t="n"/>
      <c r="J148" s="550" t="n"/>
      <c r="K148" s="550" t="n"/>
      <c r="L148" s="550" t="n"/>
      <c r="M148" s="550" t="n"/>
      <c r="N148" s="550" t="n"/>
      <c r="O148" s="550" t="n"/>
      <c r="P148" s="550" t="n"/>
      <c r="Q148" s="550" t="n"/>
      <c r="R148" s="550" t="n"/>
      <c r="S148" s="550" t="n"/>
      <c r="T148" s="550" t="n"/>
      <c r="U148" s="550" t="n"/>
      <c r="V148" s="550" t="n"/>
      <c r="W148" s="550" t="n"/>
      <c r="X148" s="550" t="n"/>
      <c r="Y148" s="550" t="n"/>
      <c r="Z148" s="550" t="n"/>
    </row>
    <row r="149" ht="15.75" customHeight="1" s="375">
      <c r="A149" s="550" t="n"/>
      <c r="B149" s="550" t="n"/>
      <c r="C149" s="550" t="n"/>
      <c r="D149" s="550" t="n"/>
      <c r="E149" s="550" t="n"/>
      <c r="F149" s="550" t="n"/>
      <c r="G149" s="550" t="n"/>
      <c r="H149" s="550" t="n"/>
      <c r="I149" s="550" t="n"/>
      <c r="J149" s="550" t="n"/>
      <c r="K149" s="550" t="n"/>
      <c r="L149" s="550" t="n"/>
      <c r="M149" s="550" t="n"/>
      <c r="N149" s="550" t="n"/>
      <c r="O149" s="550" t="n"/>
      <c r="P149" s="550" t="n"/>
      <c r="Q149" s="550" t="n"/>
      <c r="R149" s="550" t="n"/>
      <c r="S149" s="550" t="n"/>
      <c r="T149" s="550" t="n"/>
      <c r="U149" s="550" t="n"/>
      <c r="V149" s="550" t="n"/>
      <c r="W149" s="550" t="n"/>
      <c r="X149" s="550" t="n"/>
      <c r="Y149" s="550" t="n"/>
      <c r="Z149" s="550" t="n"/>
    </row>
    <row r="150" ht="15.75" customHeight="1" s="375">
      <c r="A150" s="550" t="n"/>
      <c r="B150" s="550" t="n"/>
      <c r="C150" s="550" t="n"/>
      <c r="D150" s="550" t="n"/>
      <c r="E150" s="550" t="n"/>
      <c r="F150" s="550" t="n"/>
      <c r="G150" s="550" t="n"/>
      <c r="H150" s="550" t="n"/>
      <c r="I150" s="550" t="n"/>
      <c r="J150" s="550" t="n"/>
      <c r="K150" s="550" t="n"/>
      <c r="L150" s="550" t="n"/>
      <c r="M150" s="550" t="n"/>
      <c r="N150" s="550" t="n"/>
      <c r="O150" s="550" t="n"/>
      <c r="P150" s="550" t="n"/>
      <c r="Q150" s="550" t="n"/>
      <c r="R150" s="550" t="n"/>
      <c r="S150" s="550" t="n"/>
      <c r="T150" s="550" t="n"/>
      <c r="U150" s="550" t="n"/>
      <c r="V150" s="550" t="n"/>
      <c r="W150" s="550" t="n"/>
      <c r="X150" s="550" t="n"/>
      <c r="Y150" s="550" t="n"/>
      <c r="Z150" s="550" t="n"/>
    </row>
    <row r="151" ht="15.75" customHeight="1" s="375">
      <c r="A151" s="550" t="n"/>
      <c r="B151" s="550" t="n"/>
      <c r="C151" s="550" t="n"/>
      <c r="D151" s="550" t="n"/>
      <c r="E151" s="550" t="n"/>
      <c r="F151" s="550" t="n"/>
      <c r="G151" s="550" t="n"/>
      <c r="H151" s="550" t="n"/>
      <c r="I151" s="550" t="n"/>
      <c r="J151" s="550" t="n"/>
      <c r="K151" s="550" t="n"/>
      <c r="L151" s="550" t="n"/>
      <c r="M151" s="550" t="n"/>
      <c r="N151" s="550" t="n"/>
      <c r="O151" s="550" t="n"/>
      <c r="P151" s="550" t="n"/>
      <c r="Q151" s="550" t="n"/>
      <c r="R151" s="550" t="n"/>
      <c r="S151" s="550" t="n"/>
      <c r="T151" s="550" t="n"/>
      <c r="U151" s="550" t="n"/>
      <c r="V151" s="550" t="n"/>
      <c r="W151" s="550" t="n"/>
      <c r="X151" s="550" t="n"/>
      <c r="Y151" s="550" t="n"/>
      <c r="Z151" s="550" t="n"/>
    </row>
    <row r="152" ht="15.75" customHeight="1" s="375">
      <c r="A152" s="550" t="n"/>
      <c r="B152" s="550" t="n"/>
      <c r="C152" s="550" t="n"/>
      <c r="D152" s="550" t="n"/>
      <c r="E152" s="550" t="n"/>
      <c r="F152" s="550" t="n"/>
      <c r="G152" s="550" t="n"/>
      <c r="H152" s="550" t="n"/>
      <c r="I152" s="550" t="n"/>
      <c r="J152" s="550" t="n"/>
      <c r="K152" s="550" t="n"/>
      <c r="L152" s="550" t="n"/>
      <c r="M152" s="550" t="n"/>
      <c r="N152" s="550" t="n"/>
      <c r="O152" s="550" t="n"/>
      <c r="P152" s="550" t="n"/>
      <c r="Q152" s="550" t="n"/>
      <c r="R152" s="550" t="n"/>
      <c r="S152" s="550" t="n"/>
      <c r="T152" s="550" t="n"/>
      <c r="U152" s="550" t="n"/>
      <c r="V152" s="550" t="n"/>
      <c r="W152" s="550" t="n"/>
      <c r="X152" s="550" t="n"/>
      <c r="Y152" s="550" t="n"/>
      <c r="Z152" s="550" t="n"/>
    </row>
    <row r="153" ht="15.75" customHeight="1" s="375">
      <c r="A153" s="550" t="n"/>
      <c r="B153" s="550" t="n"/>
      <c r="C153" s="550" t="n"/>
      <c r="D153" s="550" t="n"/>
      <c r="E153" s="550" t="n"/>
      <c r="F153" s="550" t="n"/>
      <c r="G153" s="550" t="n"/>
      <c r="H153" s="550" t="n"/>
      <c r="I153" s="550" t="n"/>
      <c r="J153" s="550" t="n"/>
      <c r="K153" s="550" t="n"/>
      <c r="L153" s="550" t="n"/>
      <c r="M153" s="550" t="n"/>
      <c r="N153" s="550" t="n"/>
      <c r="O153" s="550" t="n"/>
      <c r="P153" s="550" t="n"/>
      <c r="Q153" s="550" t="n"/>
      <c r="R153" s="550" t="n"/>
      <c r="S153" s="550" t="n"/>
      <c r="T153" s="550" t="n"/>
      <c r="U153" s="550" t="n"/>
      <c r="V153" s="550" t="n"/>
      <c r="W153" s="550" t="n"/>
      <c r="X153" s="550" t="n"/>
      <c r="Y153" s="550" t="n"/>
      <c r="Z153" s="550" t="n"/>
    </row>
    <row r="154" ht="15.75" customHeight="1" s="375">
      <c r="A154" s="550" t="n"/>
      <c r="B154" s="550" t="n"/>
      <c r="C154" s="550" t="n"/>
      <c r="D154" s="550" t="n"/>
      <c r="E154" s="550" t="n"/>
      <c r="F154" s="550" t="n"/>
      <c r="G154" s="550" t="n"/>
      <c r="H154" s="550" t="n"/>
      <c r="I154" s="550" t="n"/>
      <c r="J154" s="550" t="n"/>
      <c r="K154" s="550" t="n"/>
      <c r="L154" s="550" t="n"/>
      <c r="M154" s="550" t="n"/>
      <c r="N154" s="550" t="n"/>
      <c r="O154" s="550" t="n"/>
      <c r="P154" s="550" t="n"/>
      <c r="Q154" s="550" t="n"/>
      <c r="R154" s="550" t="n"/>
      <c r="S154" s="550" t="n"/>
      <c r="T154" s="550" t="n"/>
      <c r="U154" s="550" t="n"/>
      <c r="V154" s="550" t="n"/>
      <c r="W154" s="550" t="n"/>
      <c r="X154" s="550" t="n"/>
      <c r="Y154" s="550" t="n"/>
      <c r="Z154" s="550" t="n"/>
    </row>
    <row r="155" ht="15.75" customHeight="1" s="375">
      <c r="A155" s="550" t="n"/>
      <c r="B155" s="550" t="n"/>
      <c r="C155" s="550" t="n"/>
      <c r="D155" s="550" t="n"/>
      <c r="E155" s="550" t="n"/>
      <c r="F155" s="550" t="n"/>
      <c r="G155" s="550" t="n"/>
      <c r="H155" s="550" t="n"/>
      <c r="I155" s="550" t="n"/>
      <c r="J155" s="550" t="n"/>
      <c r="K155" s="550" t="n"/>
      <c r="L155" s="550" t="n"/>
      <c r="M155" s="550" t="n"/>
      <c r="N155" s="550" t="n"/>
      <c r="O155" s="550" t="n"/>
      <c r="P155" s="550" t="n"/>
      <c r="Q155" s="550" t="n"/>
      <c r="R155" s="550" t="n"/>
      <c r="S155" s="550" t="n"/>
      <c r="T155" s="550" t="n"/>
      <c r="U155" s="550" t="n"/>
      <c r="V155" s="550" t="n"/>
      <c r="W155" s="550" t="n"/>
      <c r="X155" s="550" t="n"/>
      <c r="Y155" s="550" t="n"/>
      <c r="Z155" s="550" t="n"/>
    </row>
    <row r="156" ht="15.75" customHeight="1" s="375">
      <c r="A156" s="550" t="n"/>
      <c r="B156" s="550" t="n"/>
      <c r="C156" s="550" t="n"/>
      <c r="D156" s="550" t="n"/>
      <c r="E156" s="550" t="n"/>
      <c r="F156" s="550" t="n"/>
      <c r="G156" s="550" t="n"/>
      <c r="H156" s="550" t="n"/>
      <c r="I156" s="550" t="n"/>
      <c r="J156" s="550" t="n"/>
      <c r="K156" s="550" t="n"/>
      <c r="L156" s="550" t="n"/>
      <c r="M156" s="550" t="n"/>
      <c r="N156" s="550" t="n"/>
      <c r="O156" s="550" t="n"/>
      <c r="P156" s="550" t="n"/>
      <c r="Q156" s="550" t="n"/>
      <c r="R156" s="550" t="n"/>
      <c r="S156" s="550" t="n"/>
      <c r="T156" s="550" t="n"/>
      <c r="U156" s="550" t="n"/>
      <c r="V156" s="550" t="n"/>
      <c r="W156" s="550" t="n"/>
      <c r="X156" s="550" t="n"/>
      <c r="Y156" s="550" t="n"/>
      <c r="Z156" s="550" t="n"/>
    </row>
    <row r="157" ht="15.75" customHeight="1" s="375">
      <c r="A157" s="550" t="n"/>
      <c r="B157" s="550" t="n"/>
      <c r="C157" s="550" t="n"/>
      <c r="D157" s="550" t="n"/>
      <c r="E157" s="550" t="n"/>
      <c r="F157" s="550" t="n"/>
      <c r="G157" s="550" t="n"/>
      <c r="H157" s="550" t="n"/>
      <c r="I157" s="550" t="n"/>
      <c r="J157" s="550" t="n"/>
      <c r="K157" s="550" t="n"/>
      <c r="L157" s="550" t="n"/>
      <c r="M157" s="550" t="n"/>
      <c r="N157" s="550" t="n"/>
      <c r="O157" s="550" t="n"/>
      <c r="P157" s="550" t="n"/>
      <c r="Q157" s="550" t="n"/>
      <c r="R157" s="550" t="n"/>
      <c r="S157" s="550" t="n"/>
      <c r="T157" s="550" t="n"/>
      <c r="U157" s="550" t="n"/>
      <c r="V157" s="550" t="n"/>
      <c r="W157" s="550" t="n"/>
      <c r="X157" s="550" t="n"/>
      <c r="Y157" s="550" t="n"/>
      <c r="Z157" s="550" t="n"/>
    </row>
    <row r="158" ht="15.75" customHeight="1" s="375">
      <c r="A158" s="550" t="n"/>
      <c r="B158" s="550" t="n"/>
      <c r="C158" s="550" t="n"/>
      <c r="D158" s="550" t="n"/>
      <c r="E158" s="550" t="n"/>
      <c r="F158" s="550" t="n"/>
      <c r="G158" s="550" t="n"/>
      <c r="H158" s="550" t="n"/>
      <c r="I158" s="550" t="n"/>
      <c r="J158" s="550" t="n"/>
      <c r="K158" s="550" t="n"/>
      <c r="L158" s="550" t="n"/>
      <c r="M158" s="550" t="n"/>
      <c r="N158" s="550" t="n"/>
      <c r="O158" s="550" t="n"/>
      <c r="P158" s="550" t="n"/>
      <c r="Q158" s="550" t="n"/>
      <c r="R158" s="550" t="n"/>
      <c r="S158" s="550" t="n"/>
      <c r="T158" s="550" t="n"/>
      <c r="U158" s="550" t="n"/>
      <c r="V158" s="550" t="n"/>
      <c r="W158" s="550" t="n"/>
      <c r="X158" s="550" t="n"/>
      <c r="Y158" s="550" t="n"/>
      <c r="Z158" s="550" t="n"/>
    </row>
    <row r="159" ht="15.75" customHeight="1" s="375">
      <c r="A159" s="550" t="n"/>
      <c r="B159" s="550" t="n"/>
      <c r="C159" s="550" t="n"/>
      <c r="D159" s="550" t="n"/>
      <c r="E159" s="550" t="n"/>
      <c r="F159" s="550" t="n"/>
      <c r="G159" s="550" t="n"/>
      <c r="H159" s="550" t="n"/>
      <c r="I159" s="550" t="n"/>
      <c r="J159" s="550" t="n"/>
      <c r="K159" s="550" t="n"/>
      <c r="L159" s="550" t="n"/>
      <c r="M159" s="550" t="n"/>
      <c r="N159" s="550" t="n"/>
      <c r="O159" s="550" t="n"/>
      <c r="P159" s="550" t="n"/>
      <c r="Q159" s="550" t="n"/>
      <c r="R159" s="550" t="n"/>
      <c r="S159" s="550" t="n"/>
      <c r="T159" s="550" t="n"/>
      <c r="U159" s="550" t="n"/>
      <c r="V159" s="550" t="n"/>
      <c r="W159" s="550" t="n"/>
      <c r="X159" s="550" t="n"/>
      <c r="Y159" s="550" t="n"/>
      <c r="Z159" s="550" t="n"/>
    </row>
    <row r="160" ht="15.75" customHeight="1" s="375">
      <c r="A160" s="550" t="n"/>
      <c r="B160" s="550" t="n"/>
      <c r="C160" s="550" t="n"/>
      <c r="D160" s="550" t="n"/>
      <c r="E160" s="550" t="n"/>
      <c r="F160" s="550" t="n"/>
      <c r="G160" s="550" t="n"/>
      <c r="H160" s="550" t="n"/>
      <c r="I160" s="550" t="n"/>
      <c r="J160" s="550" t="n"/>
      <c r="K160" s="550" t="n"/>
      <c r="L160" s="550" t="n"/>
      <c r="M160" s="550" t="n"/>
      <c r="N160" s="550" t="n"/>
      <c r="O160" s="550" t="n"/>
      <c r="P160" s="550" t="n"/>
      <c r="Q160" s="550" t="n"/>
      <c r="R160" s="550" t="n"/>
      <c r="S160" s="550" t="n"/>
      <c r="T160" s="550" t="n"/>
      <c r="U160" s="550" t="n"/>
      <c r="V160" s="550" t="n"/>
      <c r="W160" s="550" t="n"/>
      <c r="X160" s="550" t="n"/>
      <c r="Y160" s="550" t="n"/>
      <c r="Z160" s="550" t="n"/>
    </row>
    <row r="161" ht="15.75" customHeight="1" s="375">
      <c r="A161" s="550" t="n"/>
      <c r="B161" s="550" t="n"/>
      <c r="C161" s="550" t="n"/>
      <c r="D161" s="550" t="n"/>
      <c r="E161" s="550" t="n"/>
      <c r="F161" s="550" t="n"/>
      <c r="G161" s="550" t="n"/>
      <c r="H161" s="550" t="n"/>
      <c r="I161" s="550" t="n"/>
      <c r="J161" s="550" t="n"/>
      <c r="K161" s="550" t="n"/>
      <c r="L161" s="550" t="n"/>
      <c r="M161" s="550" t="n"/>
      <c r="N161" s="550" t="n"/>
      <c r="O161" s="550" t="n"/>
      <c r="P161" s="550" t="n"/>
      <c r="Q161" s="550" t="n"/>
      <c r="R161" s="550" t="n"/>
      <c r="S161" s="550" t="n"/>
      <c r="T161" s="550" t="n"/>
      <c r="U161" s="550" t="n"/>
      <c r="V161" s="550" t="n"/>
      <c r="W161" s="550" t="n"/>
      <c r="X161" s="550" t="n"/>
      <c r="Y161" s="550" t="n"/>
      <c r="Z161" s="550" t="n"/>
    </row>
    <row r="162" ht="15.75" customHeight="1" s="375">
      <c r="A162" s="550" t="n"/>
      <c r="B162" s="550" t="n"/>
      <c r="C162" s="550" t="n"/>
      <c r="D162" s="550" t="n"/>
      <c r="E162" s="550" t="n"/>
      <c r="F162" s="550" t="n"/>
      <c r="G162" s="550" t="n"/>
      <c r="H162" s="550" t="n"/>
      <c r="I162" s="550" t="n"/>
      <c r="J162" s="550" t="n"/>
      <c r="K162" s="550" t="n"/>
      <c r="L162" s="550" t="n"/>
      <c r="M162" s="550" t="n"/>
      <c r="N162" s="550" t="n"/>
      <c r="O162" s="550" t="n"/>
      <c r="P162" s="550" t="n"/>
      <c r="Q162" s="550" t="n"/>
      <c r="R162" s="550" t="n"/>
      <c r="S162" s="550" t="n"/>
      <c r="T162" s="550" t="n"/>
      <c r="U162" s="550" t="n"/>
      <c r="V162" s="550" t="n"/>
      <c r="W162" s="550" t="n"/>
      <c r="X162" s="550" t="n"/>
      <c r="Y162" s="550" t="n"/>
      <c r="Z162" s="550" t="n"/>
    </row>
    <row r="163" ht="15.75" customHeight="1" s="375">
      <c r="A163" s="550" t="n"/>
      <c r="B163" s="550" t="n"/>
      <c r="C163" s="550" t="n"/>
      <c r="D163" s="550" t="n"/>
      <c r="E163" s="550" t="n"/>
      <c r="F163" s="550" t="n"/>
      <c r="G163" s="550" t="n"/>
      <c r="H163" s="550" t="n"/>
      <c r="I163" s="550" t="n"/>
      <c r="J163" s="550" t="n"/>
      <c r="K163" s="550" t="n"/>
      <c r="L163" s="550" t="n"/>
      <c r="M163" s="550" t="n"/>
      <c r="N163" s="550" t="n"/>
      <c r="O163" s="550" t="n"/>
      <c r="P163" s="550" t="n"/>
      <c r="Q163" s="550" t="n"/>
      <c r="R163" s="550" t="n"/>
      <c r="S163" s="550" t="n"/>
      <c r="T163" s="550" t="n"/>
      <c r="U163" s="550" t="n"/>
      <c r="V163" s="550" t="n"/>
      <c r="W163" s="550" t="n"/>
      <c r="X163" s="550" t="n"/>
      <c r="Y163" s="550" t="n"/>
      <c r="Z163" s="550" t="n"/>
    </row>
    <row r="164" ht="15.75" customHeight="1" s="375">
      <c r="A164" s="550" t="n"/>
      <c r="B164" s="550" t="n"/>
      <c r="C164" s="550" t="n"/>
      <c r="D164" s="550" t="n"/>
      <c r="E164" s="550" t="n"/>
      <c r="F164" s="550" t="n"/>
      <c r="G164" s="550" t="n"/>
      <c r="H164" s="550" t="n"/>
      <c r="I164" s="550" t="n"/>
      <c r="J164" s="550" t="n"/>
      <c r="K164" s="550" t="n"/>
      <c r="L164" s="550" t="n"/>
      <c r="M164" s="550" t="n"/>
      <c r="N164" s="550" t="n"/>
      <c r="O164" s="550" t="n"/>
      <c r="P164" s="550" t="n"/>
      <c r="Q164" s="550" t="n"/>
      <c r="R164" s="550" t="n"/>
      <c r="S164" s="550" t="n"/>
      <c r="T164" s="550" t="n"/>
      <c r="U164" s="550" t="n"/>
      <c r="V164" s="550" t="n"/>
      <c r="W164" s="550" t="n"/>
      <c r="X164" s="550" t="n"/>
      <c r="Y164" s="550" t="n"/>
      <c r="Z164" s="550" t="n"/>
    </row>
    <row r="165" ht="15.75" customHeight="1" s="375">
      <c r="A165" s="550" t="n"/>
      <c r="B165" s="550" t="n"/>
      <c r="C165" s="550" t="n"/>
      <c r="D165" s="550" t="n"/>
      <c r="E165" s="550" t="n"/>
      <c r="F165" s="550" t="n"/>
      <c r="G165" s="550" t="n"/>
      <c r="H165" s="550" t="n"/>
      <c r="I165" s="550" t="n"/>
      <c r="J165" s="550" t="n"/>
      <c r="K165" s="550" t="n"/>
      <c r="L165" s="550" t="n"/>
      <c r="M165" s="550" t="n"/>
      <c r="N165" s="550" t="n"/>
      <c r="O165" s="550" t="n"/>
      <c r="P165" s="550" t="n"/>
      <c r="Q165" s="550" t="n"/>
      <c r="R165" s="550" t="n"/>
      <c r="S165" s="550" t="n"/>
      <c r="T165" s="550" t="n"/>
      <c r="U165" s="550" t="n"/>
      <c r="V165" s="550" t="n"/>
      <c r="W165" s="550" t="n"/>
      <c r="X165" s="550" t="n"/>
      <c r="Y165" s="550" t="n"/>
      <c r="Z165" s="550" t="n"/>
    </row>
    <row r="166" ht="15.75" customHeight="1" s="375">
      <c r="A166" s="550" t="n"/>
      <c r="B166" s="550" t="n"/>
      <c r="C166" s="550" t="n"/>
      <c r="D166" s="550" t="n"/>
      <c r="E166" s="550" t="n"/>
      <c r="F166" s="550" t="n"/>
      <c r="G166" s="550" t="n"/>
      <c r="H166" s="550" t="n"/>
      <c r="I166" s="550" t="n"/>
      <c r="J166" s="550" t="n"/>
      <c r="K166" s="550" t="n"/>
      <c r="L166" s="550" t="n"/>
      <c r="M166" s="550" t="n"/>
      <c r="N166" s="550" t="n"/>
      <c r="O166" s="550" t="n"/>
      <c r="P166" s="550" t="n"/>
      <c r="Q166" s="550" t="n"/>
      <c r="R166" s="550" t="n"/>
      <c r="S166" s="550" t="n"/>
      <c r="T166" s="550" t="n"/>
      <c r="U166" s="550" t="n"/>
      <c r="V166" s="550" t="n"/>
      <c r="W166" s="550" t="n"/>
      <c r="X166" s="550" t="n"/>
      <c r="Y166" s="550" t="n"/>
      <c r="Z166" s="550" t="n"/>
    </row>
    <row r="167" ht="15.75" customHeight="1" s="375">
      <c r="A167" s="550" t="n"/>
      <c r="B167" s="550" t="n"/>
      <c r="C167" s="550" t="n"/>
      <c r="D167" s="550" t="n"/>
      <c r="E167" s="550" t="n"/>
      <c r="F167" s="550" t="n"/>
      <c r="G167" s="550" t="n"/>
      <c r="H167" s="550" t="n"/>
      <c r="I167" s="550" t="n"/>
      <c r="J167" s="550" t="n"/>
      <c r="K167" s="550" t="n"/>
      <c r="L167" s="550" t="n"/>
      <c r="M167" s="550" t="n"/>
      <c r="N167" s="550" t="n"/>
      <c r="O167" s="550" t="n"/>
      <c r="P167" s="550" t="n"/>
      <c r="Q167" s="550" t="n"/>
      <c r="R167" s="550" t="n"/>
      <c r="S167" s="550" t="n"/>
      <c r="T167" s="550" t="n"/>
      <c r="U167" s="550" t="n"/>
      <c r="V167" s="550" t="n"/>
      <c r="W167" s="550" t="n"/>
      <c r="X167" s="550" t="n"/>
      <c r="Y167" s="550" t="n"/>
      <c r="Z167" s="550" t="n"/>
    </row>
    <row r="168" ht="15.75" customHeight="1" s="375">
      <c r="A168" s="550" t="n"/>
      <c r="B168" s="550" t="n"/>
      <c r="C168" s="550" t="n"/>
      <c r="D168" s="550" t="n"/>
      <c r="E168" s="550" t="n"/>
      <c r="F168" s="550" t="n"/>
      <c r="G168" s="550" t="n"/>
      <c r="H168" s="550" t="n"/>
      <c r="I168" s="550" t="n"/>
      <c r="J168" s="550" t="n"/>
      <c r="K168" s="550" t="n"/>
      <c r="L168" s="550" t="n"/>
      <c r="M168" s="550" t="n"/>
      <c r="N168" s="550" t="n"/>
      <c r="O168" s="550" t="n"/>
      <c r="P168" s="550" t="n"/>
      <c r="Q168" s="550" t="n"/>
      <c r="R168" s="550" t="n"/>
      <c r="S168" s="550" t="n"/>
      <c r="T168" s="550" t="n"/>
      <c r="U168" s="550" t="n"/>
      <c r="V168" s="550" t="n"/>
      <c r="W168" s="550" t="n"/>
      <c r="X168" s="550" t="n"/>
      <c r="Y168" s="550" t="n"/>
      <c r="Z168" s="550" t="n"/>
    </row>
    <row r="169" ht="15.75" customHeight="1" s="375">
      <c r="A169" s="550" t="n"/>
      <c r="B169" s="550" t="n"/>
      <c r="C169" s="550" t="n"/>
      <c r="D169" s="550" t="n"/>
      <c r="E169" s="550" t="n"/>
      <c r="F169" s="550" t="n"/>
      <c r="G169" s="550" t="n"/>
      <c r="H169" s="550" t="n"/>
      <c r="I169" s="550" t="n"/>
      <c r="J169" s="550" t="n"/>
      <c r="K169" s="550" t="n"/>
      <c r="L169" s="550" t="n"/>
      <c r="M169" s="550" t="n"/>
      <c r="N169" s="550" t="n"/>
      <c r="O169" s="550" t="n"/>
      <c r="P169" s="550" t="n"/>
      <c r="Q169" s="550" t="n"/>
      <c r="R169" s="550" t="n"/>
      <c r="S169" s="550" t="n"/>
      <c r="T169" s="550" t="n"/>
      <c r="U169" s="550" t="n"/>
      <c r="V169" s="550" t="n"/>
      <c r="W169" s="550" t="n"/>
      <c r="X169" s="550" t="n"/>
      <c r="Y169" s="550" t="n"/>
      <c r="Z169" s="550" t="n"/>
    </row>
    <row r="170" ht="15.75" customHeight="1" s="375">
      <c r="A170" s="550" t="n"/>
      <c r="B170" s="550" t="n"/>
      <c r="C170" s="550" t="n"/>
      <c r="D170" s="550" t="n"/>
      <c r="E170" s="550" t="n"/>
      <c r="F170" s="550" t="n"/>
      <c r="G170" s="550" t="n"/>
      <c r="H170" s="550" t="n"/>
      <c r="I170" s="550" t="n"/>
      <c r="J170" s="550" t="n"/>
      <c r="K170" s="550" t="n"/>
      <c r="L170" s="550" t="n"/>
      <c r="M170" s="550" t="n"/>
      <c r="N170" s="550" t="n"/>
      <c r="O170" s="550" t="n"/>
      <c r="P170" s="550" t="n"/>
      <c r="Q170" s="550" t="n"/>
      <c r="R170" s="550" t="n"/>
      <c r="S170" s="550" t="n"/>
      <c r="T170" s="550" t="n"/>
      <c r="U170" s="550" t="n"/>
      <c r="V170" s="550" t="n"/>
      <c r="W170" s="550" t="n"/>
      <c r="X170" s="550" t="n"/>
      <c r="Y170" s="550" t="n"/>
      <c r="Z170" s="550" t="n"/>
    </row>
    <row r="171" ht="15.75" customHeight="1" s="375">
      <c r="A171" s="550" t="n"/>
      <c r="B171" s="550" t="n"/>
      <c r="C171" s="550" t="n"/>
      <c r="D171" s="550" t="n"/>
      <c r="E171" s="550" t="n"/>
      <c r="F171" s="550" t="n"/>
      <c r="G171" s="550" t="n"/>
      <c r="H171" s="550" t="n"/>
      <c r="I171" s="550" t="n"/>
      <c r="J171" s="550" t="n"/>
      <c r="K171" s="550" t="n"/>
      <c r="L171" s="550" t="n"/>
      <c r="M171" s="550" t="n"/>
      <c r="N171" s="550" t="n"/>
      <c r="O171" s="550" t="n"/>
      <c r="P171" s="550" t="n"/>
      <c r="Q171" s="550" t="n"/>
      <c r="R171" s="550" t="n"/>
      <c r="S171" s="550" t="n"/>
      <c r="T171" s="550" t="n"/>
      <c r="U171" s="550" t="n"/>
      <c r="V171" s="550" t="n"/>
      <c r="W171" s="550" t="n"/>
      <c r="X171" s="550" t="n"/>
      <c r="Y171" s="550" t="n"/>
      <c r="Z171" s="550" t="n"/>
    </row>
    <row r="172" ht="15.75" customHeight="1" s="375">
      <c r="A172" s="550" t="n"/>
      <c r="B172" s="550" t="n"/>
      <c r="C172" s="550" t="n"/>
      <c r="D172" s="550" t="n"/>
      <c r="E172" s="550" t="n"/>
      <c r="F172" s="550" t="n"/>
      <c r="G172" s="550" t="n"/>
      <c r="H172" s="550" t="n"/>
      <c r="I172" s="550" t="n"/>
      <c r="J172" s="550" t="n"/>
      <c r="K172" s="550" t="n"/>
      <c r="L172" s="550" t="n"/>
      <c r="M172" s="550" t="n"/>
      <c r="N172" s="550" t="n"/>
      <c r="O172" s="550" t="n"/>
      <c r="P172" s="550" t="n"/>
      <c r="Q172" s="550" t="n"/>
      <c r="R172" s="550" t="n"/>
      <c r="S172" s="550" t="n"/>
      <c r="T172" s="550" t="n"/>
      <c r="U172" s="550" t="n"/>
      <c r="V172" s="550" t="n"/>
      <c r="W172" s="550" t="n"/>
      <c r="X172" s="550" t="n"/>
      <c r="Y172" s="550" t="n"/>
      <c r="Z172" s="550" t="n"/>
    </row>
    <row r="173" ht="15.75" customHeight="1" s="375">
      <c r="A173" s="550" t="n"/>
      <c r="B173" s="550" t="n"/>
      <c r="C173" s="550" t="n"/>
      <c r="D173" s="550" t="n"/>
      <c r="E173" s="550" t="n"/>
      <c r="F173" s="550" t="n"/>
      <c r="G173" s="550" t="n"/>
      <c r="H173" s="550" t="n"/>
      <c r="I173" s="550" t="n"/>
      <c r="J173" s="550" t="n"/>
      <c r="K173" s="550" t="n"/>
      <c r="L173" s="550" t="n"/>
      <c r="M173" s="550" t="n"/>
      <c r="N173" s="550" t="n"/>
      <c r="O173" s="550" t="n"/>
      <c r="P173" s="550" t="n"/>
      <c r="Q173" s="550" t="n"/>
      <c r="R173" s="550" t="n"/>
      <c r="S173" s="550" t="n"/>
      <c r="T173" s="550" t="n"/>
      <c r="U173" s="550" t="n"/>
      <c r="V173" s="550" t="n"/>
      <c r="W173" s="550" t="n"/>
      <c r="X173" s="550" t="n"/>
      <c r="Y173" s="550" t="n"/>
      <c r="Z173" s="550" t="n"/>
    </row>
    <row r="174" ht="15.75" customHeight="1" s="375">
      <c r="A174" s="550" t="n"/>
      <c r="B174" s="550" t="n"/>
      <c r="C174" s="550" t="n"/>
      <c r="D174" s="550" t="n"/>
      <c r="E174" s="550" t="n"/>
      <c r="F174" s="550" t="n"/>
      <c r="G174" s="550" t="n"/>
      <c r="H174" s="550" t="n"/>
      <c r="I174" s="550" t="n"/>
      <c r="J174" s="550" t="n"/>
      <c r="K174" s="550" t="n"/>
      <c r="L174" s="550" t="n"/>
      <c r="M174" s="550" t="n"/>
      <c r="N174" s="550" t="n"/>
      <c r="O174" s="550" t="n"/>
      <c r="P174" s="550" t="n"/>
      <c r="Q174" s="550" t="n"/>
      <c r="R174" s="550" t="n"/>
      <c r="S174" s="550" t="n"/>
      <c r="T174" s="550" t="n"/>
      <c r="U174" s="550" t="n"/>
      <c r="V174" s="550" t="n"/>
      <c r="W174" s="550" t="n"/>
      <c r="X174" s="550" t="n"/>
      <c r="Y174" s="550" t="n"/>
      <c r="Z174" s="550" t="n"/>
    </row>
    <row r="175" ht="15.75" customHeight="1" s="375">
      <c r="A175" s="550" t="n"/>
      <c r="B175" s="550" t="n"/>
      <c r="C175" s="550" t="n"/>
      <c r="D175" s="550" t="n"/>
      <c r="E175" s="550" t="n"/>
      <c r="F175" s="550" t="n"/>
      <c r="G175" s="550" t="n"/>
      <c r="H175" s="550" t="n"/>
      <c r="I175" s="550" t="n"/>
      <c r="J175" s="550" t="n"/>
      <c r="K175" s="550" t="n"/>
      <c r="L175" s="550" t="n"/>
      <c r="M175" s="550" t="n"/>
      <c r="N175" s="550" t="n"/>
      <c r="O175" s="550" t="n"/>
      <c r="P175" s="550" t="n"/>
      <c r="Q175" s="550" t="n"/>
      <c r="R175" s="550" t="n"/>
      <c r="S175" s="550" t="n"/>
      <c r="T175" s="550" t="n"/>
      <c r="U175" s="550" t="n"/>
      <c r="V175" s="550" t="n"/>
      <c r="W175" s="550" t="n"/>
      <c r="X175" s="550" t="n"/>
      <c r="Y175" s="550" t="n"/>
      <c r="Z175" s="550" t="n"/>
    </row>
    <row r="176" ht="15.75" customHeight="1" s="375">
      <c r="A176" s="550" t="n"/>
      <c r="B176" s="550" t="n"/>
      <c r="C176" s="550" t="n"/>
      <c r="D176" s="550" t="n"/>
      <c r="E176" s="550" t="n"/>
      <c r="F176" s="550" t="n"/>
      <c r="G176" s="550" t="n"/>
      <c r="H176" s="550" t="n"/>
      <c r="I176" s="550" t="n"/>
      <c r="J176" s="550" t="n"/>
      <c r="K176" s="550" t="n"/>
      <c r="L176" s="550" t="n"/>
      <c r="M176" s="550" t="n"/>
      <c r="N176" s="550" t="n"/>
      <c r="O176" s="550" t="n"/>
      <c r="P176" s="550" t="n"/>
      <c r="Q176" s="550" t="n"/>
      <c r="R176" s="550" t="n"/>
      <c r="S176" s="550" t="n"/>
      <c r="T176" s="550" t="n"/>
      <c r="U176" s="550" t="n"/>
      <c r="V176" s="550" t="n"/>
      <c r="W176" s="550" t="n"/>
      <c r="X176" s="550" t="n"/>
      <c r="Y176" s="550" t="n"/>
      <c r="Z176" s="550" t="n"/>
    </row>
    <row r="177" ht="15.75" customHeight="1" s="375">
      <c r="A177" s="550" t="n"/>
      <c r="B177" s="550" t="n"/>
      <c r="C177" s="550" t="n"/>
      <c r="D177" s="550" t="n"/>
      <c r="E177" s="550" t="n"/>
      <c r="F177" s="550" t="n"/>
      <c r="G177" s="550" t="n"/>
      <c r="H177" s="550" t="n"/>
      <c r="I177" s="550" t="n"/>
      <c r="J177" s="550" t="n"/>
      <c r="K177" s="550" t="n"/>
      <c r="L177" s="550" t="n"/>
      <c r="M177" s="550" t="n"/>
      <c r="N177" s="550" t="n"/>
      <c r="O177" s="550" t="n"/>
      <c r="P177" s="550" t="n"/>
      <c r="Q177" s="550" t="n"/>
      <c r="R177" s="550" t="n"/>
      <c r="S177" s="550" t="n"/>
      <c r="T177" s="550" t="n"/>
      <c r="U177" s="550" t="n"/>
      <c r="V177" s="550" t="n"/>
      <c r="W177" s="550" t="n"/>
      <c r="X177" s="550" t="n"/>
      <c r="Y177" s="550" t="n"/>
      <c r="Z177" s="550" t="n"/>
    </row>
    <row r="178" ht="15.75" customHeight="1" s="375">
      <c r="A178" s="550" t="n"/>
      <c r="B178" s="550" t="n"/>
      <c r="C178" s="550" t="n"/>
      <c r="D178" s="550" t="n"/>
      <c r="E178" s="550" t="n"/>
      <c r="F178" s="550" t="n"/>
      <c r="G178" s="550" t="n"/>
      <c r="H178" s="550" t="n"/>
      <c r="I178" s="550" t="n"/>
      <c r="J178" s="550" t="n"/>
      <c r="K178" s="550" t="n"/>
      <c r="L178" s="550" t="n"/>
      <c r="M178" s="550" t="n"/>
      <c r="N178" s="550" t="n"/>
      <c r="O178" s="550" t="n"/>
      <c r="P178" s="550" t="n"/>
      <c r="Q178" s="550" t="n"/>
      <c r="R178" s="550" t="n"/>
      <c r="S178" s="550" t="n"/>
      <c r="T178" s="550" t="n"/>
      <c r="U178" s="550" t="n"/>
      <c r="V178" s="550" t="n"/>
      <c r="W178" s="550" t="n"/>
      <c r="X178" s="550" t="n"/>
      <c r="Y178" s="550" t="n"/>
      <c r="Z178" s="550" t="n"/>
    </row>
    <row r="179" ht="15.75" customHeight="1" s="375">
      <c r="A179" s="550" t="n"/>
      <c r="B179" s="550" t="n"/>
      <c r="C179" s="550" t="n"/>
      <c r="D179" s="550" t="n"/>
      <c r="E179" s="550" t="n"/>
      <c r="F179" s="550" t="n"/>
      <c r="G179" s="550" t="n"/>
      <c r="H179" s="550" t="n"/>
      <c r="I179" s="550" t="n"/>
      <c r="J179" s="550" t="n"/>
      <c r="K179" s="550" t="n"/>
      <c r="L179" s="550" t="n"/>
      <c r="M179" s="550" t="n"/>
      <c r="N179" s="550" t="n"/>
      <c r="O179" s="550" t="n"/>
      <c r="P179" s="550" t="n"/>
      <c r="Q179" s="550" t="n"/>
      <c r="R179" s="550" t="n"/>
      <c r="S179" s="550" t="n"/>
      <c r="T179" s="550" t="n"/>
      <c r="U179" s="550" t="n"/>
      <c r="V179" s="550" t="n"/>
      <c r="W179" s="550" t="n"/>
      <c r="X179" s="550" t="n"/>
      <c r="Y179" s="550" t="n"/>
      <c r="Z179" s="550" t="n"/>
    </row>
    <row r="180" ht="15.75" customHeight="1" s="375">
      <c r="A180" s="550" t="n"/>
      <c r="B180" s="550" t="n"/>
      <c r="C180" s="550" t="n"/>
      <c r="D180" s="550" t="n"/>
      <c r="E180" s="550" t="n"/>
      <c r="F180" s="550" t="n"/>
      <c r="G180" s="550" t="n"/>
      <c r="H180" s="550" t="n"/>
      <c r="I180" s="550" t="n"/>
      <c r="J180" s="550" t="n"/>
      <c r="K180" s="550" t="n"/>
      <c r="L180" s="550" t="n"/>
      <c r="M180" s="550" t="n"/>
      <c r="N180" s="550" t="n"/>
      <c r="O180" s="550" t="n"/>
      <c r="P180" s="550" t="n"/>
      <c r="Q180" s="550" t="n"/>
      <c r="R180" s="550" t="n"/>
      <c r="S180" s="550" t="n"/>
      <c r="T180" s="550" t="n"/>
      <c r="U180" s="550" t="n"/>
      <c r="V180" s="550" t="n"/>
      <c r="W180" s="550" t="n"/>
      <c r="X180" s="550" t="n"/>
      <c r="Y180" s="550" t="n"/>
      <c r="Z180" s="550" t="n"/>
    </row>
    <row r="181" ht="15.75" customHeight="1" s="375">
      <c r="A181" s="550" t="n"/>
      <c r="B181" s="550" t="n"/>
      <c r="C181" s="550" t="n"/>
      <c r="D181" s="550" t="n"/>
      <c r="E181" s="550" t="n"/>
      <c r="F181" s="550" t="n"/>
      <c r="G181" s="550" t="n"/>
      <c r="H181" s="550" t="n"/>
      <c r="I181" s="550" t="n"/>
      <c r="J181" s="550" t="n"/>
      <c r="K181" s="550" t="n"/>
      <c r="L181" s="550" t="n"/>
      <c r="M181" s="550" t="n"/>
      <c r="N181" s="550" t="n"/>
      <c r="O181" s="550" t="n"/>
      <c r="P181" s="550" t="n"/>
      <c r="Q181" s="550" t="n"/>
      <c r="R181" s="550" t="n"/>
      <c r="S181" s="550" t="n"/>
      <c r="T181" s="550" t="n"/>
      <c r="U181" s="550" t="n"/>
      <c r="V181" s="550" t="n"/>
      <c r="W181" s="550" t="n"/>
      <c r="X181" s="550" t="n"/>
      <c r="Y181" s="550" t="n"/>
      <c r="Z181" s="550" t="n"/>
    </row>
    <row r="182" ht="15.75" customHeight="1" s="375">
      <c r="A182" s="550" t="n"/>
      <c r="B182" s="550" t="n"/>
      <c r="C182" s="550" t="n"/>
      <c r="D182" s="550" t="n"/>
      <c r="E182" s="550" t="n"/>
      <c r="F182" s="550" t="n"/>
      <c r="G182" s="550" t="n"/>
      <c r="H182" s="550" t="n"/>
      <c r="I182" s="550" t="n"/>
      <c r="J182" s="550" t="n"/>
      <c r="K182" s="550" t="n"/>
      <c r="L182" s="550" t="n"/>
      <c r="M182" s="550" t="n"/>
      <c r="N182" s="550" t="n"/>
      <c r="O182" s="550" t="n"/>
      <c r="P182" s="550" t="n"/>
      <c r="Q182" s="550" t="n"/>
      <c r="R182" s="550" t="n"/>
      <c r="S182" s="550" t="n"/>
      <c r="T182" s="550" t="n"/>
      <c r="U182" s="550" t="n"/>
      <c r="V182" s="550" t="n"/>
      <c r="W182" s="550" t="n"/>
      <c r="X182" s="550" t="n"/>
      <c r="Y182" s="550" t="n"/>
      <c r="Z182" s="550" t="n"/>
    </row>
    <row r="183" ht="15.75" customHeight="1" s="375">
      <c r="A183" s="550" t="n"/>
      <c r="B183" s="550" t="n"/>
      <c r="C183" s="550" t="n"/>
      <c r="D183" s="550" t="n"/>
      <c r="E183" s="550" t="n"/>
      <c r="F183" s="550" t="n"/>
      <c r="G183" s="550" t="n"/>
      <c r="H183" s="550" t="n"/>
      <c r="I183" s="550" t="n"/>
      <c r="J183" s="550" t="n"/>
      <c r="K183" s="550" t="n"/>
      <c r="L183" s="550" t="n"/>
      <c r="M183" s="550" t="n"/>
      <c r="N183" s="550" t="n"/>
      <c r="O183" s="550" t="n"/>
      <c r="P183" s="550" t="n"/>
      <c r="Q183" s="550" t="n"/>
      <c r="R183" s="550" t="n"/>
      <c r="S183" s="550" t="n"/>
      <c r="T183" s="550" t="n"/>
      <c r="U183" s="550" t="n"/>
      <c r="V183" s="550" t="n"/>
      <c r="W183" s="550" t="n"/>
      <c r="X183" s="550" t="n"/>
      <c r="Y183" s="550" t="n"/>
      <c r="Z183" s="550" t="n"/>
    </row>
    <row r="184" ht="15.75" customHeight="1" s="375">
      <c r="A184" s="550" t="n"/>
      <c r="B184" s="550" t="n"/>
      <c r="C184" s="550" t="n"/>
      <c r="D184" s="550" t="n"/>
      <c r="E184" s="550" t="n"/>
      <c r="F184" s="550" t="n"/>
      <c r="G184" s="550" t="n"/>
      <c r="H184" s="550" t="n"/>
      <c r="I184" s="550" t="n"/>
      <c r="J184" s="550" t="n"/>
      <c r="K184" s="550" t="n"/>
      <c r="L184" s="550" t="n"/>
      <c r="M184" s="550" t="n"/>
      <c r="N184" s="550" t="n"/>
      <c r="O184" s="550" t="n"/>
      <c r="P184" s="550" t="n"/>
      <c r="Q184" s="550" t="n"/>
      <c r="R184" s="550" t="n"/>
      <c r="S184" s="550" t="n"/>
      <c r="T184" s="550" t="n"/>
      <c r="U184" s="550" t="n"/>
      <c r="V184" s="550" t="n"/>
      <c r="W184" s="550" t="n"/>
      <c r="X184" s="550" t="n"/>
      <c r="Y184" s="550" t="n"/>
      <c r="Z184" s="550" t="n"/>
    </row>
    <row r="185" ht="15.75" customHeight="1" s="375">
      <c r="A185" s="550" t="n"/>
      <c r="B185" s="550" t="n"/>
      <c r="C185" s="550" t="n"/>
      <c r="D185" s="550" t="n"/>
      <c r="E185" s="550" t="n"/>
      <c r="F185" s="550" t="n"/>
      <c r="G185" s="550" t="n"/>
      <c r="H185" s="550" t="n"/>
      <c r="I185" s="550" t="n"/>
      <c r="J185" s="550" t="n"/>
      <c r="K185" s="550" t="n"/>
      <c r="L185" s="550" t="n"/>
      <c r="M185" s="550" t="n"/>
      <c r="N185" s="550" t="n"/>
      <c r="O185" s="550" t="n"/>
      <c r="P185" s="550" t="n"/>
      <c r="Q185" s="550" t="n"/>
      <c r="R185" s="550" t="n"/>
      <c r="S185" s="550" t="n"/>
      <c r="T185" s="550" t="n"/>
      <c r="U185" s="550" t="n"/>
      <c r="V185" s="550" t="n"/>
      <c r="W185" s="550" t="n"/>
      <c r="X185" s="550" t="n"/>
      <c r="Y185" s="550" t="n"/>
      <c r="Z185" s="550" t="n"/>
    </row>
    <row r="186" ht="15.75" customHeight="1" s="375">
      <c r="A186" s="550" t="n"/>
      <c r="B186" s="550" t="n"/>
      <c r="C186" s="550" t="n"/>
      <c r="D186" s="550" t="n"/>
      <c r="E186" s="550" t="n"/>
      <c r="F186" s="550" t="n"/>
      <c r="G186" s="550" t="n"/>
      <c r="H186" s="550" t="n"/>
      <c r="I186" s="550" t="n"/>
      <c r="J186" s="550" t="n"/>
      <c r="K186" s="550" t="n"/>
      <c r="L186" s="550" t="n"/>
      <c r="M186" s="550" t="n"/>
      <c r="N186" s="550" t="n"/>
      <c r="O186" s="550" t="n"/>
      <c r="P186" s="550" t="n"/>
      <c r="Q186" s="550" t="n"/>
      <c r="R186" s="550" t="n"/>
      <c r="S186" s="550" t="n"/>
      <c r="T186" s="550" t="n"/>
      <c r="U186" s="550" t="n"/>
      <c r="V186" s="550" t="n"/>
      <c r="W186" s="550" t="n"/>
      <c r="X186" s="550" t="n"/>
      <c r="Y186" s="550" t="n"/>
      <c r="Z186" s="550" t="n"/>
    </row>
    <row r="187" ht="15.75" customHeight="1" s="375">
      <c r="A187" s="550" t="n"/>
      <c r="B187" s="550" t="n"/>
      <c r="C187" s="550" t="n"/>
      <c r="D187" s="550" t="n"/>
      <c r="E187" s="550" t="n"/>
      <c r="F187" s="550" t="n"/>
      <c r="G187" s="550" t="n"/>
      <c r="H187" s="550" t="n"/>
      <c r="I187" s="550" t="n"/>
      <c r="J187" s="550" t="n"/>
      <c r="K187" s="550" t="n"/>
      <c r="L187" s="550" t="n"/>
      <c r="M187" s="550" t="n"/>
      <c r="N187" s="550" t="n"/>
      <c r="O187" s="550" t="n"/>
      <c r="P187" s="550" t="n"/>
      <c r="Q187" s="550" t="n"/>
      <c r="R187" s="550" t="n"/>
      <c r="S187" s="550" t="n"/>
      <c r="T187" s="550" t="n"/>
      <c r="U187" s="550" t="n"/>
      <c r="V187" s="550" t="n"/>
      <c r="W187" s="550" t="n"/>
      <c r="X187" s="550" t="n"/>
      <c r="Y187" s="550" t="n"/>
      <c r="Z187" s="550" t="n"/>
    </row>
    <row r="188" ht="15.75" customHeight="1" s="375">
      <c r="A188" s="550" t="n"/>
      <c r="B188" s="550" t="n"/>
      <c r="C188" s="550" t="n"/>
      <c r="D188" s="550" t="n"/>
      <c r="E188" s="550" t="n"/>
      <c r="F188" s="550" t="n"/>
      <c r="G188" s="550" t="n"/>
      <c r="H188" s="550" t="n"/>
      <c r="I188" s="550" t="n"/>
      <c r="J188" s="550" t="n"/>
      <c r="K188" s="550" t="n"/>
      <c r="L188" s="550" t="n"/>
      <c r="M188" s="550" t="n"/>
      <c r="N188" s="550" t="n"/>
      <c r="O188" s="550" t="n"/>
      <c r="P188" s="550" t="n"/>
      <c r="Q188" s="550" t="n"/>
      <c r="R188" s="550" t="n"/>
      <c r="S188" s="550" t="n"/>
      <c r="T188" s="550" t="n"/>
      <c r="U188" s="550" t="n"/>
      <c r="V188" s="550" t="n"/>
      <c r="W188" s="550" t="n"/>
      <c r="X188" s="550" t="n"/>
      <c r="Y188" s="550" t="n"/>
      <c r="Z188" s="550" t="n"/>
    </row>
    <row r="189" ht="15.75" customHeight="1" s="375">
      <c r="A189" s="550" t="n"/>
      <c r="B189" s="550" t="n"/>
      <c r="C189" s="550" t="n"/>
      <c r="D189" s="550" t="n"/>
      <c r="E189" s="550" t="n"/>
      <c r="F189" s="550" t="n"/>
      <c r="G189" s="550" t="n"/>
      <c r="H189" s="550" t="n"/>
      <c r="I189" s="550" t="n"/>
      <c r="J189" s="550" t="n"/>
      <c r="K189" s="550" t="n"/>
      <c r="L189" s="550" t="n"/>
      <c r="M189" s="550" t="n"/>
      <c r="N189" s="550" t="n"/>
      <c r="O189" s="550" t="n"/>
      <c r="P189" s="550" t="n"/>
      <c r="Q189" s="550" t="n"/>
      <c r="R189" s="550" t="n"/>
      <c r="S189" s="550" t="n"/>
      <c r="T189" s="550" t="n"/>
      <c r="U189" s="550" t="n"/>
      <c r="V189" s="550" t="n"/>
      <c r="W189" s="550" t="n"/>
      <c r="X189" s="550" t="n"/>
      <c r="Y189" s="550" t="n"/>
      <c r="Z189" s="550" t="n"/>
    </row>
    <row r="190" ht="15.75" customHeight="1" s="375">
      <c r="A190" s="550" t="n"/>
      <c r="B190" s="550" t="n"/>
      <c r="C190" s="550" t="n"/>
      <c r="D190" s="550" t="n"/>
      <c r="E190" s="550" t="n"/>
      <c r="F190" s="550" t="n"/>
      <c r="G190" s="550" t="n"/>
      <c r="H190" s="550" t="n"/>
      <c r="I190" s="550" t="n"/>
      <c r="J190" s="550" t="n"/>
      <c r="K190" s="550" t="n"/>
      <c r="L190" s="550" t="n"/>
      <c r="M190" s="550" t="n"/>
      <c r="N190" s="550" t="n"/>
      <c r="O190" s="550" t="n"/>
      <c r="P190" s="550" t="n"/>
      <c r="Q190" s="550" t="n"/>
      <c r="R190" s="550" t="n"/>
      <c r="S190" s="550" t="n"/>
      <c r="T190" s="550" t="n"/>
      <c r="U190" s="550" t="n"/>
      <c r="V190" s="550" t="n"/>
      <c r="W190" s="550" t="n"/>
      <c r="X190" s="550" t="n"/>
      <c r="Y190" s="550" t="n"/>
      <c r="Z190" s="550" t="n"/>
    </row>
    <row r="191" ht="15.75" customHeight="1" s="375">
      <c r="A191" s="550" t="n"/>
      <c r="B191" s="550" t="n"/>
      <c r="C191" s="550" t="n"/>
      <c r="D191" s="550" t="n"/>
      <c r="E191" s="550" t="n"/>
      <c r="F191" s="550" t="n"/>
      <c r="G191" s="550" t="n"/>
      <c r="H191" s="550" t="n"/>
      <c r="I191" s="550" t="n"/>
      <c r="J191" s="550" t="n"/>
      <c r="K191" s="550" t="n"/>
      <c r="L191" s="550" t="n"/>
      <c r="M191" s="550" t="n"/>
      <c r="N191" s="550" t="n"/>
      <c r="O191" s="550" t="n"/>
      <c r="P191" s="550" t="n"/>
      <c r="Q191" s="550" t="n"/>
      <c r="R191" s="550" t="n"/>
      <c r="S191" s="550" t="n"/>
      <c r="T191" s="550" t="n"/>
      <c r="U191" s="550" t="n"/>
      <c r="V191" s="550" t="n"/>
      <c r="W191" s="550" t="n"/>
      <c r="X191" s="550" t="n"/>
      <c r="Y191" s="550" t="n"/>
      <c r="Z191" s="550" t="n"/>
    </row>
    <row r="192" ht="15.75" customHeight="1" s="375">
      <c r="A192" s="550" t="n"/>
      <c r="B192" s="550" t="n"/>
      <c r="C192" s="550" t="n"/>
      <c r="D192" s="550" t="n"/>
      <c r="E192" s="550" t="n"/>
      <c r="F192" s="550" t="n"/>
      <c r="G192" s="550" t="n"/>
      <c r="H192" s="550" t="n"/>
      <c r="I192" s="550" t="n"/>
      <c r="J192" s="550" t="n"/>
      <c r="K192" s="550" t="n"/>
      <c r="L192" s="550" t="n"/>
      <c r="M192" s="550" t="n"/>
      <c r="N192" s="550" t="n"/>
      <c r="O192" s="550" t="n"/>
      <c r="P192" s="550" t="n"/>
      <c r="Q192" s="550" t="n"/>
      <c r="R192" s="550" t="n"/>
      <c r="S192" s="550" t="n"/>
      <c r="T192" s="550" t="n"/>
      <c r="U192" s="550" t="n"/>
      <c r="V192" s="550" t="n"/>
      <c r="W192" s="550" t="n"/>
      <c r="X192" s="550" t="n"/>
      <c r="Y192" s="550" t="n"/>
      <c r="Z192" s="550" t="n"/>
    </row>
    <row r="193" ht="15.75" customHeight="1" s="375">
      <c r="A193" s="550" t="n"/>
      <c r="B193" s="550" t="n"/>
      <c r="C193" s="550" t="n"/>
      <c r="D193" s="550" t="n"/>
      <c r="E193" s="550" t="n"/>
      <c r="F193" s="550" t="n"/>
      <c r="G193" s="550" t="n"/>
      <c r="H193" s="550" t="n"/>
      <c r="I193" s="550" t="n"/>
      <c r="J193" s="550" t="n"/>
      <c r="K193" s="550" t="n"/>
      <c r="L193" s="550" t="n"/>
      <c r="M193" s="550" t="n"/>
      <c r="N193" s="550" t="n"/>
      <c r="O193" s="550" t="n"/>
      <c r="P193" s="550" t="n"/>
      <c r="Q193" s="550" t="n"/>
      <c r="R193" s="550" t="n"/>
      <c r="S193" s="550" t="n"/>
      <c r="T193" s="550" t="n"/>
      <c r="U193" s="550" t="n"/>
      <c r="V193" s="550" t="n"/>
      <c r="W193" s="550" t="n"/>
      <c r="X193" s="550" t="n"/>
      <c r="Y193" s="550" t="n"/>
      <c r="Z193" s="550" t="n"/>
    </row>
    <row r="194" ht="15.75" customHeight="1" s="375">
      <c r="A194" s="550" t="n"/>
      <c r="B194" s="550" t="n"/>
      <c r="C194" s="550" t="n"/>
      <c r="D194" s="550" t="n"/>
      <c r="E194" s="550" t="n"/>
      <c r="F194" s="550" t="n"/>
      <c r="G194" s="550" t="n"/>
      <c r="H194" s="550" t="n"/>
      <c r="I194" s="550" t="n"/>
      <c r="J194" s="550" t="n"/>
      <c r="K194" s="550" t="n"/>
      <c r="L194" s="550" t="n"/>
      <c r="M194" s="550" t="n"/>
      <c r="N194" s="550" t="n"/>
      <c r="O194" s="550" t="n"/>
      <c r="P194" s="550" t="n"/>
      <c r="Q194" s="550" t="n"/>
      <c r="R194" s="550" t="n"/>
      <c r="S194" s="550" t="n"/>
      <c r="T194" s="550" t="n"/>
      <c r="U194" s="550" t="n"/>
      <c r="V194" s="550" t="n"/>
      <c r="W194" s="550" t="n"/>
      <c r="X194" s="550" t="n"/>
      <c r="Y194" s="550" t="n"/>
      <c r="Z194" s="550" t="n"/>
    </row>
    <row r="195" ht="15.75" customHeight="1" s="375">
      <c r="A195" s="550" t="n"/>
      <c r="B195" s="550" t="n"/>
      <c r="C195" s="550" t="n"/>
      <c r="D195" s="550" t="n"/>
      <c r="E195" s="550" t="n"/>
      <c r="F195" s="550" t="n"/>
      <c r="G195" s="550" t="n"/>
      <c r="H195" s="550" t="n"/>
      <c r="I195" s="550" t="n"/>
      <c r="J195" s="550" t="n"/>
      <c r="K195" s="550" t="n"/>
      <c r="L195" s="550" t="n"/>
      <c r="M195" s="550" t="n"/>
      <c r="N195" s="550" t="n"/>
      <c r="O195" s="550" t="n"/>
      <c r="P195" s="550" t="n"/>
      <c r="Q195" s="550" t="n"/>
      <c r="R195" s="550" t="n"/>
      <c r="S195" s="550" t="n"/>
      <c r="T195" s="550" t="n"/>
      <c r="U195" s="550" t="n"/>
      <c r="V195" s="550" t="n"/>
      <c r="W195" s="550" t="n"/>
      <c r="X195" s="550" t="n"/>
      <c r="Y195" s="550" t="n"/>
      <c r="Z195" s="550" t="n"/>
    </row>
    <row r="196" ht="15.75" customHeight="1" s="375">
      <c r="A196" s="550" t="n"/>
      <c r="B196" s="550" t="n"/>
      <c r="C196" s="550" t="n"/>
      <c r="D196" s="550" t="n"/>
      <c r="E196" s="550" t="n"/>
      <c r="F196" s="550" t="n"/>
      <c r="G196" s="550" t="n"/>
      <c r="H196" s="550" t="n"/>
      <c r="I196" s="550" t="n"/>
      <c r="J196" s="550" t="n"/>
      <c r="K196" s="550" t="n"/>
      <c r="L196" s="550" t="n"/>
      <c r="M196" s="550" t="n"/>
      <c r="N196" s="550" t="n"/>
      <c r="O196" s="550" t="n"/>
      <c r="P196" s="550" t="n"/>
      <c r="Q196" s="550" t="n"/>
      <c r="R196" s="550" t="n"/>
      <c r="S196" s="550" t="n"/>
      <c r="T196" s="550" t="n"/>
      <c r="U196" s="550" t="n"/>
      <c r="V196" s="550" t="n"/>
      <c r="W196" s="550" t="n"/>
      <c r="X196" s="550" t="n"/>
      <c r="Y196" s="550" t="n"/>
      <c r="Z196" s="550" t="n"/>
    </row>
    <row r="197" ht="15.75" customHeight="1" s="375">
      <c r="A197" s="550" t="n"/>
      <c r="B197" s="550" t="n"/>
      <c r="C197" s="550" t="n"/>
      <c r="D197" s="550" t="n"/>
      <c r="E197" s="550" t="n"/>
      <c r="F197" s="550" t="n"/>
      <c r="G197" s="550" t="n"/>
      <c r="H197" s="550" t="n"/>
      <c r="I197" s="550" t="n"/>
      <c r="J197" s="550" t="n"/>
      <c r="K197" s="550" t="n"/>
      <c r="L197" s="550" t="n"/>
      <c r="M197" s="550" t="n"/>
      <c r="N197" s="550" t="n"/>
      <c r="O197" s="550" t="n"/>
      <c r="P197" s="550" t="n"/>
      <c r="Q197" s="550" t="n"/>
      <c r="R197" s="550" t="n"/>
      <c r="S197" s="550" t="n"/>
      <c r="T197" s="550" t="n"/>
      <c r="U197" s="550" t="n"/>
      <c r="V197" s="550" t="n"/>
      <c r="W197" s="550" t="n"/>
      <c r="X197" s="550" t="n"/>
      <c r="Y197" s="550" t="n"/>
      <c r="Z197" s="550" t="n"/>
    </row>
    <row r="198" ht="15.75" customHeight="1" s="375">
      <c r="A198" s="550" t="n"/>
      <c r="B198" s="550" t="n"/>
      <c r="C198" s="550" t="n"/>
      <c r="D198" s="550" t="n"/>
      <c r="E198" s="550" t="n"/>
      <c r="F198" s="550" t="n"/>
      <c r="G198" s="550" t="n"/>
      <c r="H198" s="550" t="n"/>
      <c r="I198" s="550" t="n"/>
      <c r="J198" s="550" t="n"/>
      <c r="K198" s="550" t="n"/>
      <c r="L198" s="550" t="n"/>
      <c r="M198" s="550" t="n"/>
      <c r="N198" s="550" t="n"/>
      <c r="O198" s="550" t="n"/>
      <c r="P198" s="550" t="n"/>
      <c r="Q198" s="550" t="n"/>
      <c r="R198" s="550" t="n"/>
      <c r="S198" s="550" t="n"/>
      <c r="T198" s="550" t="n"/>
      <c r="U198" s="550" t="n"/>
      <c r="V198" s="550" t="n"/>
      <c r="W198" s="550" t="n"/>
      <c r="X198" s="550" t="n"/>
      <c r="Y198" s="550" t="n"/>
      <c r="Z198" s="550" t="n"/>
    </row>
    <row r="199" ht="15.75" customHeight="1" s="375">
      <c r="A199" s="550" t="n"/>
      <c r="B199" s="550" t="n"/>
      <c r="C199" s="550" t="n"/>
      <c r="D199" s="550" t="n"/>
      <c r="E199" s="550" t="n"/>
      <c r="F199" s="550" t="n"/>
      <c r="G199" s="550" t="n"/>
      <c r="H199" s="550" t="n"/>
      <c r="I199" s="550" t="n"/>
      <c r="J199" s="550" t="n"/>
      <c r="K199" s="550" t="n"/>
      <c r="L199" s="550" t="n"/>
      <c r="M199" s="550" t="n"/>
      <c r="N199" s="550" t="n"/>
      <c r="O199" s="550" t="n"/>
      <c r="P199" s="550" t="n"/>
      <c r="Q199" s="550" t="n"/>
      <c r="R199" s="550" t="n"/>
      <c r="S199" s="550" t="n"/>
      <c r="T199" s="550" t="n"/>
      <c r="U199" s="550" t="n"/>
      <c r="V199" s="550" t="n"/>
      <c r="W199" s="550" t="n"/>
      <c r="X199" s="550" t="n"/>
      <c r="Y199" s="550" t="n"/>
      <c r="Z199" s="550" t="n"/>
    </row>
    <row r="200" ht="15.75" customHeight="1" s="375">
      <c r="A200" s="550" t="n"/>
      <c r="B200" s="550" t="n"/>
      <c r="C200" s="550" t="n"/>
      <c r="D200" s="550" t="n"/>
      <c r="E200" s="550" t="n"/>
      <c r="F200" s="550" t="n"/>
      <c r="G200" s="550" t="n"/>
      <c r="H200" s="550" t="n"/>
      <c r="I200" s="550" t="n"/>
      <c r="J200" s="550" t="n"/>
      <c r="K200" s="550" t="n"/>
      <c r="L200" s="550" t="n"/>
      <c r="M200" s="550" t="n"/>
      <c r="N200" s="550" t="n"/>
      <c r="O200" s="550" t="n"/>
      <c r="P200" s="550" t="n"/>
      <c r="Q200" s="550" t="n"/>
      <c r="R200" s="550" t="n"/>
      <c r="S200" s="550" t="n"/>
      <c r="T200" s="550" t="n"/>
      <c r="U200" s="550" t="n"/>
      <c r="V200" s="550" t="n"/>
      <c r="W200" s="550" t="n"/>
      <c r="X200" s="550" t="n"/>
      <c r="Y200" s="550" t="n"/>
      <c r="Z200" s="550" t="n"/>
    </row>
    <row r="201" ht="15.75" customHeight="1" s="375">
      <c r="A201" s="550" t="n"/>
      <c r="B201" s="550" t="n"/>
      <c r="C201" s="550" t="n"/>
      <c r="D201" s="550" t="n"/>
      <c r="E201" s="550" t="n"/>
      <c r="F201" s="550" t="n"/>
      <c r="G201" s="550" t="n"/>
      <c r="H201" s="550" t="n"/>
      <c r="I201" s="550" t="n"/>
      <c r="J201" s="550" t="n"/>
      <c r="K201" s="550" t="n"/>
      <c r="L201" s="550" t="n"/>
      <c r="M201" s="550" t="n"/>
      <c r="N201" s="550" t="n"/>
      <c r="O201" s="550" t="n"/>
      <c r="P201" s="550" t="n"/>
      <c r="Q201" s="550" t="n"/>
      <c r="R201" s="550" t="n"/>
      <c r="S201" s="550" t="n"/>
      <c r="T201" s="550" t="n"/>
      <c r="U201" s="550" t="n"/>
      <c r="V201" s="550" t="n"/>
      <c r="W201" s="550" t="n"/>
      <c r="X201" s="550" t="n"/>
      <c r="Y201" s="550" t="n"/>
      <c r="Z201" s="550" t="n"/>
    </row>
    <row r="202" ht="15.75" customHeight="1" s="375">
      <c r="A202" s="550" t="n"/>
      <c r="B202" s="550" t="n"/>
      <c r="C202" s="550" t="n"/>
      <c r="D202" s="550" t="n"/>
      <c r="E202" s="550" t="n"/>
      <c r="F202" s="550" t="n"/>
      <c r="G202" s="550" t="n"/>
      <c r="H202" s="550" t="n"/>
      <c r="I202" s="550" t="n"/>
      <c r="J202" s="550" t="n"/>
      <c r="K202" s="550" t="n"/>
      <c r="L202" s="550" t="n"/>
      <c r="M202" s="550" t="n"/>
      <c r="N202" s="550" t="n"/>
      <c r="O202" s="550" t="n"/>
      <c r="P202" s="550" t="n"/>
      <c r="Q202" s="550" t="n"/>
      <c r="R202" s="550" t="n"/>
      <c r="S202" s="550" t="n"/>
      <c r="T202" s="550" t="n"/>
      <c r="U202" s="550" t="n"/>
      <c r="V202" s="550" t="n"/>
      <c r="W202" s="550" t="n"/>
      <c r="X202" s="550" t="n"/>
      <c r="Y202" s="550" t="n"/>
      <c r="Z202" s="550" t="n"/>
    </row>
    <row r="203" ht="15.75" customHeight="1" s="375">
      <c r="A203" s="550" t="n"/>
      <c r="B203" s="550" t="n"/>
      <c r="C203" s="550" t="n"/>
      <c r="D203" s="550" t="n"/>
      <c r="E203" s="550" t="n"/>
      <c r="F203" s="550" t="n"/>
      <c r="G203" s="550" t="n"/>
      <c r="H203" s="550" t="n"/>
      <c r="I203" s="550" t="n"/>
      <c r="J203" s="550" t="n"/>
      <c r="K203" s="550" t="n"/>
      <c r="L203" s="550" t="n"/>
      <c r="M203" s="550" t="n"/>
      <c r="N203" s="550" t="n"/>
      <c r="O203" s="550" t="n"/>
      <c r="P203" s="550" t="n"/>
      <c r="Q203" s="550" t="n"/>
      <c r="R203" s="550" t="n"/>
      <c r="S203" s="550" t="n"/>
      <c r="T203" s="550" t="n"/>
      <c r="U203" s="550" t="n"/>
      <c r="V203" s="550" t="n"/>
      <c r="W203" s="550" t="n"/>
      <c r="X203" s="550" t="n"/>
      <c r="Y203" s="550" t="n"/>
      <c r="Z203" s="550" t="n"/>
    </row>
    <row r="204" ht="15.75" customHeight="1" s="375">
      <c r="A204" s="550" t="n"/>
      <c r="B204" s="550" t="n"/>
      <c r="C204" s="550" t="n"/>
      <c r="D204" s="550" t="n"/>
      <c r="E204" s="550" t="n"/>
      <c r="F204" s="550" t="n"/>
      <c r="G204" s="550" t="n"/>
      <c r="H204" s="550" t="n"/>
      <c r="I204" s="550" t="n"/>
      <c r="J204" s="550" t="n"/>
      <c r="K204" s="550" t="n"/>
      <c r="L204" s="550" t="n"/>
      <c r="M204" s="550" t="n"/>
      <c r="N204" s="550" t="n"/>
      <c r="O204" s="550" t="n"/>
      <c r="P204" s="550" t="n"/>
      <c r="Q204" s="550" t="n"/>
      <c r="R204" s="550" t="n"/>
      <c r="S204" s="550" t="n"/>
      <c r="T204" s="550" t="n"/>
      <c r="U204" s="550" t="n"/>
      <c r="V204" s="550" t="n"/>
      <c r="W204" s="550" t="n"/>
      <c r="X204" s="550" t="n"/>
      <c r="Y204" s="550" t="n"/>
      <c r="Z204" s="550" t="n"/>
    </row>
    <row r="205" ht="15.75" customHeight="1" s="375">
      <c r="A205" s="550" t="n"/>
      <c r="B205" s="550" t="n"/>
      <c r="C205" s="550" t="n"/>
      <c r="D205" s="550" t="n"/>
      <c r="E205" s="550" t="n"/>
      <c r="F205" s="550" t="n"/>
      <c r="G205" s="550" t="n"/>
      <c r="H205" s="550" t="n"/>
      <c r="I205" s="550" t="n"/>
      <c r="J205" s="550" t="n"/>
      <c r="K205" s="550" t="n"/>
      <c r="L205" s="550" t="n"/>
      <c r="M205" s="550" t="n"/>
      <c r="N205" s="550" t="n"/>
      <c r="O205" s="550" t="n"/>
      <c r="P205" s="550" t="n"/>
      <c r="Q205" s="550" t="n"/>
      <c r="R205" s="550" t="n"/>
      <c r="S205" s="550" t="n"/>
      <c r="T205" s="550" t="n"/>
      <c r="U205" s="550" t="n"/>
      <c r="V205" s="550" t="n"/>
      <c r="W205" s="550" t="n"/>
      <c r="X205" s="550" t="n"/>
      <c r="Y205" s="550" t="n"/>
      <c r="Z205" s="550" t="n"/>
    </row>
    <row r="206" ht="15.75" customHeight="1" s="375">
      <c r="A206" s="550" t="n"/>
      <c r="B206" s="550" t="n"/>
      <c r="C206" s="550" t="n"/>
      <c r="D206" s="550" t="n"/>
      <c r="E206" s="550" t="n"/>
      <c r="F206" s="550" t="n"/>
      <c r="G206" s="550" t="n"/>
      <c r="H206" s="550" t="n"/>
      <c r="I206" s="550" t="n"/>
      <c r="J206" s="550" t="n"/>
      <c r="K206" s="550" t="n"/>
      <c r="L206" s="550" t="n"/>
      <c r="M206" s="550" t="n"/>
      <c r="N206" s="550" t="n"/>
      <c r="O206" s="550" t="n"/>
      <c r="P206" s="550" t="n"/>
      <c r="Q206" s="550" t="n"/>
      <c r="R206" s="550" t="n"/>
      <c r="S206" s="550" t="n"/>
      <c r="T206" s="550" t="n"/>
      <c r="U206" s="550" t="n"/>
      <c r="V206" s="550" t="n"/>
      <c r="W206" s="550" t="n"/>
      <c r="X206" s="550" t="n"/>
      <c r="Y206" s="550" t="n"/>
      <c r="Z206" s="550" t="n"/>
    </row>
    <row r="207" ht="15.75" customHeight="1" s="375">
      <c r="A207" s="550" t="n"/>
      <c r="B207" s="550" t="n"/>
      <c r="C207" s="550" t="n"/>
      <c r="D207" s="550" t="n"/>
      <c r="E207" s="550" t="n"/>
      <c r="F207" s="550" t="n"/>
      <c r="G207" s="550" t="n"/>
      <c r="H207" s="550" t="n"/>
      <c r="I207" s="550" t="n"/>
      <c r="J207" s="550" t="n"/>
      <c r="K207" s="550" t="n"/>
      <c r="L207" s="550" t="n"/>
      <c r="M207" s="550" t="n"/>
      <c r="N207" s="550" t="n"/>
      <c r="O207" s="550" t="n"/>
      <c r="P207" s="550" t="n"/>
      <c r="Q207" s="550" t="n"/>
      <c r="R207" s="550" t="n"/>
      <c r="S207" s="550" t="n"/>
      <c r="T207" s="550" t="n"/>
      <c r="U207" s="550" t="n"/>
      <c r="V207" s="550" t="n"/>
      <c r="W207" s="550" t="n"/>
      <c r="X207" s="550" t="n"/>
      <c r="Y207" s="550" t="n"/>
      <c r="Z207" s="550" t="n"/>
    </row>
    <row r="208" ht="15.75" customHeight="1" s="375">
      <c r="A208" s="550" t="n"/>
      <c r="B208" s="550" t="n"/>
      <c r="C208" s="550" t="n"/>
      <c r="D208" s="550" t="n"/>
      <c r="E208" s="550" t="n"/>
      <c r="F208" s="550" t="n"/>
      <c r="G208" s="550" t="n"/>
      <c r="H208" s="550" t="n"/>
      <c r="I208" s="550" t="n"/>
      <c r="J208" s="550" t="n"/>
      <c r="K208" s="550" t="n"/>
      <c r="L208" s="550" t="n"/>
      <c r="M208" s="550" t="n"/>
      <c r="N208" s="550" t="n"/>
      <c r="O208" s="550" t="n"/>
      <c r="P208" s="550" t="n"/>
      <c r="Q208" s="550" t="n"/>
      <c r="R208" s="550" t="n"/>
      <c r="S208" s="550" t="n"/>
      <c r="T208" s="550" t="n"/>
      <c r="U208" s="550" t="n"/>
      <c r="V208" s="550" t="n"/>
      <c r="W208" s="550" t="n"/>
      <c r="X208" s="550" t="n"/>
      <c r="Y208" s="550" t="n"/>
      <c r="Z208" s="550" t="n"/>
    </row>
    <row r="209" ht="15.75" customHeight="1" s="375">
      <c r="A209" s="550" t="n"/>
      <c r="B209" s="550" t="n"/>
      <c r="C209" s="550" t="n"/>
      <c r="D209" s="550" t="n"/>
      <c r="E209" s="550" t="n"/>
      <c r="F209" s="550" t="n"/>
      <c r="G209" s="550" t="n"/>
      <c r="H209" s="550" t="n"/>
      <c r="I209" s="550" t="n"/>
      <c r="J209" s="550" t="n"/>
      <c r="K209" s="550" t="n"/>
      <c r="L209" s="550" t="n"/>
      <c r="M209" s="550" t="n"/>
      <c r="N209" s="550" t="n"/>
      <c r="O209" s="550" t="n"/>
      <c r="P209" s="550" t="n"/>
      <c r="Q209" s="550" t="n"/>
      <c r="R209" s="550" t="n"/>
      <c r="S209" s="550" t="n"/>
      <c r="T209" s="550" t="n"/>
      <c r="U209" s="550" t="n"/>
      <c r="V209" s="550" t="n"/>
      <c r="W209" s="550" t="n"/>
      <c r="X209" s="550" t="n"/>
      <c r="Y209" s="550" t="n"/>
      <c r="Z209" s="550" t="n"/>
    </row>
    <row r="210" ht="15.75" customHeight="1" s="375">
      <c r="A210" s="550" t="n"/>
      <c r="B210" s="550" t="n"/>
      <c r="C210" s="550" t="n"/>
      <c r="D210" s="550" t="n"/>
      <c r="E210" s="550" t="n"/>
      <c r="F210" s="550" t="n"/>
      <c r="G210" s="550" t="n"/>
      <c r="H210" s="550" t="n"/>
      <c r="I210" s="550" t="n"/>
      <c r="J210" s="550" t="n"/>
      <c r="K210" s="550" t="n"/>
      <c r="L210" s="550" t="n"/>
      <c r="M210" s="550" t="n"/>
      <c r="N210" s="550" t="n"/>
      <c r="O210" s="550" t="n"/>
      <c r="P210" s="550" t="n"/>
      <c r="Q210" s="550" t="n"/>
      <c r="R210" s="550" t="n"/>
      <c r="S210" s="550" t="n"/>
      <c r="T210" s="550" t="n"/>
      <c r="U210" s="550" t="n"/>
      <c r="V210" s="550" t="n"/>
      <c r="W210" s="550" t="n"/>
      <c r="X210" s="550" t="n"/>
      <c r="Y210" s="550" t="n"/>
      <c r="Z210" s="550" t="n"/>
    </row>
    <row r="211" ht="15.75" customHeight="1" s="375">
      <c r="A211" s="550" t="n"/>
      <c r="B211" s="550" t="n"/>
      <c r="C211" s="550" t="n"/>
      <c r="D211" s="550" t="n"/>
      <c r="E211" s="550" t="n"/>
      <c r="F211" s="550" t="n"/>
      <c r="G211" s="550" t="n"/>
      <c r="H211" s="550" t="n"/>
      <c r="I211" s="550" t="n"/>
      <c r="J211" s="550" t="n"/>
      <c r="K211" s="550" t="n"/>
      <c r="L211" s="550" t="n"/>
      <c r="M211" s="550" t="n"/>
      <c r="N211" s="550" t="n"/>
      <c r="O211" s="550" t="n"/>
      <c r="P211" s="550" t="n"/>
      <c r="Q211" s="550" t="n"/>
      <c r="R211" s="550" t="n"/>
      <c r="S211" s="550" t="n"/>
      <c r="T211" s="550" t="n"/>
      <c r="U211" s="550" t="n"/>
      <c r="V211" s="550" t="n"/>
      <c r="W211" s="550" t="n"/>
      <c r="X211" s="550" t="n"/>
      <c r="Y211" s="550" t="n"/>
      <c r="Z211" s="550" t="n"/>
    </row>
    <row r="212" ht="15.75" customHeight="1" s="375">
      <c r="A212" s="550" t="n"/>
      <c r="B212" s="550" t="n"/>
      <c r="C212" s="550" t="n"/>
      <c r="D212" s="550" t="n"/>
      <c r="E212" s="550" t="n"/>
      <c r="F212" s="550" t="n"/>
      <c r="G212" s="550" t="n"/>
      <c r="H212" s="550" t="n"/>
      <c r="I212" s="550" t="n"/>
      <c r="J212" s="550" t="n"/>
      <c r="K212" s="550" t="n"/>
      <c r="L212" s="550" t="n"/>
      <c r="M212" s="550" t="n"/>
      <c r="N212" s="550" t="n"/>
      <c r="O212" s="550" t="n"/>
      <c r="P212" s="550" t="n"/>
      <c r="Q212" s="550" t="n"/>
      <c r="R212" s="550" t="n"/>
      <c r="S212" s="550" t="n"/>
      <c r="T212" s="550" t="n"/>
      <c r="U212" s="550" t="n"/>
      <c r="V212" s="550" t="n"/>
      <c r="W212" s="550" t="n"/>
      <c r="X212" s="550" t="n"/>
      <c r="Y212" s="550" t="n"/>
      <c r="Z212" s="550" t="n"/>
    </row>
    <row r="213" ht="15.75" customHeight="1" s="375">
      <c r="A213" s="550" t="n"/>
      <c r="B213" s="550" t="n"/>
      <c r="C213" s="550" t="n"/>
      <c r="D213" s="550" t="n"/>
      <c r="E213" s="550" t="n"/>
      <c r="F213" s="550" t="n"/>
      <c r="G213" s="550" t="n"/>
      <c r="H213" s="550" t="n"/>
      <c r="I213" s="550" t="n"/>
      <c r="J213" s="550" t="n"/>
      <c r="K213" s="550" t="n"/>
      <c r="L213" s="550" t="n"/>
      <c r="M213" s="550" t="n"/>
      <c r="N213" s="550" t="n"/>
      <c r="O213" s="550" t="n"/>
      <c r="P213" s="550" t="n"/>
      <c r="Q213" s="550" t="n"/>
      <c r="R213" s="550" t="n"/>
      <c r="S213" s="550" t="n"/>
      <c r="T213" s="550" t="n"/>
      <c r="U213" s="550" t="n"/>
      <c r="V213" s="550" t="n"/>
      <c r="W213" s="550" t="n"/>
      <c r="X213" s="550" t="n"/>
      <c r="Y213" s="550" t="n"/>
      <c r="Z213" s="550" t="n"/>
    </row>
    <row r="214" ht="15.75" customHeight="1" s="375">
      <c r="A214" s="550" t="n"/>
      <c r="B214" s="550" t="n"/>
      <c r="C214" s="550" t="n"/>
      <c r="D214" s="550" t="n"/>
      <c r="E214" s="550" t="n"/>
      <c r="F214" s="550" t="n"/>
      <c r="G214" s="550" t="n"/>
      <c r="H214" s="550" t="n"/>
      <c r="I214" s="550" t="n"/>
      <c r="J214" s="550" t="n"/>
      <c r="K214" s="550" t="n"/>
      <c r="L214" s="550" t="n"/>
      <c r="M214" s="550" t="n"/>
      <c r="N214" s="550" t="n"/>
      <c r="O214" s="550" t="n"/>
      <c r="P214" s="550" t="n"/>
      <c r="Q214" s="550" t="n"/>
      <c r="R214" s="550" t="n"/>
      <c r="S214" s="550" t="n"/>
      <c r="T214" s="550" t="n"/>
      <c r="U214" s="550" t="n"/>
      <c r="V214" s="550" t="n"/>
      <c r="W214" s="550" t="n"/>
      <c r="X214" s="550" t="n"/>
      <c r="Y214" s="550" t="n"/>
      <c r="Z214" s="550" t="n"/>
    </row>
    <row r="215" ht="15.75" customHeight="1" s="375">
      <c r="A215" s="550" t="n"/>
      <c r="B215" s="550" t="n"/>
      <c r="C215" s="550" t="n"/>
      <c r="D215" s="550" t="n"/>
      <c r="E215" s="550" t="n"/>
      <c r="F215" s="550" t="n"/>
      <c r="G215" s="550" t="n"/>
      <c r="H215" s="550" t="n"/>
      <c r="I215" s="550" t="n"/>
      <c r="J215" s="550" t="n"/>
      <c r="K215" s="550" t="n"/>
      <c r="L215" s="550" t="n"/>
      <c r="M215" s="550" t="n"/>
      <c r="N215" s="550" t="n"/>
      <c r="O215" s="550" t="n"/>
      <c r="P215" s="550" t="n"/>
      <c r="Q215" s="550" t="n"/>
      <c r="R215" s="550" t="n"/>
      <c r="S215" s="550" t="n"/>
      <c r="T215" s="550" t="n"/>
      <c r="U215" s="550" t="n"/>
      <c r="V215" s="550" t="n"/>
      <c r="W215" s="550" t="n"/>
      <c r="X215" s="550" t="n"/>
      <c r="Y215" s="550" t="n"/>
      <c r="Z215" s="550" t="n"/>
    </row>
    <row r="216" ht="15.75" customHeight="1" s="375">
      <c r="A216" s="550" t="n"/>
      <c r="B216" s="550" t="n"/>
      <c r="C216" s="550" t="n"/>
      <c r="D216" s="550" t="n"/>
      <c r="E216" s="550" t="n"/>
      <c r="F216" s="550" t="n"/>
      <c r="G216" s="550" t="n"/>
      <c r="H216" s="550" t="n"/>
      <c r="I216" s="550" t="n"/>
      <c r="J216" s="550" t="n"/>
      <c r="K216" s="550" t="n"/>
      <c r="L216" s="550" t="n"/>
      <c r="M216" s="550" t="n"/>
      <c r="N216" s="550" t="n"/>
      <c r="O216" s="550" t="n"/>
      <c r="P216" s="550" t="n"/>
      <c r="Q216" s="550" t="n"/>
      <c r="R216" s="550" t="n"/>
      <c r="S216" s="550" t="n"/>
      <c r="T216" s="550" t="n"/>
      <c r="U216" s="550" t="n"/>
      <c r="V216" s="550" t="n"/>
      <c r="W216" s="550" t="n"/>
      <c r="X216" s="550" t="n"/>
      <c r="Y216" s="550" t="n"/>
      <c r="Z216" s="550" t="n"/>
    </row>
    <row r="217" ht="15.75" customHeight="1" s="375">
      <c r="A217" s="550" t="n"/>
      <c r="B217" s="550" t="n"/>
      <c r="C217" s="550" t="n"/>
      <c r="D217" s="550" t="n"/>
      <c r="E217" s="550" t="n"/>
      <c r="F217" s="550" t="n"/>
      <c r="G217" s="550" t="n"/>
      <c r="H217" s="550" t="n"/>
      <c r="I217" s="550" t="n"/>
      <c r="J217" s="550" t="n"/>
      <c r="K217" s="550" t="n"/>
      <c r="L217" s="550" t="n"/>
      <c r="M217" s="550" t="n"/>
      <c r="N217" s="550" t="n"/>
      <c r="O217" s="550" t="n"/>
      <c r="P217" s="550" t="n"/>
      <c r="Q217" s="550" t="n"/>
      <c r="R217" s="550" t="n"/>
      <c r="S217" s="550" t="n"/>
      <c r="T217" s="550" t="n"/>
      <c r="U217" s="550" t="n"/>
      <c r="V217" s="550" t="n"/>
      <c r="W217" s="550" t="n"/>
      <c r="X217" s="550" t="n"/>
      <c r="Y217" s="550" t="n"/>
      <c r="Z217" s="550" t="n"/>
    </row>
    <row r="218" ht="15.75" customHeight="1" s="375">
      <c r="A218" s="550" t="n"/>
      <c r="B218" s="550" t="n"/>
      <c r="C218" s="550" t="n"/>
      <c r="D218" s="550" t="n"/>
      <c r="E218" s="550" t="n"/>
      <c r="F218" s="550" t="n"/>
      <c r="G218" s="550" t="n"/>
      <c r="H218" s="550" t="n"/>
      <c r="I218" s="550" t="n"/>
      <c r="J218" s="550" t="n"/>
      <c r="K218" s="550" t="n"/>
      <c r="L218" s="550" t="n"/>
      <c r="M218" s="550" t="n"/>
      <c r="N218" s="550" t="n"/>
      <c r="O218" s="550" t="n"/>
      <c r="P218" s="550" t="n"/>
      <c r="Q218" s="550" t="n"/>
      <c r="R218" s="550" t="n"/>
      <c r="S218" s="550" t="n"/>
      <c r="T218" s="550" t="n"/>
      <c r="U218" s="550" t="n"/>
      <c r="V218" s="550" t="n"/>
      <c r="W218" s="550" t="n"/>
      <c r="X218" s="550" t="n"/>
      <c r="Y218" s="550" t="n"/>
      <c r="Z218" s="550" t="n"/>
    </row>
    <row r="219" ht="15.75" customHeight="1" s="375">
      <c r="A219" s="550" t="n"/>
      <c r="B219" s="550" t="n"/>
      <c r="C219" s="550" t="n"/>
      <c r="D219" s="550" t="n"/>
      <c r="E219" s="550" t="n"/>
      <c r="F219" s="550" t="n"/>
      <c r="G219" s="550" t="n"/>
      <c r="H219" s="550" t="n"/>
      <c r="I219" s="550" t="n"/>
      <c r="J219" s="550" t="n"/>
      <c r="K219" s="550" t="n"/>
      <c r="L219" s="550" t="n"/>
      <c r="M219" s="550" t="n"/>
      <c r="N219" s="550" t="n"/>
      <c r="O219" s="550" t="n"/>
      <c r="P219" s="550" t="n"/>
      <c r="Q219" s="550" t="n"/>
      <c r="R219" s="550" t="n"/>
      <c r="S219" s="550" t="n"/>
      <c r="T219" s="550" t="n"/>
      <c r="U219" s="550" t="n"/>
      <c r="V219" s="550" t="n"/>
      <c r="W219" s="550" t="n"/>
      <c r="X219" s="550" t="n"/>
      <c r="Y219" s="550" t="n"/>
      <c r="Z219" s="550" t="n"/>
    </row>
    <row r="220" ht="15.75" customHeight="1" s="375">
      <c r="A220" s="550" t="n"/>
      <c r="B220" s="550" t="n"/>
      <c r="C220" s="550" t="n"/>
      <c r="D220" s="550" t="n"/>
      <c r="E220" s="550" t="n"/>
      <c r="F220" s="550" t="n"/>
      <c r="G220" s="550" t="n"/>
      <c r="H220" s="550" t="n"/>
      <c r="I220" s="550" t="n"/>
      <c r="J220" s="550" t="n"/>
      <c r="K220" s="550" t="n"/>
      <c r="L220" s="550" t="n"/>
      <c r="M220" s="550" t="n"/>
      <c r="N220" s="550" t="n"/>
      <c r="O220" s="550" t="n"/>
      <c r="P220" s="550" t="n"/>
      <c r="Q220" s="550" t="n"/>
      <c r="R220" s="550" t="n"/>
      <c r="S220" s="550" t="n"/>
      <c r="T220" s="550" t="n"/>
      <c r="U220" s="550" t="n"/>
      <c r="V220" s="550" t="n"/>
      <c r="W220" s="550" t="n"/>
      <c r="X220" s="550" t="n"/>
      <c r="Y220" s="550" t="n"/>
      <c r="Z220" s="550" t="n"/>
    </row>
    <row r="221" ht="15.75" customHeight="1" s="375"/>
    <row r="222" ht="15.75" customHeight="1" s="375"/>
    <row r="223" ht="15.75" customHeight="1" s="375"/>
    <row r="224" ht="15.75" customHeight="1" s="375"/>
    <row r="225" ht="15.75" customHeight="1" s="375"/>
    <row r="226" ht="15.75" customHeight="1" s="375"/>
    <row r="227" ht="15.75" customHeight="1" s="375"/>
    <row r="228" ht="15.75" customHeight="1" s="375"/>
    <row r="229" ht="15.75" customHeight="1" s="375"/>
    <row r="230" ht="15.75" customHeight="1" s="375"/>
    <row r="231" ht="15.75" customHeight="1" s="375"/>
    <row r="232" ht="15.75" customHeight="1" s="375"/>
    <row r="233" ht="15.75" customHeight="1" s="375"/>
    <row r="234" ht="15.75" customHeight="1" s="375"/>
    <row r="235" ht="15.75" customHeight="1" s="375"/>
    <row r="236" ht="15.75" customHeight="1" s="375"/>
    <row r="237" ht="15.75" customHeight="1" s="375"/>
    <row r="238" ht="15.75" customHeight="1" s="375"/>
    <row r="239" ht="15.75" customHeight="1" s="375"/>
    <row r="240" ht="15.75" customHeight="1" s="375"/>
    <row r="241" ht="15.75" customHeight="1" s="375"/>
    <row r="242" ht="15.75" customHeight="1" s="375"/>
    <row r="243" ht="15.75" customHeight="1" s="375"/>
    <row r="244" ht="15.75" customHeight="1" s="375"/>
    <row r="245" ht="15.75" customHeight="1" s="375"/>
    <row r="246" ht="15.75" customHeight="1" s="375"/>
    <row r="247" ht="15.75" customHeight="1" s="375"/>
    <row r="248" ht="15.75" customHeight="1" s="375"/>
    <row r="249" ht="15.75" customHeight="1" s="375"/>
    <row r="250" ht="15.75" customHeight="1" s="375"/>
    <row r="251" ht="15.75" customHeight="1" s="375"/>
    <row r="252" ht="15.75" customHeight="1" s="375"/>
    <row r="253" ht="15.75" customHeight="1" s="375"/>
    <row r="254" ht="15.75" customHeight="1" s="375"/>
    <row r="255" ht="15.75" customHeight="1" s="375"/>
    <row r="256" ht="15.75" customHeight="1" s="375"/>
    <row r="257" ht="15.75" customHeight="1" s="375"/>
    <row r="258" ht="15.75" customHeight="1" s="375"/>
    <row r="259" ht="15.75" customHeight="1" s="375"/>
    <row r="260" ht="15.75" customHeight="1" s="375"/>
    <row r="261" ht="15.75" customHeight="1" s="375"/>
    <row r="262" ht="15.75" customHeight="1" s="375"/>
    <row r="263" ht="15.75" customHeight="1" s="375"/>
    <row r="264" ht="15.75" customHeight="1" s="375"/>
    <row r="265" ht="15.75" customHeight="1" s="375"/>
    <row r="266" ht="15.75" customHeight="1" s="375"/>
    <row r="267" ht="15.75" customHeight="1" s="375"/>
    <row r="268" ht="15.75" customHeight="1" s="375"/>
    <row r="269" ht="15.75" customHeight="1" s="375"/>
    <row r="270" ht="15.75" customHeight="1" s="375"/>
    <row r="271" ht="15.75" customHeight="1" s="375"/>
    <row r="272" ht="15.75" customHeight="1" s="375"/>
    <row r="273" ht="15.75" customHeight="1" s="375"/>
    <row r="274" ht="15.75" customHeight="1" s="375"/>
    <row r="275" ht="15.75" customHeight="1" s="375"/>
    <row r="276" ht="15.75" customHeight="1" s="375"/>
    <row r="277" ht="15.75" customHeight="1" s="375"/>
    <row r="278" ht="15.75" customHeight="1" s="375"/>
    <row r="279" ht="15.75" customHeight="1" s="375"/>
    <row r="280" ht="15.75" customHeight="1" s="375"/>
    <row r="281" ht="15.75" customHeight="1" s="375"/>
    <row r="282" ht="15.75" customHeight="1" s="375"/>
    <row r="283" ht="15.75" customHeight="1" s="375"/>
    <row r="284" ht="15.75" customHeight="1" s="375"/>
    <row r="285" ht="15.75" customHeight="1" s="375"/>
    <row r="286" ht="15.75" customHeight="1" s="375"/>
    <row r="287" ht="15.75" customHeight="1" s="375"/>
    <row r="288" ht="15.75" customHeight="1" s="375"/>
    <row r="289" ht="15.75" customHeight="1" s="375"/>
    <row r="290" ht="15.75" customHeight="1" s="375"/>
    <row r="291" ht="15.75" customHeight="1" s="375"/>
    <row r="292" ht="15.75" customHeight="1" s="375"/>
    <row r="293" ht="15.75" customHeight="1" s="375"/>
    <row r="294" ht="15.75" customHeight="1" s="375"/>
    <row r="295" ht="15.75" customHeight="1" s="375"/>
    <row r="296" ht="15.75" customHeight="1" s="375"/>
    <row r="297" ht="15.75" customHeight="1" s="375"/>
    <row r="298" ht="15.75" customHeight="1" s="375"/>
    <row r="299" ht="15.75" customHeight="1" s="375"/>
    <row r="300" ht="15.75" customHeight="1" s="375"/>
    <row r="301" ht="15.75" customHeight="1" s="375"/>
    <row r="302" ht="15.75" customHeight="1" s="375"/>
    <row r="303" ht="15.75" customHeight="1" s="375"/>
    <row r="304" ht="15.75" customHeight="1" s="375"/>
    <row r="305" ht="15.75" customHeight="1" s="375"/>
    <row r="306" ht="15.75" customHeight="1" s="375"/>
    <row r="307" ht="15.75" customHeight="1" s="375"/>
    <row r="308" ht="15.75" customHeight="1" s="375"/>
    <row r="309" ht="15.75" customHeight="1" s="375"/>
    <row r="310" ht="15.75" customHeight="1" s="375"/>
    <row r="311" ht="15.75" customHeight="1" s="375"/>
    <row r="312" ht="15.75" customHeight="1" s="375"/>
    <row r="313" ht="15.75" customHeight="1" s="375"/>
    <row r="314" ht="15.75" customHeight="1" s="375"/>
    <row r="315" ht="15.75" customHeight="1" s="375"/>
    <row r="316" ht="15.75" customHeight="1" s="375"/>
    <row r="317" ht="15.75" customHeight="1" s="375"/>
    <row r="318" ht="15.75" customHeight="1" s="375"/>
    <row r="319" ht="15.75" customHeight="1" s="375"/>
    <row r="320" ht="15.75" customHeight="1" s="375"/>
    <row r="321" ht="15.75" customHeight="1" s="375"/>
    <row r="322" ht="15.75" customHeight="1" s="375"/>
    <row r="323" ht="15.75" customHeight="1" s="375"/>
    <row r="324" ht="15.75" customHeight="1" s="375"/>
    <row r="325" ht="15.75" customHeight="1" s="375"/>
    <row r="326" ht="15.75" customHeight="1" s="375"/>
    <row r="327" ht="15.75" customHeight="1" s="375"/>
    <row r="328" ht="15.75" customHeight="1" s="375"/>
    <row r="329" ht="15.75" customHeight="1" s="375"/>
    <row r="330" ht="15.75" customHeight="1" s="375"/>
    <row r="331" ht="15.75" customHeight="1" s="375"/>
    <row r="332" ht="15.75" customHeight="1" s="375"/>
    <row r="333" ht="15.75" customHeight="1" s="375"/>
    <row r="334" ht="15.75" customHeight="1" s="375"/>
    <row r="335" ht="15.75" customHeight="1" s="375"/>
    <row r="336" ht="15.75" customHeight="1" s="375"/>
    <row r="337" ht="15.75" customHeight="1" s="375"/>
    <row r="338" ht="15.75" customHeight="1" s="375"/>
    <row r="339" ht="15.75" customHeight="1" s="375"/>
    <row r="340" ht="15.75" customHeight="1" s="375"/>
    <row r="341" ht="15.75" customHeight="1" s="375"/>
    <row r="342" ht="15.75" customHeight="1" s="375"/>
    <row r="343" ht="15.75" customHeight="1" s="375"/>
    <row r="344" ht="15.75" customHeight="1" s="375"/>
    <row r="345" ht="15.75" customHeight="1" s="375"/>
    <row r="346" ht="15.75" customHeight="1" s="375"/>
    <row r="347" ht="15.75" customHeight="1" s="375"/>
    <row r="348" ht="15.75" customHeight="1" s="375"/>
    <row r="349" ht="15.75" customHeight="1" s="375"/>
    <row r="350" ht="15.75" customHeight="1" s="375"/>
    <row r="351" ht="15.75" customHeight="1" s="375"/>
    <row r="352" ht="15.75" customHeight="1" s="375"/>
    <row r="353" ht="15.75" customHeight="1" s="375"/>
    <row r="354" ht="15.75" customHeight="1" s="375"/>
    <row r="355" ht="15.75" customHeight="1" s="375"/>
    <row r="356" ht="15.75" customHeight="1" s="375"/>
    <row r="357" ht="15.75" customHeight="1" s="375"/>
    <row r="358" ht="15.75" customHeight="1" s="375"/>
    <row r="359" ht="15.75" customHeight="1" s="375"/>
    <row r="360" ht="15.75" customHeight="1" s="375"/>
    <row r="361" ht="15.75" customHeight="1" s="375"/>
    <row r="362" ht="15.75" customHeight="1" s="375"/>
    <row r="363" ht="15.75" customHeight="1" s="375"/>
    <row r="364" ht="15.75" customHeight="1" s="375"/>
    <row r="365" ht="15.75" customHeight="1" s="375"/>
    <row r="366" ht="15.75" customHeight="1" s="375"/>
    <row r="367" ht="15.75" customHeight="1" s="375"/>
    <row r="368" ht="15.75" customHeight="1" s="375"/>
    <row r="369" ht="15.75" customHeight="1" s="375"/>
    <row r="370" ht="15.75" customHeight="1" s="375"/>
    <row r="371" ht="15.75" customHeight="1" s="375"/>
    <row r="372" ht="15.75" customHeight="1" s="375"/>
    <row r="373" ht="15.75" customHeight="1" s="375"/>
    <row r="374" ht="15.75" customHeight="1" s="375"/>
    <row r="375" ht="15.75" customHeight="1" s="375"/>
    <row r="376" ht="15.75" customHeight="1" s="375"/>
    <row r="377" ht="15.75" customHeight="1" s="375"/>
    <row r="378" ht="15.75" customHeight="1" s="375"/>
    <row r="379" ht="15.75" customHeight="1" s="375"/>
    <row r="380" ht="15.75" customHeight="1" s="375"/>
    <row r="381" ht="15.75" customHeight="1" s="375"/>
    <row r="382" ht="15.75" customHeight="1" s="375"/>
    <row r="383" ht="15.75" customHeight="1" s="375"/>
    <row r="384" ht="15.75" customHeight="1" s="375"/>
    <row r="385" ht="15.75" customHeight="1" s="375"/>
    <row r="386" ht="15.75" customHeight="1" s="375"/>
    <row r="387" ht="15.75" customHeight="1" s="375"/>
    <row r="388" ht="15.75" customHeight="1" s="375"/>
    <row r="389" ht="15.75" customHeight="1" s="375"/>
    <row r="390" ht="15.75" customHeight="1" s="375"/>
    <row r="391" ht="15.75" customHeight="1" s="375"/>
    <row r="392" ht="15.75" customHeight="1" s="375"/>
    <row r="393" ht="15.75" customHeight="1" s="375"/>
    <row r="394" ht="15.75" customHeight="1" s="375"/>
    <row r="395" ht="15.75" customHeight="1" s="375"/>
    <row r="396" ht="15.75" customHeight="1" s="375"/>
    <row r="397" ht="15.75" customHeight="1" s="375"/>
    <row r="398" ht="15.75" customHeight="1" s="375"/>
    <row r="399" ht="15.75" customHeight="1" s="375"/>
    <row r="400" ht="15.75" customHeight="1" s="375"/>
    <row r="401" ht="15.75" customHeight="1" s="375"/>
    <row r="402" ht="15.75" customHeight="1" s="375"/>
    <row r="403" ht="15.75" customHeight="1" s="375"/>
    <row r="404" ht="15.75" customHeight="1" s="375"/>
    <row r="405" ht="15.75" customHeight="1" s="375"/>
    <row r="406" ht="15.75" customHeight="1" s="375"/>
    <row r="407" ht="15.75" customHeight="1" s="375"/>
    <row r="408" ht="15.75" customHeight="1" s="375"/>
    <row r="409" ht="15.75" customHeight="1" s="375"/>
    <row r="410" ht="15.75" customHeight="1" s="375"/>
    <row r="411" ht="15.75" customHeight="1" s="375"/>
    <row r="412" ht="15.75" customHeight="1" s="375"/>
    <row r="413" ht="15.75" customHeight="1" s="375"/>
    <row r="414" ht="15.75" customHeight="1" s="375"/>
    <row r="415" ht="15.75" customHeight="1" s="375"/>
    <row r="416" ht="15.75" customHeight="1" s="375"/>
    <row r="417" ht="15.75" customHeight="1" s="375"/>
    <row r="418" ht="15.75" customHeight="1" s="375"/>
    <row r="419" ht="15.75" customHeight="1" s="375"/>
    <row r="420" ht="15.75" customHeight="1" s="375"/>
    <row r="421" ht="15.75" customHeight="1" s="375"/>
    <row r="422" ht="15.75" customHeight="1" s="375"/>
    <row r="423" ht="15.75" customHeight="1" s="375"/>
    <row r="424" ht="15.75" customHeight="1" s="375"/>
    <row r="425" ht="15.75" customHeight="1" s="375"/>
    <row r="426" ht="15.75" customHeight="1" s="375"/>
    <row r="427" ht="15.75" customHeight="1" s="375"/>
    <row r="428" ht="15.75" customHeight="1" s="375"/>
    <row r="429" ht="15.75" customHeight="1" s="375"/>
    <row r="430" ht="15.75" customHeight="1" s="375"/>
    <row r="431" ht="15.75" customHeight="1" s="375"/>
    <row r="432" ht="15.75" customHeight="1" s="375"/>
    <row r="433" ht="15.75" customHeight="1" s="375"/>
    <row r="434" ht="15.75" customHeight="1" s="375"/>
    <row r="435" ht="15.75" customHeight="1" s="375"/>
    <row r="436" ht="15.75" customHeight="1" s="375"/>
    <row r="437" ht="15.75" customHeight="1" s="375"/>
    <row r="438" ht="15.75" customHeight="1" s="375"/>
    <row r="439" ht="15.75" customHeight="1" s="375"/>
    <row r="440" ht="15.75" customHeight="1" s="375"/>
    <row r="441" ht="15.75" customHeight="1" s="375"/>
    <row r="442" ht="15.75" customHeight="1" s="375"/>
    <row r="443" ht="15.75" customHeight="1" s="375"/>
    <row r="444" ht="15.75" customHeight="1" s="375"/>
    <row r="445" ht="15.75" customHeight="1" s="375"/>
    <row r="446" ht="15.75" customHeight="1" s="375"/>
    <row r="447" ht="15.75" customHeight="1" s="375"/>
    <row r="448" ht="15.75" customHeight="1" s="375"/>
    <row r="449" ht="15.75" customHeight="1" s="375"/>
    <row r="450" ht="15.75" customHeight="1" s="375"/>
    <row r="451" ht="15.75" customHeight="1" s="375"/>
    <row r="452" ht="15.75" customHeight="1" s="375"/>
    <row r="453" ht="15.75" customHeight="1" s="375"/>
    <row r="454" ht="15.75" customHeight="1" s="375"/>
    <row r="455" ht="15.75" customHeight="1" s="375"/>
    <row r="456" ht="15.75" customHeight="1" s="375"/>
    <row r="457" ht="15.75" customHeight="1" s="375"/>
    <row r="458" ht="15.75" customHeight="1" s="375"/>
    <row r="459" ht="15.75" customHeight="1" s="375"/>
    <row r="460" ht="15.75" customHeight="1" s="375"/>
    <row r="461" ht="15.75" customHeight="1" s="375"/>
    <row r="462" ht="15.75" customHeight="1" s="375"/>
    <row r="463" ht="15.75" customHeight="1" s="375"/>
    <row r="464" ht="15.75" customHeight="1" s="375"/>
    <row r="465" ht="15.75" customHeight="1" s="375"/>
    <row r="466" ht="15.75" customHeight="1" s="375"/>
    <row r="467" ht="15.75" customHeight="1" s="375"/>
    <row r="468" ht="15.75" customHeight="1" s="375"/>
    <row r="469" ht="15.75" customHeight="1" s="375"/>
    <row r="470" ht="15.75" customHeight="1" s="375"/>
    <row r="471" ht="15.75" customHeight="1" s="375"/>
    <row r="472" ht="15.75" customHeight="1" s="375"/>
    <row r="473" ht="15.75" customHeight="1" s="375"/>
    <row r="474" ht="15.75" customHeight="1" s="375"/>
    <row r="475" ht="15.75" customHeight="1" s="375"/>
    <row r="476" ht="15.75" customHeight="1" s="375"/>
    <row r="477" ht="15.75" customHeight="1" s="375"/>
    <row r="478" ht="15.75" customHeight="1" s="375"/>
    <row r="479" ht="15.75" customHeight="1" s="375"/>
    <row r="480" ht="15.75" customHeight="1" s="375"/>
    <row r="481" ht="15.75" customHeight="1" s="375"/>
    <row r="482" ht="15.75" customHeight="1" s="375"/>
    <row r="483" ht="15.75" customHeight="1" s="375"/>
    <row r="484" ht="15.75" customHeight="1" s="375"/>
    <row r="485" ht="15.75" customHeight="1" s="375"/>
    <row r="486" ht="15.75" customHeight="1" s="375"/>
    <row r="487" ht="15.75" customHeight="1" s="375"/>
    <row r="488" ht="15.75" customHeight="1" s="375"/>
    <row r="489" ht="15.75" customHeight="1" s="375"/>
    <row r="490" ht="15.75" customHeight="1" s="375"/>
    <row r="491" ht="15.75" customHeight="1" s="375"/>
    <row r="492" ht="15.75" customHeight="1" s="375"/>
    <row r="493" ht="15.75" customHeight="1" s="375"/>
    <row r="494" ht="15.75" customHeight="1" s="375"/>
    <row r="495" ht="15.75" customHeight="1" s="375"/>
    <row r="496" ht="15.75" customHeight="1" s="375"/>
    <row r="497" ht="15.75" customHeight="1" s="375"/>
    <row r="498" ht="15.75" customHeight="1" s="375"/>
    <row r="499" ht="15.75" customHeight="1" s="375"/>
    <row r="500" ht="15.75" customHeight="1" s="375"/>
    <row r="501" ht="15.75" customHeight="1" s="375"/>
    <row r="502" ht="15.75" customHeight="1" s="375"/>
    <row r="503" ht="15.75" customHeight="1" s="375"/>
    <row r="504" ht="15.75" customHeight="1" s="375"/>
    <row r="505" ht="15.75" customHeight="1" s="375"/>
    <row r="506" ht="15.75" customHeight="1" s="375"/>
    <row r="507" ht="15.75" customHeight="1" s="375"/>
    <row r="508" ht="15.75" customHeight="1" s="375"/>
    <row r="509" ht="15.75" customHeight="1" s="375"/>
    <row r="510" ht="15.75" customHeight="1" s="375"/>
    <row r="511" ht="15.75" customHeight="1" s="375"/>
    <row r="512" ht="15.75" customHeight="1" s="375"/>
    <row r="513" ht="15.75" customHeight="1" s="375"/>
    <row r="514" ht="15.75" customHeight="1" s="375"/>
    <row r="515" ht="15.75" customHeight="1" s="375"/>
    <row r="516" ht="15.75" customHeight="1" s="375"/>
    <row r="517" ht="15.75" customHeight="1" s="375"/>
    <row r="518" ht="15.75" customHeight="1" s="375"/>
    <row r="519" ht="15.75" customHeight="1" s="375"/>
    <row r="520" ht="15.75" customHeight="1" s="375"/>
    <row r="521" ht="15.75" customHeight="1" s="375"/>
    <row r="522" ht="15.75" customHeight="1" s="375"/>
    <row r="523" ht="15.75" customHeight="1" s="375"/>
    <row r="524" ht="15.75" customHeight="1" s="375"/>
    <row r="525" ht="15.75" customHeight="1" s="375"/>
    <row r="526" ht="15.75" customHeight="1" s="375"/>
    <row r="527" ht="15.75" customHeight="1" s="375"/>
    <row r="528" ht="15.75" customHeight="1" s="375"/>
    <row r="529" ht="15.75" customHeight="1" s="375"/>
    <row r="530" ht="15.75" customHeight="1" s="375"/>
    <row r="531" ht="15.75" customHeight="1" s="375"/>
    <row r="532" ht="15.75" customHeight="1" s="375"/>
    <row r="533" ht="15.75" customHeight="1" s="375"/>
    <row r="534" ht="15.75" customHeight="1" s="375"/>
    <row r="535" ht="15.75" customHeight="1" s="375"/>
    <row r="536" ht="15.75" customHeight="1" s="375"/>
    <row r="537" ht="15.75" customHeight="1" s="375"/>
    <row r="538" ht="15.75" customHeight="1" s="375"/>
    <row r="539" ht="15.75" customHeight="1" s="375"/>
    <row r="540" ht="15.75" customHeight="1" s="375"/>
    <row r="541" ht="15.75" customHeight="1" s="375"/>
    <row r="542" ht="15.75" customHeight="1" s="375"/>
    <row r="543" ht="15.75" customHeight="1" s="375"/>
    <row r="544" ht="15.75" customHeight="1" s="375"/>
    <row r="545" ht="15.75" customHeight="1" s="375"/>
    <row r="546" ht="15.75" customHeight="1" s="375"/>
    <row r="547" ht="15.75" customHeight="1" s="375"/>
    <row r="548" ht="15.75" customHeight="1" s="375"/>
    <row r="549" ht="15.75" customHeight="1" s="375"/>
    <row r="550" ht="15.75" customHeight="1" s="375"/>
    <row r="551" ht="15.75" customHeight="1" s="375"/>
    <row r="552" ht="15.75" customHeight="1" s="375"/>
    <row r="553" ht="15.75" customHeight="1" s="375"/>
    <row r="554" ht="15.75" customHeight="1" s="375"/>
    <row r="555" ht="15.75" customHeight="1" s="375"/>
    <row r="556" ht="15.75" customHeight="1" s="375"/>
    <row r="557" ht="15.75" customHeight="1" s="375"/>
    <row r="558" ht="15.75" customHeight="1" s="375"/>
    <row r="559" ht="15.75" customHeight="1" s="375"/>
    <row r="560" ht="15.75" customHeight="1" s="375"/>
    <row r="561" ht="15.75" customHeight="1" s="375"/>
    <row r="562" ht="15.75" customHeight="1" s="375"/>
    <row r="563" ht="15.75" customHeight="1" s="375"/>
    <row r="564" ht="15.75" customHeight="1" s="375"/>
    <row r="565" ht="15.75" customHeight="1" s="375"/>
    <row r="566" ht="15.75" customHeight="1" s="375"/>
    <row r="567" ht="15.75" customHeight="1" s="375"/>
    <row r="568" ht="15.75" customHeight="1" s="375"/>
    <row r="569" ht="15.75" customHeight="1" s="375"/>
    <row r="570" ht="15.75" customHeight="1" s="375"/>
    <row r="571" ht="15.75" customHeight="1" s="375"/>
    <row r="572" ht="15.75" customHeight="1" s="375"/>
    <row r="573" ht="15.75" customHeight="1" s="375"/>
    <row r="574" ht="15.75" customHeight="1" s="375"/>
    <row r="575" ht="15.75" customHeight="1" s="375"/>
    <row r="576" ht="15.75" customHeight="1" s="375"/>
    <row r="577" ht="15.75" customHeight="1" s="375"/>
    <row r="578" ht="15.75" customHeight="1" s="375"/>
    <row r="579" ht="15.75" customHeight="1" s="375"/>
    <row r="580" ht="15.75" customHeight="1" s="375"/>
    <row r="581" ht="15.75" customHeight="1" s="375"/>
    <row r="582" ht="15.75" customHeight="1" s="375"/>
    <row r="583" ht="15.75" customHeight="1" s="375"/>
    <row r="584" ht="15.75" customHeight="1" s="375"/>
    <row r="585" ht="15.75" customHeight="1" s="375"/>
    <row r="586" ht="15.75" customHeight="1" s="375"/>
    <row r="587" ht="15.75" customHeight="1" s="375"/>
    <row r="588" ht="15.75" customHeight="1" s="375"/>
    <row r="589" ht="15.75" customHeight="1" s="375"/>
    <row r="590" ht="15.75" customHeight="1" s="375"/>
    <row r="591" ht="15.75" customHeight="1" s="375"/>
    <row r="592" ht="15.75" customHeight="1" s="375"/>
    <row r="593" ht="15.75" customHeight="1" s="375"/>
    <row r="594" ht="15.75" customHeight="1" s="375"/>
    <row r="595" ht="15.75" customHeight="1" s="375"/>
    <row r="596" ht="15.75" customHeight="1" s="375"/>
    <row r="597" ht="15.75" customHeight="1" s="375"/>
    <row r="598" ht="15.75" customHeight="1" s="375"/>
    <row r="599" ht="15.75" customHeight="1" s="375"/>
    <row r="600" ht="15.75" customHeight="1" s="375"/>
    <row r="601" ht="15.75" customHeight="1" s="375"/>
    <row r="602" ht="15.75" customHeight="1" s="375"/>
    <row r="603" ht="15.75" customHeight="1" s="375"/>
    <row r="604" ht="15.75" customHeight="1" s="375"/>
    <row r="605" ht="15.75" customHeight="1" s="375"/>
    <row r="606" ht="15.75" customHeight="1" s="375"/>
    <row r="607" ht="15.75" customHeight="1" s="375"/>
    <row r="608" ht="15.75" customHeight="1" s="375"/>
    <row r="609" ht="15.75" customHeight="1" s="375"/>
    <row r="610" ht="15.75" customHeight="1" s="375"/>
    <row r="611" ht="15.75" customHeight="1" s="375"/>
    <row r="612" ht="15.75" customHeight="1" s="375"/>
    <row r="613" ht="15.75" customHeight="1" s="375"/>
    <row r="614" ht="15.75" customHeight="1" s="375"/>
    <row r="615" ht="15.75" customHeight="1" s="375"/>
    <row r="616" ht="15.75" customHeight="1" s="375"/>
    <row r="617" ht="15.75" customHeight="1" s="375"/>
    <row r="618" ht="15.75" customHeight="1" s="375"/>
    <row r="619" ht="15.75" customHeight="1" s="375"/>
    <row r="620" ht="15.75" customHeight="1" s="375"/>
    <row r="621" ht="15.75" customHeight="1" s="375"/>
    <row r="622" ht="15.75" customHeight="1" s="375"/>
    <row r="623" ht="15.75" customHeight="1" s="375"/>
    <row r="624" ht="15.75" customHeight="1" s="375"/>
    <row r="625" ht="15.75" customHeight="1" s="375"/>
    <row r="626" ht="15.75" customHeight="1" s="375"/>
    <row r="627" ht="15.75" customHeight="1" s="375"/>
    <row r="628" ht="15.75" customHeight="1" s="375"/>
    <row r="629" ht="15.75" customHeight="1" s="375"/>
    <row r="630" ht="15.75" customHeight="1" s="375"/>
    <row r="631" ht="15.75" customHeight="1" s="375"/>
    <row r="632" ht="15.75" customHeight="1" s="375"/>
    <row r="633" ht="15.75" customHeight="1" s="375"/>
    <row r="634" ht="15.75" customHeight="1" s="375"/>
    <row r="635" ht="15.75" customHeight="1" s="375"/>
    <row r="636" ht="15.75" customHeight="1" s="375"/>
    <row r="637" ht="15.75" customHeight="1" s="375"/>
    <row r="638" ht="15.75" customHeight="1" s="375"/>
    <row r="639" ht="15.75" customHeight="1" s="375"/>
    <row r="640" ht="15.75" customHeight="1" s="375"/>
    <row r="641" ht="15.75" customHeight="1" s="375"/>
    <row r="642" ht="15.75" customHeight="1" s="375"/>
    <row r="643" ht="15.75" customHeight="1" s="375"/>
    <row r="644" ht="15.75" customHeight="1" s="375"/>
    <row r="645" ht="15.75" customHeight="1" s="375"/>
    <row r="646" ht="15.75" customHeight="1" s="375"/>
    <row r="647" ht="15.75" customHeight="1" s="375"/>
    <row r="648" ht="15.75" customHeight="1" s="375"/>
    <row r="649" ht="15.75" customHeight="1" s="375"/>
    <row r="650" ht="15.75" customHeight="1" s="375"/>
    <row r="651" ht="15.75" customHeight="1" s="375"/>
    <row r="652" ht="15.75" customHeight="1" s="375"/>
    <row r="653" ht="15.75" customHeight="1" s="375"/>
    <row r="654" ht="15.75" customHeight="1" s="375"/>
    <row r="655" ht="15.75" customHeight="1" s="375"/>
    <row r="656" ht="15.75" customHeight="1" s="375"/>
    <row r="657" ht="15.75" customHeight="1" s="375"/>
    <row r="658" ht="15.75" customHeight="1" s="375"/>
    <row r="659" ht="15.75" customHeight="1" s="375"/>
    <row r="660" ht="15.75" customHeight="1" s="375"/>
    <row r="661" ht="15.75" customHeight="1" s="375"/>
    <row r="662" ht="15.75" customHeight="1" s="375"/>
    <row r="663" ht="15.75" customHeight="1" s="375"/>
    <row r="664" ht="15.75" customHeight="1" s="375"/>
    <row r="665" ht="15.75" customHeight="1" s="375"/>
    <row r="666" ht="15.75" customHeight="1" s="375"/>
    <row r="667" ht="15.75" customHeight="1" s="375"/>
    <row r="668" ht="15.75" customHeight="1" s="375"/>
    <row r="669" ht="15.75" customHeight="1" s="375"/>
    <row r="670" ht="15.75" customHeight="1" s="375"/>
    <row r="671" ht="15.75" customHeight="1" s="375"/>
    <row r="672" ht="15.75" customHeight="1" s="375"/>
    <row r="673" ht="15.75" customHeight="1" s="375"/>
    <row r="674" ht="15.75" customHeight="1" s="375"/>
    <row r="675" ht="15.75" customHeight="1" s="375"/>
    <row r="676" ht="15.75" customHeight="1" s="375"/>
    <row r="677" ht="15.75" customHeight="1" s="375"/>
    <row r="678" ht="15.75" customHeight="1" s="375"/>
    <row r="679" ht="15.75" customHeight="1" s="375"/>
    <row r="680" ht="15.75" customHeight="1" s="375"/>
    <row r="681" ht="15.75" customHeight="1" s="375"/>
    <row r="682" ht="15.75" customHeight="1" s="375"/>
    <row r="683" ht="15.75" customHeight="1" s="375"/>
    <row r="684" ht="15.75" customHeight="1" s="375"/>
    <row r="685" ht="15.75" customHeight="1" s="375"/>
    <row r="686" ht="15.75" customHeight="1" s="375"/>
    <row r="687" ht="15.75" customHeight="1" s="375"/>
    <row r="688" ht="15.75" customHeight="1" s="375"/>
    <row r="689" ht="15.75" customHeight="1" s="375"/>
    <row r="690" ht="15.75" customHeight="1" s="375"/>
    <row r="691" ht="15.75" customHeight="1" s="375"/>
    <row r="692" ht="15.75" customHeight="1" s="375"/>
    <row r="693" ht="15.75" customHeight="1" s="375"/>
    <row r="694" ht="15.75" customHeight="1" s="375"/>
    <row r="695" ht="15.75" customHeight="1" s="375"/>
    <row r="696" ht="15.75" customHeight="1" s="375"/>
    <row r="697" ht="15.75" customHeight="1" s="375"/>
    <row r="698" ht="15.75" customHeight="1" s="375"/>
    <row r="699" ht="15.75" customHeight="1" s="375"/>
    <row r="700" ht="15.75" customHeight="1" s="375"/>
    <row r="701" ht="15.75" customHeight="1" s="375"/>
    <row r="702" ht="15.75" customHeight="1" s="375"/>
    <row r="703" ht="15.75" customHeight="1" s="375"/>
    <row r="704" ht="15.75" customHeight="1" s="375"/>
    <row r="705" ht="15.75" customHeight="1" s="375"/>
    <row r="706" ht="15.75" customHeight="1" s="375"/>
    <row r="707" ht="15.75" customHeight="1" s="375"/>
    <row r="708" ht="15.75" customHeight="1" s="375"/>
    <row r="709" ht="15.75" customHeight="1" s="375"/>
    <row r="710" ht="15.75" customHeight="1" s="375"/>
    <row r="711" ht="15.75" customHeight="1" s="375"/>
    <row r="712" ht="15.75" customHeight="1" s="375"/>
    <row r="713" ht="15.75" customHeight="1" s="375"/>
    <row r="714" ht="15.75" customHeight="1" s="375"/>
    <row r="715" ht="15.75" customHeight="1" s="375"/>
    <row r="716" ht="15.75" customHeight="1" s="375"/>
    <row r="717" ht="15.75" customHeight="1" s="375"/>
    <row r="718" ht="15.75" customHeight="1" s="375"/>
    <row r="719" ht="15.75" customHeight="1" s="375"/>
    <row r="720" ht="15.75" customHeight="1" s="375"/>
    <row r="721" ht="15.75" customHeight="1" s="375"/>
    <row r="722" ht="15.75" customHeight="1" s="375"/>
    <row r="723" ht="15.75" customHeight="1" s="375"/>
    <row r="724" ht="15.75" customHeight="1" s="375"/>
    <row r="725" ht="15.75" customHeight="1" s="375"/>
    <row r="726" ht="15.75" customHeight="1" s="375"/>
    <row r="727" ht="15.75" customHeight="1" s="375"/>
    <row r="728" ht="15.75" customHeight="1" s="375"/>
    <row r="729" ht="15.75" customHeight="1" s="375"/>
    <row r="730" ht="15.75" customHeight="1" s="375"/>
    <row r="731" ht="15.75" customHeight="1" s="375"/>
    <row r="732" ht="15.75" customHeight="1" s="375"/>
    <row r="733" ht="15.75" customHeight="1" s="375"/>
    <row r="734" ht="15.75" customHeight="1" s="375"/>
    <row r="735" ht="15.75" customHeight="1" s="375"/>
    <row r="736" ht="15.75" customHeight="1" s="375"/>
    <row r="737" ht="15.75" customHeight="1" s="375"/>
    <row r="738" ht="15.75" customHeight="1" s="375"/>
    <row r="739" ht="15.75" customHeight="1" s="375"/>
    <row r="740" ht="15.75" customHeight="1" s="375"/>
    <row r="741" ht="15.75" customHeight="1" s="375"/>
    <row r="742" ht="15.75" customHeight="1" s="375"/>
    <row r="743" ht="15.75" customHeight="1" s="375"/>
    <row r="744" ht="15.75" customHeight="1" s="375"/>
    <row r="745" ht="15.75" customHeight="1" s="375"/>
    <row r="746" ht="15.75" customHeight="1" s="375"/>
    <row r="747" ht="15.75" customHeight="1" s="375"/>
    <row r="748" ht="15.75" customHeight="1" s="375"/>
    <row r="749" ht="15.75" customHeight="1" s="375"/>
    <row r="750" ht="15.75" customHeight="1" s="375"/>
    <row r="751" ht="15.75" customHeight="1" s="375"/>
    <row r="752" ht="15.75" customHeight="1" s="375"/>
    <row r="753" ht="15.75" customHeight="1" s="375"/>
    <row r="754" ht="15.75" customHeight="1" s="375"/>
    <row r="755" ht="15.75" customHeight="1" s="375"/>
    <row r="756" ht="15.75" customHeight="1" s="375"/>
    <row r="757" ht="15.75" customHeight="1" s="375"/>
    <row r="758" ht="15.75" customHeight="1" s="375"/>
    <row r="759" ht="15.75" customHeight="1" s="375"/>
    <row r="760" ht="15.75" customHeight="1" s="375"/>
    <row r="761" ht="15.75" customHeight="1" s="375"/>
    <row r="762" ht="15.75" customHeight="1" s="375"/>
    <row r="763" ht="15.75" customHeight="1" s="375"/>
    <row r="764" ht="15.75" customHeight="1" s="375"/>
    <row r="765" ht="15.75" customHeight="1" s="375"/>
    <row r="766" ht="15.75" customHeight="1" s="375"/>
    <row r="767" ht="15.75" customHeight="1" s="375"/>
    <row r="768" ht="15.75" customHeight="1" s="375"/>
    <row r="769" ht="15.75" customHeight="1" s="375"/>
    <row r="770" ht="15.75" customHeight="1" s="375"/>
    <row r="771" ht="15.75" customHeight="1" s="375"/>
    <row r="772" ht="15.75" customHeight="1" s="375"/>
    <row r="773" ht="15.75" customHeight="1" s="375"/>
    <row r="774" ht="15.75" customHeight="1" s="375"/>
    <row r="775" ht="15.75" customHeight="1" s="375"/>
    <row r="776" ht="15.75" customHeight="1" s="375"/>
    <row r="777" ht="15.75" customHeight="1" s="375"/>
    <row r="778" ht="15.75" customHeight="1" s="375"/>
    <row r="779" ht="15.75" customHeight="1" s="375"/>
    <row r="780" ht="15.75" customHeight="1" s="375"/>
    <row r="781" ht="15.75" customHeight="1" s="375"/>
    <row r="782" ht="15.75" customHeight="1" s="375"/>
    <row r="783" ht="15.75" customHeight="1" s="375"/>
    <row r="784" ht="15.75" customHeight="1" s="375"/>
    <row r="785" ht="15.75" customHeight="1" s="375"/>
    <row r="786" ht="15.75" customHeight="1" s="375"/>
    <row r="787" ht="15.75" customHeight="1" s="375"/>
    <row r="788" ht="15.75" customHeight="1" s="375"/>
    <row r="789" ht="15.75" customHeight="1" s="375"/>
    <row r="790" ht="15.75" customHeight="1" s="375"/>
    <row r="791" ht="15.75" customHeight="1" s="375"/>
    <row r="792" ht="15.75" customHeight="1" s="375"/>
    <row r="793" ht="15.75" customHeight="1" s="375"/>
    <row r="794" ht="15.75" customHeight="1" s="375"/>
    <row r="795" ht="15.75" customHeight="1" s="375"/>
    <row r="796" ht="15.75" customHeight="1" s="375"/>
    <row r="797" ht="15.75" customHeight="1" s="375"/>
    <row r="798" ht="15.75" customHeight="1" s="375"/>
    <row r="799" ht="15.75" customHeight="1" s="375"/>
    <row r="800" ht="15.75" customHeight="1" s="375"/>
    <row r="801" ht="15.75" customHeight="1" s="375"/>
    <row r="802" ht="15.75" customHeight="1" s="375"/>
    <row r="803" ht="15.75" customHeight="1" s="375"/>
    <row r="804" ht="15.75" customHeight="1" s="375"/>
    <row r="805" ht="15.75" customHeight="1" s="375"/>
    <row r="806" ht="15.75" customHeight="1" s="375"/>
    <row r="807" ht="15.75" customHeight="1" s="375"/>
    <row r="808" ht="15.75" customHeight="1" s="375"/>
    <row r="809" ht="15.75" customHeight="1" s="375"/>
    <row r="810" ht="15.75" customHeight="1" s="375"/>
    <row r="811" ht="15.75" customHeight="1" s="375"/>
    <row r="812" ht="15.75" customHeight="1" s="375"/>
    <row r="813" ht="15.75" customHeight="1" s="375"/>
    <row r="814" ht="15.75" customHeight="1" s="375"/>
    <row r="815" ht="15.75" customHeight="1" s="375"/>
    <row r="816" ht="15.75" customHeight="1" s="375"/>
    <row r="817" ht="15.75" customHeight="1" s="375"/>
    <row r="818" ht="15.75" customHeight="1" s="375"/>
    <row r="819" ht="15.75" customHeight="1" s="375"/>
    <row r="820" ht="15.75" customHeight="1" s="375"/>
    <row r="821" ht="15.75" customHeight="1" s="375"/>
    <row r="822" ht="15.75" customHeight="1" s="375"/>
    <row r="823" ht="15.75" customHeight="1" s="375"/>
    <row r="824" ht="15.75" customHeight="1" s="375"/>
    <row r="825" ht="15.75" customHeight="1" s="375"/>
    <row r="826" ht="15.75" customHeight="1" s="375"/>
    <row r="827" ht="15.75" customHeight="1" s="375"/>
    <row r="828" ht="15.75" customHeight="1" s="375"/>
    <row r="829" ht="15.75" customHeight="1" s="375"/>
    <row r="830" ht="15.75" customHeight="1" s="375"/>
    <row r="831" ht="15.75" customHeight="1" s="375"/>
    <row r="832" ht="15.75" customHeight="1" s="375"/>
    <row r="833" ht="15.75" customHeight="1" s="375"/>
    <row r="834" ht="15.75" customHeight="1" s="375"/>
    <row r="835" ht="15.75" customHeight="1" s="375"/>
    <row r="836" ht="15.75" customHeight="1" s="375"/>
    <row r="837" ht="15.75" customHeight="1" s="375"/>
    <row r="838" ht="15.75" customHeight="1" s="375"/>
    <row r="839" ht="15.75" customHeight="1" s="375"/>
    <row r="840" ht="15.75" customHeight="1" s="375"/>
    <row r="841" ht="15.75" customHeight="1" s="375"/>
    <row r="842" ht="15.75" customHeight="1" s="375"/>
    <row r="843" ht="15.75" customHeight="1" s="375"/>
    <row r="844" ht="15.75" customHeight="1" s="375"/>
    <row r="845" ht="15.75" customHeight="1" s="375"/>
    <row r="846" ht="15.75" customHeight="1" s="375"/>
    <row r="847" ht="15.75" customHeight="1" s="375"/>
    <row r="848" ht="15.75" customHeight="1" s="375"/>
    <row r="849" ht="15.75" customHeight="1" s="375"/>
    <row r="850" ht="15.75" customHeight="1" s="375"/>
    <row r="851" ht="15.75" customHeight="1" s="375"/>
    <row r="852" ht="15.75" customHeight="1" s="375"/>
    <row r="853" ht="15.75" customHeight="1" s="375"/>
    <row r="854" ht="15.75" customHeight="1" s="375"/>
    <row r="855" ht="15.75" customHeight="1" s="375"/>
    <row r="856" ht="15.75" customHeight="1" s="375"/>
    <row r="857" ht="15.75" customHeight="1" s="375"/>
    <row r="858" ht="15.75" customHeight="1" s="375"/>
    <row r="859" ht="15.75" customHeight="1" s="375"/>
    <row r="860" ht="15.75" customHeight="1" s="375"/>
    <row r="861" ht="15.75" customHeight="1" s="375"/>
    <row r="862" ht="15.75" customHeight="1" s="375"/>
    <row r="863" ht="15.75" customHeight="1" s="375"/>
    <row r="864" ht="15.75" customHeight="1" s="375"/>
    <row r="865" ht="15.75" customHeight="1" s="375"/>
    <row r="866" ht="15.75" customHeight="1" s="375"/>
    <row r="867" ht="15.75" customHeight="1" s="375"/>
    <row r="868" ht="15.75" customHeight="1" s="375"/>
    <row r="869" ht="15.75" customHeight="1" s="375"/>
    <row r="870" ht="15.75" customHeight="1" s="375"/>
    <row r="871" ht="15.75" customHeight="1" s="375"/>
    <row r="872" ht="15.75" customHeight="1" s="375"/>
    <row r="873" ht="15.75" customHeight="1" s="375"/>
    <row r="874" ht="15.75" customHeight="1" s="375"/>
    <row r="875" ht="15.75" customHeight="1" s="375"/>
    <row r="876" ht="15.75" customHeight="1" s="375"/>
    <row r="877" ht="15.75" customHeight="1" s="375"/>
    <row r="878" ht="15.75" customHeight="1" s="375"/>
    <row r="879" ht="15.75" customHeight="1" s="375"/>
    <row r="880" ht="15.75" customHeight="1" s="375"/>
    <row r="881" ht="15.75" customHeight="1" s="375"/>
    <row r="882" ht="15.75" customHeight="1" s="375"/>
    <row r="883" ht="15.75" customHeight="1" s="375"/>
    <row r="884" ht="15.75" customHeight="1" s="375"/>
    <row r="885" ht="15.75" customHeight="1" s="375"/>
    <row r="886" ht="15.75" customHeight="1" s="375"/>
    <row r="887" ht="15.75" customHeight="1" s="375"/>
    <row r="888" ht="15.75" customHeight="1" s="375"/>
    <row r="889" ht="15.75" customHeight="1" s="375"/>
    <row r="890" ht="15.75" customHeight="1" s="375"/>
    <row r="891" ht="15.75" customHeight="1" s="375"/>
    <row r="892" ht="15.75" customHeight="1" s="375"/>
    <row r="893" ht="15.75" customHeight="1" s="375"/>
    <row r="894" ht="15.75" customHeight="1" s="375"/>
    <row r="895" ht="15.75" customHeight="1" s="375"/>
    <row r="896" ht="15.75" customHeight="1" s="375"/>
    <row r="897" ht="15.75" customHeight="1" s="375"/>
    <row r="898" ht="15.75" customHeight="1" s="375"/>
    <row r="899" ht="15.75" customHeight="1" s="375"/>
    <row r="900" ht="15.75" customHeight="1" s="375"/>
    <row r="901" ht="15.75" customHeight="1" s="375"/>
    <row r="902" ht="15.75" customHeight="1" s="375"/>
    <row r="903" ht="15.75" customHeight="1" s="375"/>
    <row r="904" ht="15.75" customHeight="1" s="375"/>
    <row r="905" ht="15.75" customHeight="1" s="375"/>
    <row r="906" ht="15.75" customHeight="1" s="375"/>
    <row r="907" ht="15.75" customHeight="1" s="375"/>
    <row r="908" ht="15.75" customHeight="1" s="375"/>
    <row r="909" ht="15.75" customHeight="1" s="375"/>
    <row r="910" ht="15.75" customHeight="1" s="375"/>
    <row r="911" ht="15.75" customHeight="1" s="375"/>
    <row r="912" ht="15.75" customHeight="1" s="375"/>
    <row r="913" ht="15.75" customHeight="1" s="375"/>
    <row r="914" ht="15.75" customHeight="1" s="375"/>
    <row r="915" ht="15.75" customHeight="1" s="375"/>
    <row r="916" ht="15.75" customHeight="1" s="375"/>
    <row r="917" ht="15.75" customHeight="1" s="375"/>
    <row r="918" ht="15.75" customHeight="1" s="375"/>
    <row r="919" ht="15.75" customHeight="1" s="375"/>
    <row r="920" ht="15.75" customHeight="1" s="375"/>
    <row r="921" ht="15.75" customHeight="1" s="375"/>
    <row r="922" ht="15.75" customHeight="1" s="375"/>
    <row r="923" ht="15.75" customHeight="1" s="375"/>
    <row r="924" ht="15.75" customHeight="1" s="375"/>
    <row r="925" ht="15.75" customHeight="1" s="375"/>
    <row r="926" ht="15.75" customHeight="1" s="375"/>
    <row r="927" ht="15.75" customHeight="1" s="375"/>
    <row r="928" ht="15.75" customHeight="1" s="375"/>
    <row r="929" ht="15.75" customHeight="1" s="375"/>
    <row r="930" ht="15.75" customHeight="1" s="375"/>
    <row r="931" ht="15.75" customHeight="1" s="375"/>
    <row r="932" ht="15.75" customHeight="1" s="375"/>
    <row r="933" ht="15.75" customHeight="1" s="375"/>
    <row r="934" ht="15.75" customHeight="1" s="375"/>
    <row r="935" ht="15.75" customHeight="1" s="375"/>
    <row r="936" ht="15.75" customHeight="1" s="375"/>
    <row r="937" ht="15.75" customHeight="1" s="375"/>
    <row r="938" ht="15.75" customHeight="1" s="375"/>
    <row r="939" ht="15.75" customHeight="1" s="375"/>
    <row r="940" ht="15.75" customHeight="1" s="375"/>
    <row r="941" ht="15.75" customHeight="1" s="375"/>
    <row r="942" ht="15.75" customHeight="1" s="375"/>
    <row r="943" ht="15.75" customHeight="1" s="375"/>
    <row r="944" ht="15.75" customHeight="1" s="375"/>
    <row r="945" ht="15.75" customHeight="1" s="375"/>
    <row r="946" ht="15.75" customHeight="1" s="375"/>
    <row r="947" ht="15.75" customHeight="1" s="375"/>
    <row r="948" ht="15.75" customHeight="1" s="375"/>
    <row r="949" ht="15.75" customHeight="1" s="375"/>
    <row r="950" ht="15.75" customHeight="1" s="375"/>
    <row r="951" ht="15.75" customHeight="1" s="375"/>
    <row r="952" ht="15.75" customHeight="1" s="375"/>
    <row r="953" ht="15.75" customHeight="1" s="375"/>
    <row r="954" ht="15.75" customHeight="1" s="375"/>
    <row r="955" ht="15.75" customHeight="1" s="375"/>
    <row r="956" ht="15.75" customHeight="1" s="375"/>
    <row r="957" ht="15.75" customHeight="1" s="375"/>
    <row r="958" ht="15.75" customHeight="1" s="375"/>
    <row r="959" ht="15.75" customHeight="1" s="375"/>
    <row r="960" ht="15.75" customHeight="1" s="375"/>
    <row r="961" ht="15.75" customHeight="1" s="375"/>
    <row r="962" ht="15.75" customHeight="1" s="375"/>
    <row r="963" ht="15.75" customHeight="1" s="375"/>
    <row r="964" ht="15.75" customHeight="1" s="375"/>
    <row r="965" ht="15.75" customHeight="1" s="375"/>
    <row r="966" ht="15.75" customHeight="1" s="375"/>
    <row r="967" ht="15.75" customHeight="1" s="375"/>
    <row r="968" ht="15.75" customHeight="1" s="375"/>
    <row r="969" ht="15.75" customHeight="1" s="375"/>
    <row r="970" ht="15.75" customHeight="1" s="375"/>
    <row r="971" ht="15.75" customHeight="1" s="375"/>
    <row r="972" ht="15.75" customHeight="1" s="375"/>
    <row r="973" ht="15.75" customHeight="1" s="375"/>
    <row r="974" ht="15.75" customHeight="1" s="375"/>
    <row r="975" ht="15.75" customHeight="1" s="375"/>
    <row r="976" ht="15.75" customHeight="1" s="375"/>
    <row r="977" ht="15.75" customHeight="1" s="375"/>
    <row r="978" ht="15.75" customHeight="1" s="375"/>
    <row r="979" ht="15.75" customHeight="1" s="375"/>
    <row r="980" ht="15.75" customHeight="1" s="375"/>
    <row r="981" ht="15.75" customHeight="1" s="375"/>
    <row r="982" ht="15.75" customHeight="1" s="375"/>
    <row r="983" ht="15.75" customHeight="1" s="375"/>
    <row r="984" ht="15.75" customHeight="1" s="375"/>
    <row r="985" ht="15.75" customHeight="1" s="375"/>
    <row r="986" ht="15.75" customHeight="1" s="375"/>
    <row r="987" ht="15.75" customHeight="1" s="375"/>
    <row r="988" ht="15.75" customHeight="1" s="375"/>
    <row r="989" ht="15.75" customHeight="1" s="375"/>
    <row r="990" ht="15.75" customHeight="1" s="375"/>
    <row r="991" ht="15.75" customHeight="1" s="375"/>
    <row r="992" ht="15.75" customHeight="1" s="375"/>
    <row r="993" ht="15.75" customHeight="1" s="375"/>
    <row r="994" ht="15.75" customHeight="1" s="375"/>
    <row r="995" ht="15.75" customHeight="1" s="375"/>
    <row r="996" ht="15.75" customHeight="1" s="375"/>
    <row r="997" ht="15.75" customHeight="1" s="375"/>
    <row r="998" ht="15.75" customHeight="1" s="375"/>
    <row r="999" ht="15.75" customHeight="1" s="375"/>
    <row r="1000" ht="15.75" customHeight="1" s="375"/>
  </sheetData>
  <printOptions horizontalCentered="0" verticalCentered="0" headings="0" gridLines="0" gridLinesSet="1"/>
  <pageMargins left="0.700694444444445" right="0.700694444444445" top="0.752083333333333" bottom="0.752083333333333"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2026-09-17T09:44:52Z</dcterms:created>
  <dcterms:modified xmlns:dcterms="http://purl.org/dc/terms/" xmlns:xsi="http://www.w3.org/2001/XMLSchema-instance" xsi:type="dcterms:W3CDTF">2026-09-23T08:30:32Z</dcterms:modified>
  <cp:revision>0</cp:revision>
</cp:coreProperties>
</file>