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Grid" sheetId="2" state="visible" r:id="rId4"/>
    <sheet name="Cumulative" sheetId="3" state="visible" r:id="rId5"/>
    <sheet name="Check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<sst xmlns="http://schemas.openxmlformats.org/spreadsheetml/2006/main" count="186" uniqueCount="106">
  <si>
    <t xml:space="preserve">Inputs: pocket totals and vesting parameters</t>
  </si>
  <si>
    <t xml:space="preserve">Source: Token Release Schedule, 19 October 2026. Month index T+0 is the TGE working date, 5 February 2027; vesting day is the 5th.</t>
  </si>
  <si>
    <t xml:space="preserve">Total supply (KNX)</t>
  </si>
  <si>
    <t xml:space="preserve">TGE working date</t>
  </si>
  <si>
    <t xml:space="preserve">Emissions cap, year 1 (KNX)</t>
  </si>
  <si>
    <t xml:space="preserve">Emissions cap step-down per year</t>
  </si>
  <si>
    <t xml:space="preserve">Emissions monthly release in year 1 (KNX, T+4 to T+12)</t>
  </si>
  <si>
    <t xml:space="preserve">Emissions start month</t>
  </si>
  <si>
    <t xml:space="preserve">Pocket key</t>
  </si>
  <si>
    <t xml:space="preserve">Pocket</t>
  </si>
  <si>
    <t xml:space="preserve">Group</t>
  </si>
  <si>
    <t xml:space="preserve">Total KNX</t>
  </si>
  <si>
    <t xml:space="preserve">Unlocked at TGE (KNX)</t>
  </si>
  <si>
    <t xml:space="preserve">Linear start month</t>
  </si>
  <si>
    <t xml:space="preserve">Linear end month</t>
  </si>
  <si>
    <t xml:space="preserve">Months</t>
  </si>
  <si>
    <t xml:space="preserve">Monthly amount (KNX)</t>
  </si>
  <si>
    <t xml:space="preserve">Vesting as stated in the schedule</t>
  </si>
  <si>
    <t xml:space="preserve">pre_seed</t>
  </si>
  <si>
    <t xml:space="preserve">Pre-seed (Brandon Torres Declet)</t>
  </si>
  <si>
    <t xml:space="preserve">Legacy investors</t>
  </si>
  <si>
    <t xml:space="preserve">0% at TGE, 12-month cliff, linear T+13 to T+60 (48 months)</t>
  </si>
  <si>
    <t xml:space="preserve">seed_ld_capital</t>
  </si>
  <si>
    <t xml:space="preserve">Seed (LD Capital)</t>
  </si>
  <si>
    <t xml:space="preserve">seed_cogitent</t>
  </si>
  <si>
    <t xml:space="preserve">Seed (Cogitent Ventures)</t>
  </si>
  <si>
    <t xml:space="preserve">seed_leland</t>
  </si>
  <si>
    <t xml:space="preserve">Seed (Leland Ventures)</t>
  </si>
  <si>
    <t xml:space="preserve">seed_m77</t>
  </si>
  <si>
    <t xml:space="preserve">Seed (M77 Ventures)</t>
  </si>
  <si>
    <t xml:space="preserve">seed_block_maven</t>
  </si>
  <si>
    <t xml:space="preserve">Seed (Block Maven LLC)</t>
  </si>
  <si>
    <t xml:space="preserve">seed_covey</t>
  </si>
  <si>
    <t xml:space="preserve">Seed (Covey)</t>
  </si>
  <si>
    <t xml:space="preserve">kol_round</t>
  </si>
  <si>
    <t xml:space="preserve">KOL round (T-Rex, K1, Nebula)</t>
  </si>
  <si>
    <t xml:space="preserve">main_close</t>
  </si>
  <si>
    <t xml:space="preserve">New round, main close</t>
  </si>
  <si>
    <t xml:space="preserve">New round</t>
  </si>
  <si>
    <t xml:space="preserve">0% at TGE, 12-month cliff, linear T+13 to T+36 (24 months)</t>
  </si>
  <si>
    <t xml:space="preserve">top_up_close</t>
  </si>
  <si>
    <t xml:space="preserve">New round, top-up close</t>
  </si>
  <si>
    <t xml:space="preserve">kolpad</t>
  </si>
  <si>
    <t xml:space="preserve">KOLpad allocations (KOLs and Mindo commission)</t>
  </si>
  <si>
    <t xml:space="preserve">KOLpad</t>
  </si>
  <si>
    <t xml:space="preserve">20% at TGE, 40% at T+1, 40% at T+2</t>
  </si>
  <si>
    <t xml:space="preserve">emissions</t>
  </si>
  <si>
    <t xml:space="preserve">Mining and validator emissions</t>
  </si>
  <si>
    <t xml:space="preserve">Emissions</t>
  </si>
  <si>
    <t xml:space="preserve">cap</t>
  </si>
  <si>
    <t xml:space="preserve">see rows 6 to 9</t>
  </si>
  <si>
    <t xml:space="preserve">Declining annual cap: 48,000,000 in year 1, stepping down 15% a year; issuance is the lesser of the cap and a usage-linked formula. Starts T+4</t>
  </si>
  <si>
    <t xml:space="preserve">marketing</t>
  </si>
  <si>
    <t xml:space="preserve">Marketing and exchanges</t>
  </si>
  <si>
    <t xml:space="preserve">Marketing</t>
  </si>
  <si>
    <t xml:space="preserve">35,000,000 at TGE itemized to listing and liquidity obligations; 15,000,000 linear T+1 to T+30</t>
  </si>
  <si>
    <t xml:space="preserve">treasury</t>
  </si>
  <si>
    <t xml:space="preserve">Treasury and reserves</t>
  </si>
  <si>
    <t xml:space="preserve">Treasury</t>
  </si>
  <si>
    <t xml:space="preserve">0% at TGE, linear T+7 to T+36 (30 months)</t>
  </si>
  <si>
    <t xml:space="preserve">foundation</t>
  </si>
  <si>
    <t xml:space="preserve">Foundation</t>
  </si>
  <si>
    <t xml:space="preserve">0% at TGE, linear T+13 to T+36 (24 months)</t>
  </si>
  <si>
    <t xml:space="preserve">team</t>
  </si>
  <si>
    <t xml:space="preserve">Team and advisors</t>
  </si>
  <si>
    <t xml:space="preserve">Team</t>
  </si>
  <si>
    <t xml:space="preserve">0% at TGE, 2,000,000 a month T+14 to T+38 (25 months)</t>
  </si>
  <si>
    <t xml:space="preserve">liquidity_mm</t>
  </si>
  <si>
    <t xml:space="preserve">Liquidity / market making</t>
  </si>
  <si>
    <t xml:space="preserve">Liquidity</t>
  </si>
  <si>
    <t xml:space="preserve">10,000,000 at TGE as a returnable market-maker loan, terms to be published</t>
  </si>
  <si>
    <t xml:space="preserve">community_airdrop</t>
  </si>
  <si>
    <t xml:space="preserve">Community airdrop</t>
  </si>
  <si>
    <t xml:space="preserve">Airdrop</t>
  </si>
  <si>
    <t xml:space="preserve">5,000,000 at TGE, retroactive and unconditional</t>
  </si>
  <si>
    <t xml:space="preserve">Total</t>
  </si>
  <si>
    <t xml:space="preserve">Monthly unlock by pocket, T+0 to T+84 (formulas driven by Inputs)</t>
  </si>
  <si>
    <t xml:space="preserve">Columns C onward: KNX unlocked in that month. Circulating is the running total. Beyond T+84 the emissions remainder is a ceiling under the cap, not scheduled supply.</t>
  </si>
  <si>
    <t xml:space="preserve">Month</t>
  </si>
  <si>
    <t xml:space="preserve">Date</t>
  </si>
  <si>
    <t xml:space="preserve">Monthly total</t>
  </si>
  <si>
    <t xml:space="preserve">Circulating (cumulative)</t>
  </si>
  <si>
    <t xml:space="preserve">Circulating % of supply</t>
  </si>
  <si>
    <t xml:space="preserve">Total T+0 to T+84</t>
  </si>
  <si>
    <t xml:space="preserve">Emissions remainder beyond T+84 (ceiling, not scheduled)</t>
  </si>
  <si>
    <t xml:space="preserve">Cumulative unlocked by pocket, T+0 to T+84</t>
  </si>
  <si>
    <t xml:space="preserve">Check against the schedule circulating supply</t>
  </si>
  <si>
    <t xml:space="preserve">Schedule values are the cumulative circulating figures of the Token Release Schedule. Difference must be below 1 KNX.</t>
  </si>
  <si>
    <t xml:space="preserve">Grid circulating (formula)</t>
  </si>
  <si>
    <t xml:space="preserve">Schedule circulating</t>
  </si>
  <si>
    <t xml:space="preserve">Absolute difference</t>
  </si>
  <si>
    <t xml:space="preserve">Within 1 KNX</t>
  </si>
  <si>
    <t xml:space="preserve">Per-pocket totals T+0 to T+84 against the schedule (emissions compared net of the beyond-T+84 remainder)</t>
  </si>
  <si>
    <t xml:space="preserve">Grid total (formula)</t>
  </si>
  <si>
    <t xml:space="preserve">Scheduled through T+84</t>
  </si>
  <si>
    <t xml:space="preserve">Notes on conventions</t>
  </si>
  <si>
    <t xml:space="preserve">Month T+0 is the TGE working date (5 February 2027, target Q1 2027); tokens vest on the 5th of each month.</t>
  </si>
  <si>
    <t xml:space="preserve">Legacy investors (pre-seed, seed, KOL round): 0% at TGE, linear T+13 to T+60 (48 months), 2,083,333.33 KNX per month in total.</t>
  </si>
  <si>
    <t xml:space="preserve">New round: main close 175,000,000 KNX at USD 0.16 and top-up close 20,000,000 KNX at USD 0.20, both 0% at TGE and linear T+13 to T+36 (24 months), 8,125,000 KNX per month together.</t>
  </si>
  <si>
    <t xml:space="preserve">KOLpad allocations: 15,000,000 KNX at the USD 0.20 reference (KOLs and the Mindo commission), 3,000,000 at TGE and 6,000,000 at each of T+1 and T+2. The count is fixed at listing from the TGE valuation.</t>
  </si>
  <si>
    <t xml:space="preserve">Emissions: 4,000,000 KNX per month from T+4 to T+12 (36,000,000 in the first year against a 48,000,000 cap); from T+13 the annual cap steps down 15% every twelve months and is released at cap/12 per month. Through T+84 this schedules 205,415,331.75 KNX; the remaining 279,584,668.25 KNX of the 485,000,000 pocket is a ceiling beyond T+84, not scheduled supply.</t>
  </si>
  <si>
    <t xml:space="preserve">Marketing and exchanges: 35,000,000 KNX at T+0 itemized to listing and liquidity obligations, then 15,000,000 over T+1 to T+30 (500,000 per month).</t>
  </si>
  <si>
    <t xml:space="preserve">Treasury and reserves: nothing at T+0, 50,000,000 over T+7 to T+36 (1,666,666.67 per month). Foundation: nothing at T+0, 40,000,000 over T+13 to T+36 (1,666,666.67 per month).</t>
  </si>
  <si>
    <t xml:space="preserve">Team and advisors: 2,000,000 KNX per month over T+14 to T+38 (25 months), nothing at T+13.</t>
  </si>
  <si>
    <t xml:space="preserve">Liquidity / market making: 10,000,000 KNX at T+0 as a returnable market-maker loan. Community airdrop: 5,000,000 KNX at T+0.</t>
  </si>
  <si>
    <t xml:space="preserve">All monthly amounts are formulas from the Inputs sheet; the Check sheet compares the formula output with the schedule circulating figures at T+0, T+12, T+24, T+36, T+48, T+60 and T+84 and every pocket total through T+84.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</si>
</sst>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\ mmm\ yyyy"/>
    <numFmt numFmtId="167" formatCode="0.00%"/>
    <numFmt numFmtId="168" formatCode="0"/>
    <numFmt numFmtId="169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2" t="n">
        <v>1000000000</v>
      </c>
    </row>
    <row r="5" customFormat="false" ht="15" hidden="false" customHeight="false" outlineLevel="0" collapsed="false">
      <c r="A5" s="0" t="s">
        <v>3</v>
      </c>
      <c r="B5" s="3" t="n">
        <v>46423</v>
      </c>
    </row>
    <row r="6" customFormat="false" ht="15" hidden="false" customHeight="false" outlineLevel="0" collapsed="false">
      <c r="A6" s="0" t="s">
        <v>4</v>
      </c>
      <c r="B6" s="2" t="n">
        <v>48000000</v>
      </c>
    </row>
    <row r="7" customFormat="false" ht="15" hidden="false" customHeight="false" outlineLevel="0" collapsed="false">
      <c r="A7" s="0" t="s">
        <v>5</v>
      </c>
      <c r="B7" s="4" t="n">
        <v>0.15</v>
      </c>
    </row>
    <row r="8" customFormat="false" ht="15" hidden="false" customHeight="false" outlineLevel="0" collapsed="false">
      <c r="A8" s="0" t="s">
        <v>6</v>
      </c>
      <c r="B8" s="2" t="n">
        <f aca="false">B6/12</f>
        <v>4000000</v>
      </c>
    </row>
    <row r="9" customFormat="false" ht="15" hidden="false" customHeight="false" outlineLevel="0" collapsed="false">
      <c r="A9" s="0" t="s">
        <v>7</v>
      </c>
      <c r="B9" s="5" t="n">
        <v>4</v>
      </c>
    </row>
    <row r="11" customFormat="false" ht="28.35" hidden="false" customHeight="false" outlineLevel="0" collapsed="false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15</v>
      </c>
      <c r="I11" s="6" t="s">
        <v>16</v>
      </c>
      <c r="J11" s="6" t="s">
        <v>17</v>
      </c>
    </row>
    <row r="12" customFormat="false" ht="15" hidden="false" customHeight="false" outlineLevel="0" collapsed="false">
      <c r="A12" s="0" t="s">
        <v>18</v>
      </c>
      <c r="B12" s="0" t="s">
        <v>19</v>
      </c>
      <c r="C12" s="0" t="s">
        <v>20</v>
      </c>
      <c r="D12" s="2" t="n">
        <v>10331395</v>
      </c>
      <c r="E12" s="2" t="n">
        <v>0</v>
      </c>
      <c r="F12" s="0" t="n">
        <v>13</v>
      </c>
      <c r="G12" s="0" t="n">
        <v>60</v>
      </c>
      <c r="H12" s="7" t="n">
        <f aca="false">G12-F12+1</f>
        <v>48</v>
      </c>
      <c r="I12" s="2" t="n">
        <f aca="false">(D12-E12)/H12</f>
        <v>215237.395833333</v>
      </c>
      <c r="J12" s="7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s">
        <v>20</v>
      </c>
      <c r="D13" s="2" t="n">
        <v>27309255</v>
      </c>
      <c r="E13" s="2" t="n">
        <v>0</v>
      </c>
      <c r="F13" s="0" t="n">
        <v>13</v>
      </c>
      <c r="G13" s="0" t="n">
        <v>60</v>
      </c>
      <c r="H13" s="7" t="n">
        <f aca="false">G13-F13+1</f>
        <v>48</v>
      </c>
      <c r="I13" s="2" t="n">
        <f aca="false">(D13-E13)/H13</f>
        <v>568942.8125</v>
      </c>
      <c r="J13" s="7" t="s">
        <v>21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s">
        <v>20</v>
      </c>
      <c r="D14" s="2" t="n">
        <v>16385554</v>
      </c>
      <c r="E14" s="2" t="n">
        <v>0</v>
      </c>
      <c r="F14" s="0" t="n">
        <v>13</v>
      </c>
      <c r="G14" s="0" t="n">
        <v>60</v>
      </c>
      <c r="H14" s="7" t="n">
        <f aca="false">G14-F14+1</f>
        <v>48</v>
      </c>
      <c r="I14" s="2" t="n">
        <f aca="false">(D14-E14)/H14</f>
        <v>341365.708333333</v>
      </c>
      <c r="J14" s="7" t="s">
        <v>21</v>
      </c>
    </row>
    <row r="15" customFormat="false" ht="15" hidden="false" customHeight="false" outlineLevel="0" collapsed="false">
      <c r="A15" s="0" t="s">
        <v>26</v>
      </c>
      <c r="B15" s="0" t="s">
        <v>27</v>
      </c>
      <c r="C15" s="0" t="s">
        <v>20</v>
      </c>
      <c r="D15" s="2" t="n">
        <v>10923703</v>
      </c>
      <c r="E15" s="2" t="n">
        <v>0</v>
      </c>
      <c r="F15" s="0" t="n">
        <v>13</v>
      </c>
      <c r="G15" s="0" t="n">
        <v>60</v>
      </c>
      <c r="H15" s="7" t="n">
        <f aca="false">G15-F15+1</f>
        <v>48</v>
      </c>
      <c r="I15" s="2" t="n">
        <f aca="false">(D15-E15)/H15</f>
        <v>227577.145833333</v>
      </c>
      <c r="J15" s="7" t="s">
        <v>21</v>
      </c>
    </row>
    <row r="16" customFormat="false" ht="15" hidden="false" customHeight="false" outlineLevel="0" collapsed="false">
      <c r="A16" s="0" t="s">
        <v>28</v>
      </c>
      <c r="B16" s="0" t="s">
        <v>29</v>
      </c>
      <c r="C16" s="0" t="s">
        <v>20</v>
      </c>
      <c r="D16" s="2" t="n">
        <v>10923703</v>
      </c>
      <c r="E16" s="2" t="n">
        <v>0</v>
      </c>
      <c r="F16" s="0" t="n">
        <v>13</v>
      </c>
      <c r="G16" s="0" t="n">
        <v>60</v>
      </c>
      <c r="H16" s="7" t="n">
        <f aca="false">G16-F16+1</f>
        <v>48</v>
      </c>
      <c r="I16" s="2" t="n">
        <f aca="false">(D16-E16)/H16</f>
        <v>227577.145833333</v>
      </c>
      <c r="J16" s="7" t="s">
        <v>21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20</v>
      </c>
      <c r="D17" s="2" t="n">
        <v>10923703</v>
      </c>
      <c r="E17" s="2" t="n">
        <v>0</v>
      </c>
      <c r="F17" s="0" t="n">
        <v>13</v>
      </c>
      <c r="G17" s="0" t="n">
        <v>60</v>
      </c>
      <c r="H17" s="7" t="n">
        <f aca="false">G17-F17+1</f>
        <v>48</v>
      </c>
      <c r="I17" s="2" t="n">
        <f aca="false">(D17-E17)/H17</f>
        <v>227577.145833333</v>
      </c>
      <c r="J17" s="7" t="s">
        <v>21</v>
      </c>
    </row>
    <row r="18" customFormat="false" ht="15" hidden="false" customHeight="false" outlineLevel="0" collapsed="false">
      <c r="A18" s="0" t="s">
        <v>32</v>
      </c>
      <c r="B18" s="0" t="s">
        <v>33</v>
      </c>
      <c r="C18" s="0" t="s">
        <v>20</v>
      </c>
      <c r="D18" s="2" t="n">
        <v>10923703</v>
      </c>
      <c r="E18" s="2" t="n">
        <v>0</v>
      </c>
      <c r="F18" s="0" t="n">
        <v>13</v>
      </c>
      <c r="G18" s="0" t="n">
        <v>60</v>
      </c>
      <c r="H18" s="7" t="n">
        <f aca="false">G18-F18+1</f>
        <v>48</v>
      </c>
      <c r="I18" s="2" t="n">
        <f aca="false">(D18-E18)/H18</f>
        <v>227577.145833333</v>
      </c>
      <c r="J18" s="7" t="s">
        <v>21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s">
        <v>20</v>
      </c>
      <c r="D19" s="2" t="n">
        <v>2278984</v>
      </c>
      <c r="E19" s="2" t="n">
        <v>0</v>
      </c>
      <c r="F19" s="0" t="n">
        <v>13</v>
      </c>
      <c r="G19" s="0" t="n">
        <v>60</v>
      </c>
      <c r="H19" s="7" t="n">
        <f aca="false">G19-F19+1</f>
        <v>48</v>
      </c>
      <c r="I19" s="2" t="n">
        <f aca="false">(D19-E19)/H19</f>
        <v>47478.8333333333</v>
      </c>
      <c r="J19" s="7" t="s">
        <v>21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s">
        <v>38</v>
      </c>
      <c r="D20" s="2" t="n">
        <v>175000000</v>
      </c>
      <c r="E20" s="2" t="n">
        <v>0</v>
      </c>
      <c r="F20" s="0" t="n">
        <v>13</v>
      </c>
      <c r="G20" s="0" t="n">
        <v>36</v>
      </c>
      <c r="H20" s="7" t="n">
        <f aca="false">G20-F20+1</f>
        <v>24</v>
      </c>
      <c r="I20" s="2" t="n">
        <f aca="false">(D20-E20)/H20</f>
        <v>7291666.66666667</v>
      </c>
      <c r="J20" s="7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0" t="s">
        <v>38</v>
      </c>
      <c r="D21" s="2" t="n">
        <v>20000000</v>
      </c>
      <c r="E21" s="2" t="n">
        <v>0</v>
      </c>
      <c r="F21" s="0" t="n">
        <v>13</v>
      </c>
      <c r="G21" s="0" t="n">
        <v>36</v>
      </c>
      <c r="H21" s="7" t="n">
        <f aca="false">G21-F21+1</f>
        <v>24</v>
      </c>
      <c r="I21" s="2" t="n">
        <f aca="false">(D21-E21)/H21</f>
        <v>833333.333333333</v>
      </c>
      <c r="J21" s="7" t="s">
        <v>39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0" t="s">
        <v>44</v>
      </c>
      <c r="D22" s="2" t="n">
        <v>15000000</v>
      </c>
      <c r="E22" s="2" t="n">
        <v>3000000</v>
      </c>
      <c r="F22" s="0" t="n">
        <v>1</v>
      </c>
      <c r="G22" s="0" t="n">
        <v>2</v>
      </c>
      <c r="H22" s="7" t="n">
        <f aca="false">G22-F22+1</f>
        <v>2</v>
      </c>
      <c r="I22" s="2" t="n">
        <f aca="false">(D22-E22)/H22</f>
        <v>6000000</v>
      </c>
      <c r="J22" s="7" t="s">
        <v>45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0" t="s">
        <v>48</v>
      </c>
      <c r="D23" s="2" t="n">
        <v>485000000</v>
      </c>
      <c r="E23" s="2" t="n">
        <v>0</v>
      </c>
      <c r="F23" s="0" t="n">
        <v>4</v>
      </c>
      <c r="G23" s="7" t="s">
        <v>49</v>
      </c>
      <c r="H23" s="7" t="s">
        <v>49</v>
      </c>
      <c r="I23" s="7" t="s">
        <v>50</v>
      </c>
      <c r="J23" s="7" t="s">
        <v>51</v>
      </c>
    </row>
    <row r="24" customFormat="false" ht="15" hidden="false" customHeight="false" outlineLevel="0" collapsed="false">
      <c r="A24" s="0" t="s">
        <v>52</v>
      </c>
      <c r="B24" s="0" t="s">
        <v>53</v>
      </c>
      <c r="C24" s="0" t="s">
        <v>54</v>
      </c>
      <c r="D24" s="2" t="n">
        <v>50000000</v>
      </c>
      <c r="E24" s="2" t="n">
        <v>35000000</v>
      </c>
      <c r="F24" s="0" t="n">
        <v>1</v>
      </c>
      <c r="G24" s="0" t="n">
        <v>30</v>
      </c>
      <c r="H24" s="7" t="n">
        <f aca="false">G24-F24+1</f>
        <v>30</v>
      </c>
      <c r="I24" s="2" t="n">
        <f aca="false">(D24-E24)/H24</f>
        <v>500000</v>
      </c>
      <c r="J24" s="7" t="s">
        <v>55</v>
      </c>
    </row>
    <row r="25" customFormat="false" ht="15" hidden="false" customHeight="false" outlineLevel="0" collapsed="false">
      <c r="A25" s="0" t="s">
        <v>56</v>
      </c>
      <c r="B25" s="0" t="s">
        <v>57</v>
      </c>
      <c r="C25" s="0" t="s">
        <v>58</v>
      </c>
      <c r="D25" s="2" t="n">
        <v>50000000</v>
      </c>
      <c r="E25" s="2" t="n">
        <v>0</v>
      </c>
      <c r="F25" s="0" t="n">
        <v>7</v>
      </c>
      <c r="G25" s="0" t="n">
        <v>36</v>
      </c>
      <c r="H25" s="7" t="n">
        <f aca="false">G25-F25+1</f>
        <v>30</v>
      </c>
      <c r="I25" s="2" t="n">
        <f aca="false">(D25-E25)/H25</f>
        <v>1666666.66666667</v>
      </c>
      <c r="J25" s="7" t="s">
        <v>59</v>
      </c>
    </row>
    <row r="26" customFormat="false" ht="15" hidden="false" customHeight="false" outlineLevel="0" collapsed="false">
      <c r="A26" s="0" t="s">
        <v>60</v>
      </c>
      <c r="B26" s="0" t="s">
        <v>61</v>
      </c>
      <c r="C26" s="0" t="s">
        <v>61</v>
      </c>
      <c r="D26" s="2" t="n">
        <v>40000000</v>
      </c>
      <c r="E26" s="2" t="n">
        <v>0</v>
      </c>
      <c r="F26" s="0" t="n">
        <v>13</v>
      </c>
      <c r="G26" s="0" t="n">
        <v>36</v>
      </c>
      <c r="H26" s="7" t="n">
        <f aca="false">G26-F26+1</f>
        <v>24</v>
      </c>
      <c r="I26" s="2" t="n">
        <f aca="false">(D26-E26)/H26</f>
        <v>1666666.66666667</v>
      </c>
      <c r="J26" s="7" t="s">
        <v>62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s">
        <v>65</v>
      </c>
      <c r="D27" s="2" t="n">
        <v>50000000</v>
      </c>
      <c r="E27" s="2" t="n">
        <v>0</v>
      </c>
      <c r="F27" s="0" t="n">
        <v>14</v>
      </c>
      <c r="G27" s="0" t="n">
        <v>38</v>
      </c>
      <c r="H27" s="7" t="n">
        <f aca="false">G27-F27+1</f>
        <v>25</v>
      </c>
      <c r="I27" s="2" t="n">
        <f aca="false">(D27-E27)/H27</f>
        <v>2000000</v>
      </c>
      <c r="J27" s="7" t="s">
        <v>66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s">
        <v>69</v>
      </c>
      <c r="D28" s="2" t="n">
        <v>10000000</v>
      </c>
      <c r="E28" s="2" t="n">
        <v>10000000</v>
      </c>
      <c r="F28" s="0" t="n">
        <v>0</v>
      </c>
      <c r="G28" s="0" t="n">
        <v>0</v>
      </c>
      <c r="H28" s="0" t="n">
        <v>0</v>
      </c>
      <c r="I28" s="0" t="n">
        <v>0</v>
      </c>
      <c r="J28" s="7" t="s">
        <v>70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s">
        <v>73</v>
      </c>
      <c r="D29" s="2" t="n">
        <v>5000000</v>
      </c>
      <c r="E29" s="2" t="n">
        <v>5000000</v>
      </c>
      <c r="F29" s="0" t="n">
        <v>0</v>
      </c>
      <c r="G29" s="0" t="n">
        <v>0</v>
      </c>
      <c r="H29" s="0" t="n">
        <v>0</v>
      </c>
      <c r="I29" s="0" t="n">
        <v>0</v>
      </c>
      <c r="J29" s="7" t="s">
        <v>74</v>
      </c>
    </row>
    <row r="30" customFormat="false" ht="15" hidden="false" customHeight="false" outlineLevel="0" collapsed="false">
      <c r="A30" s="8" t="s">
        <v>75</v>
      </c>
      <c r="D30" s="2" t="n">
        <f aca="false">SUM(D12:D29)</f>
        <v>1000000000</v>
      </c>
      <c r="E30" s="2" t="n">
        <f aca="false">SUM(E12:E29)</f>
        <v>53000000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21" min="3" style="0" width="16"/>
    <col collapsed="false" customWidth="true" hidden="false" outlineLevel="0" max="22" min="22" style="0" width="18"/>
    <col collapsed="false" customWidth="true" hidden="false" outlineLevel="0" max="23" min="23" style="0" width="12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0" t="s">
        <v>77</v>
      </c>
    </row>
    <row r="4" customFormat="false" ht="68.65" hidden="false" customHeight="false" outlineLevel="0" collapsed="false">
      <c r="A4" s="6" t="s">
        <v>78</v>
      </c>
      <c r="B4" s="6" t="s">
        <v>79</v>
      </c>
      <c r="C4" s="6" t="s">
        <v>19</v>
      </c>
      <c r="D4" s="6" t="s">
        <v>23</v>
      </c>
      <c r="E4" s="6" t="s">
        <v>25</v>
      </c>
      <c r="F4" s="6" t="s">
        <v>27</v>
      </c>
      <c r="G4" s="6" t="s">
        <v>29</v>
      </c>
      <c r="H4" s="6" t="s">
        <v>31</v>
      </c>
      <c r="I4" s="6" t="s">
        <v>33</v>
      </c>
      <c r="J4" s="6" t="s">
        <v>35</v>
      </c>
      <c r="K4" s="6" t="s">
        <v>37</v>
      </c>
      <c r="L4" s="6" t="s">
        <v>41</v>
      </c>
      <c r="M4" s="6" t="s">
        <v>43</v>
      </c>
      <c r="N4" s="6" t="s">
        <v>47</v>
      </c>
      <c r="O4" s="6" t="s">
        <v>53</v>
      </c>
      <c r="P4" s="6" t="s">
        <v>57</v>
      </c>
      <c r="Q4" s="6" t="s">
        <v>61</v>
      </c>
      <c r="R4" s="6" t="s">
        <v>64</v>
      </c>
      <c r="S4" s="6" t="s">
        <v>68</v>
      </c>
      <c r="T4" s="6" t="s">
        <v>72</v>
      </c>
      <c r="U4" s="6" t="s">
        <v>80</v>
      </c>
      <c r="V4" s="6" t="s">
        <v>81</v>
      </c>
      <c r="W4" s="6" t="s">
        <v>82</v>
      </c>
    </row>
    <row r="5" customFormat="false" ht="15" hidden="false" customHeight="false" outlineLevel="0" collapsed="false">
      <c r="A5" s="0" t="n">
        <v>0</v>
      </c>
      <c r="B5" s="3" t="n">
        <f aca="false">EDATE(Inputs!$B$5,A5)</f>
        <v>46423</v>
      </c>
      <c r="C5" s="2" t="n">
        <f aca="false">IF(A5=0,Inputs!$E$12,IF(AND(A5&gt;=Inputs!$F$12,A5&lt;=Inputs!$G$12),Inputs!$I$12,0))</f>
        <v>0</v>
      </c>
      <c r="D5" s="2" t="n">
        <f aca="false">IF(A5=0,Inputs!$E$13,IF(AND(A5&gt;=Inputs!$F$13,A5&lt;=Inputs!$G$13),Inputs!$I$13,0))</f>
        <v>0</v>
      </c>
      <c r="E5" s="2" t="n">
        <f aca="false">IF(A5=0,Inputs!$E$14,IF(AND(A5&gt;=Inputs!$F$14,A5&lt;=Inputs!$G$14),Inputs!$I$14,0))</f>
        <v>0</v>
      </c>
      <c r="F5" s="2" t="n">
        <f aca="false">IF(A5=0,Inputs!$E$15,IF(AND(A5&gt;=Inputs!$F$15,A5&lt;=Inputs!$G$15),Inputs!$I$15,0))</f>
        <v>0</v>
      </c>
      <c r="G5" s="2" t="n">
        <f aca="false">IF(A5=0,Inputs!$E$16,IF(AND(A5&gt;=Inputs!$F$16,A5&lt;=Inputs!$G$16),Inputs!$I$16,0))</f>
        <v>0</v>
      </c>
      <c r="H5" s="2" t="n">
        <f aca="false">IF(A5=0,Inputs!$E$17,IF(AND(A5&gt;=Inputs!$F$17,A5&lt;=Inputs!$G$17),Inputs!$I$17,0))</f>
        <v>0</v>
      </c>
      <c r="I5" s="2" t="n">
        <f aca="false">IF(A5=0,Inputs!$E$18,IF(AND(A5&gt;=Inputs!$F$18,A5&lt;=Inputs!$G$18),Inputs!$I$18,0))</f>
        <v>0</v>
      </c>
      <c r="J5" s="2" t="n">
        <f aca="false">IF(A5=0,Inputs!$E$19,IF(AND(A5&gt;=Inputs!$F$19,A5&lt;=Inputs!$G$19),Inputs!$I$19,0))</f>
        <v>0</v>
      </c>
      <c r="K5" s="2" t="n">
        <f aca="false">IF(A5=0,Inputs!$E$20,IF(AND(A5&gt;=Inputs!$F$20,A5&lt;=Inputs!$G$20),Inputs!$I$20,0))</f>
        <v>0</v>
      </c>
      <c r="L5" s="2" t="n">
        <f aca="false">IF(A5=0,Inputs!$E$21,IF(AND(A5&gt;=Inputs!$F$21,A5&lt;=Inputs!$G$21),Inputs!$I$21,0))</f>
        <v>0</v>
      </c>
      <c r="M5" s="2" t="n">
        <f aca="false">IF(A5=0,Inputs!$E$22,IF(AND(A5&gt;=Inputs!$F$22,A5&lt;=Inputs!$G$22),Inputs!$I$22,0))</f>
        <v>3000000</v>
      </c>
      <c r="N5" s="2" t="n">
        <f aca="false">IF(A5&lt;Inputs!$B$9,0,IF(A5&lt;=12,Inputs!$B$8,Inputs!$B$6*(1-Inputs!$B$7)^(INT((A5-13)/12)+1)/12))</f>
        <v>0</v>
      </c>
      <c r="O5" s="2" t="n">
        <f aca="false">IF(A5=0,Inputs!$E$24,IF(AND(A5&gt;=Inputs!$F$24,A5&lt;=Inputs!$G$24),Inputs!$I$24,0))</f>
        <v>35000000</v>
      </c>
      <c r="P5" s="2" t="n">
        <f aca="false">IF(A5=0,Inputs!$E$25,IF(AND(A5&gt;=Inputs!$F$25,A5&lt;=Inputs!$G$25),Inputs!$I$25,0))</f>
        <v>0</v>
      </c>
      <c r="Q5" s="2" t="n">
        <f aca="false">IF(A5=0,Inputs!$E$26,IF(AND(A5&gt;=Inputs!$F$26,A5&lt;=Inputs!$G$26),Inputs!$I$26,0))</f>
        <v>0</v>
      </c>
      <c r="R5" s="2" t="n">
        <f aca="false">IF(A5=0,Inputs!$E$27,IF(AND(A5&gt;=Inputs!$F$27,A5&lt;=Inputs!$G$27),Inputs!$I$27,0))</f>
        <v>0</v>
      </c>
      <c r="S5" s="2" t="n">
        <f aca="false">IF(A5=0,Inputs!$E$28,IF(AND(A5&gt;=Inputs!$F$28,A5&lt;=Inputs!$G$28),Inputs!$I$28,0))</f>
        <v>10000000</v>
      </c>
      <c r="T5" s="2" t="n">
        <f aca="false">IF(A5=0,Inputs!$E$29,IF(AND(A5&gt;=Inputs!$F$29,A5&lt;=Inputs!$G$29),Inputs!$I$29,0))</f>
        <v>5000000</v>
      </c>
      <c r="U5" s="2" t="n">
        <f aca="false">SUM(C5:T5)</f>
        <v>53000000</v>
      </c>
      <c r="V5" s="2" t="n">
        <f aca="false">U5</f>
        <v>53000000</v>
      </c>
      <c r="W5" s="4" t="n">
        <f aca="false">V5/Inputs!$B$4</f>
        <v>0.053</v>
      </c>
    </row>
    <row r="6" customFormat="false" ht="15" hidden="false" customHeight="false" outlineLevel="0" collapsed="false">
      <c r="A6" s="0" t="n">
        <v>1</v>
      </c>
      <c r="B6" s="3" t="n">
        <f aca="false">EDATE(Inputs!$B$5,A6)</f>
        <v>46451</v>
      </c>
      <c r="C6" s="2" t="n">
        <f aca="false">IF(A6=0,Inputs!$E$12,IF(AND(A6&gt;=Inputs!$F$12,A6&lt;=Inputs!$G$12),Inputs!$I$12,0))</f>
        <v>0</v>
      </c>
      <c r="D6" s="2" t="n">
        <f aca="false">IF(A6=0,Inputs!$E$13,IF(AND(A6&gt;=Inputs!$F$13,A6&lt;=Inputs!$G$13),Inputs!$I$13,0))</f>
        <v>0</v>
      </c>
      <c r="E6" s="2" t="n">
        <f aca="false">IF(A6=0,Inputs!$E$14,IF(AND(A6&gt;=Inputs!$F$14,A6&lt;=Inputs!$G$14),Inputs!$I$14,0))</f>
        <v>0</v>
      </c>
      <c r="F6" s="2" t="n">
        <f aca="false">IF(A6=0,Inputs!$E$15,IF(AND(A6&gt;=Inputs!$F$15,A6&lt;=Inputs!$G$15),Inputs!$I$15,0))</f>
        <v>0</v>
      </c>
      <c r="G6" s="2" t="n">
        <f aca="false">IF(A6=0,Inputs!$E$16,IF(AND(A6&gt;=Inputs!$F$16,A6&lt;=Inputs!$G$16),Inputs!$I$16,0))</f>
        <v>0</v>
      </c>
      <c r="H6" s="2" t="n">
        <f aca="false">IF(A6=0,Inputs!$E$17,IF(AND(A6&gt;=Inputs!$F$17,A6&lt;=Inputs!$G$17),Inputs!$I$17,0))</f>
        <v>0</v>
      </c>
      <c r="I6" s="2" t="n">
        <f aca="false">IF(A6=0,Inputs!$E$18,IF(AND(A6&gt;=Inputs!$F$18,A6&lt;=Inputs!$G$18),Inputs!$I$18,0))</f>
        <v>0</v>
      </c>
      <c r="J6" s="2" t="n">
        <f aca="false">IF(A6=0,Inputs!$E$19,IF(AND(A6&gt;=Inputs!$F$19,A6&lt;=Inputs!$G$19),Inputs!$I$19,0))</f>
        <v>0</v>
      </c>
      <c r="K6" s="2" t="n">
        <f aca="false">IF(A6=0,Inputs!$E$20,IF(AND(A6&gt;=Inputs!$F$20,A6&lt;=Inputs!$G$20),Inputs!$I$20,0))</f>
        <v>0</v>
      </c>
      <c r="L6" s="2" t="n">
        <f aca="false">IF(A6=0,Inputs!$E$21,IF(AND(A6&gt;=Inputs!$F$21,A6&lt;=Inputs!$G$21),Inputs!$I$21,0))</f>
        <v>0</v>
      </c>
      <c r="M6" s="2" t="n">
        <f aca="false">IF(A6=0,Inputs!$E$22,IF(AND(A6&gt;=Inputs!$F$22,A6&lt;=Inputs!$G$22),Inputs!$I$22,0))</f>
        <v>6000000</v>
      </c>
      <c r="N6" s="2" t="n">
        <f aca="false">IF(A6&lt;Inputs!$B$9,0,IF(A6&lt;=12,Inputs!$B$8,Inputs!$B$6*(1-Inputs!$B$7)^(INT((A6-13)/12)+1)/12))</f>
        <v>0</v>
      </c>
      <c r="O6" s="2" t="n">
        <f aca="false">IF(A6=0,Inputs!$E$24,IF(AND(A6&gt;=Inputs!$F$24,A6&lt;=Inputs!$G$24),Inputs!$I$24,0))</f>
        <v>500000</v>
      </c>
      <c r="P6" s="2" t="n">
        <f aca="false">IF(A6=0,Inputs!$E$25,IF(AND(A6&gt;=Inputs!$F$25,A6&lt;=Inputs!$G$25),Inputs!$I$25,0))</f>
        <v>0</v>
      </c>
      <c r="Q6" s="2" t="n">
        <f aca="false">IF(A6=0,Inputs!$E$26,IF(AND(A6&gt;=Inputs!$F$26,A6&lt;=Inputs!$G$26),Inputs!$I$26,0))</f>
        <v>0</v>
      </c>
      <c r="R6" s="2" t="n">
        <f aca="false">IF(A6=0,Inputs!$E$27,IF(AND(A6&gt;=Inputs!$F$27,A6&lt;=Inputs!$G$27),Inputs!$I$27,0))</f>
        <v>0</v>
      </c>
      <c r="S6" s="2" t="n">
        <f aca="false">IF(A6=0,Inputs!$E$28,IF(AND(A6&gt;=Inputs!$F$28,A6&lt;=Inputs!$G$28),Inputs!$I$28,0))</f>
        <v>0</v>
      </c>
      <c r="T6" s="2" t="n">
        <f aca="false">IF(A6=0,Inputs!$E$29,IF(AND(A6&gt;=Inputs!$F$29,A6&lt;=Inputs!$G$29),Inputs!$I$29,0))</f>
        <v>0</v>
      </c>
      <c r="U6" s="2" t="n">
        <f aca="false">SUM(C6:T6)</f>
        <v>6500000</v>
      </c>
      <c r="V6" s="2" t="n">
        <f aca="false">V5+U6</f>
        <v>59500000</v>
      </c>
      <c r="W6" s="4" t="n">
        <f aca="false">V6/Inputs!$B$4</f>
        <v>0.0595</v>
      </c>
    </row>
    <row r="7" customFormat="false" ht="15" hidden="false" customHeight="false" outlineLevel="0" collapsed="false">
      <c r="A7" s="0" t="n">
        <v>2</v>
      </c>
      <c r="B7" s="3" t="n">
        <f aca="false">EDATE(Inputs!$B$5,A7)</f>
        <v>46482</v>
      </c>
      <c r="C7" s="2" t="n">
        <f aca="false">IF(A7=0,Inputs!$E$12,IF(AND(A7&gt;=Inputs!$F$12,A7&lt;=Inputs!$G$12),Inputs!$I$12,0))</f>
        <v>0</v>
      </c>
      <c r="D7" s="2" t="n">
        <f aca="false">IF(A7=0,Inputs!$E$13,IF(AND(A7&gt;=Inputs!$F$13,A7&lt;=Inputs!$G$13),Inputs!$I$13,0))</f>
        <v>0</v>
      </c>
      <c r="E7" s="2" t="n">
        <f aca="false">IF(A7=0,Inputs!$E$14,IF(AND(A7&gt;=Inputs!$F$14,A7&lt;=Inputs!$G$14),Inputs!$I$14,0))</f>
        <v>0</v>
      </c>
      <c r="F7" s="2" t="n">
        <f aca="false">IF(A7=0,Inputs!$E$15,IF(AND(A7&gt;=Inputs!$F$15,A7&lt;=Inputs!$G$15),Inputs!$I$15,0))</f>
        <v>0</v>
      </c>
      <c r="G7" s="2" t="n">
        <f aca="false">IF(A7=0,Inputs!$E$16,IF(AND(A7&gt;=Inputs!$F$16,A7&lt;=Inputs!$G$16),Inputs!$I$16,0))</f>
        <v>0</v>
      </c>
      <c r="H7" s="2" t="n">
        <f aca="false">IF(A7=0,Inputs!$E$17,IF(AND(A7&gt;=Inputs!$F$17,A7&lt;=Inputs!$G$17),Inputs!$I$17,0))</f>
        <v>0</v>
      </c>
      <c r="I7" s="2" t="n">
        <f aca="false">IF(A7=0,Inputs!$E$18,IF(AND(A7&gt;=Inputs!$F$18,A7&lt;=Inputs!$G$18),Inputs!$I$18,0))</f>
        <v>0</v>
      </c>
      <c r="J7" s="2" t="n">
        <f aca="false">IF(A7=0,Inputs!$E$19,IF(AND(A7&gt;=Inputs!$F$19,A7&lt;=Inputs!$G$19),Inputs!$I$19,0))</f>
        <v>0</v>
      </c>
      <c r="K7" s="2" t="n">
        <f aca="false">IF(A7=0,Inputs!$E$20,IF(AND(A7&gt;=Inputs!$F$20,A7&lt;=Inputs!$G$20),Inputs!$I$20,0))</f>
        <v>0</v>
      </c>
      <c r="L7" s="2" t="n">
        <f aca="false">IF(A7=0,Inputs!$E$21,IF(AND(A7&gt;=Inputs!$F$21,A7&lt;=Inputs!$G$21),Inputs!$I$21,0))</f>
        <v>0</v>
      </c>
      <c r="M7" s="2" t="n">
        <f aca="false">IF(A7=0,Inputs!$E$22,IF(AND(A7&gt;=Inputs!$F$22,A7&lt;=Inputs!$G$22),Inputs!$I$22,0))</f>
        <v>6000000</v>
      </c>
      <c r="N7" s="2" t="n">
        <f aca="false">IF(A7&lt;Inputs!$B$9,0,IF(A7&lt;=12,Inputs!$B$8,Inputs!$B$6*(1-Inputs!$B$7)^(INT((A7-13)/12)+1)/12))</f>
        <v>0</v>
      </c>
      <c r="O7" s="2" t="n">
        <f aca="false">IF(A7=0,Inputs!$E$24,IF(AND(A7&gt;=Inputs!$F$24,A7&lt;=Inputs!$G$24),Inputs!$I$24,0))</f>
        <v>500000</v>
      </c>
      <c r="P7" s="2" t="n">
        <f aca="false">IF(A7=0,Inputs!$E$25,IF(AND(A7&gt;=Inputs!$F$25,A7&lt;=Inputs!$G$25),Inputs!$I$25,0))</f>
        <v>0</v>
      </c>
      <c r="Q7" s="2" t="n">
        <f aca="false">IF(A7=0,Inputs!$E$26,IF(AND(A7&gt;=Inputs!$F$26,A7&lt;=Inputs!$G$26),Inputs!$I$26,0))</f>
        <v>0</v>
      </c>
      <c r="R7" s="2" t="n">
        <f aca="false">IF(A7=0,Inputs!$E$27,IF(AND(A7&gt;=Inputs!$F$27,A7&lt;=Inputs!$G$27),Inputs!$I$27,0))</f>
        <v>0</v>
      </c>
      <c r="S7" s="2" t="n">
        <f aca="false">IF(A7=0,Inputs!$E$28,IF(AND(A7&gt;=Inputs!$F$28,A7&lt;=Inputs!$G$28),Inputs!$I$28,0))</f>
        <v>0</v>
      </c>
      <c r="T7" s="2" t="n">
        <f aca="false">IF(A7=0,Inputs!$E$29,IF(AND(A7&gt;=Inputs!$F$29,A7&lt;=Inputs!$G$29),Inputs!$I$29,0))</f>
        <v>0</v>
      </c>
      <c r="U7" s="2" t="n">
        <f aca="false">SUM(C7:T7)</f>
        <v>6500000</v>
      </c>
      <c r="V7" s="2" t="n">
        <f aca="false">V6+U7</f>
        <v>66000000</v>
      </c>
      <c r="W7" s="4" t="n">
        <f aca="false">V7/Inputs!$B$4</f>
        <v>0.066</v>
      </c>
    </row>
    <row r="8" customFormat="false" ht="15" hidden="false" customHeight="false" outlineLevel="0" collapsed="false">
      <c r="A8" s="0" t="n">
        <v>3</v>
      </c>
      <c r="B8" s="3" t="n">
        <f aca="false">EDATE(Inputs!$B$5,A8)</f>
        <v>46512</v>
      </c>
      <c r="C8" s="2" t="n">
        <f aca="false">IF(A8=0,Inputs!$E$12,IF(AND(A8&gt;=Inputs!$F$12,A8&lt;=Inputs!$G$12),Inputs!$I$12,0))</f>
        <v>0</v>
      </c>
      <c r="D8" s="2" t="n">
        <f aca="false">IF(A8=0,Inputs!$E$13,IF(AND(A8&gt;=Inputs!$F$13,A8&lt;=Inputs!$G$13),Inputs!$I$13,0))</f>
        <v>0</v>
      </c>
      <c r="E8" s="2" t="n">
        <f aca="false">IF(A8=0,Inputs!$E$14,IF(AND(A8&gt;=Inputs!$F$14,A8&lt;=Inputs!$G$14),Inputs!$I$14,0))</f>
        <v>0</v>
      </c>
      <c r="F8" s="2" t="n">
        <f aca="false">IF(A8=0,Inputs!$E$15,IF(AND(A8&gt;=Inputs!$F$15,A8&lt;=Inputs!$G$15),Inputs!$I$15,0))</f>
        <v>0</v>
      </c>
      <c r="G8" s="2" t="n">
        <f aca="false">IF(A8=0,Inputs!$E$16,IF(AND(A8&gt;=Inputs!$F$16,A8&lt;=Inputs!$G$16),Inputs!$I$16,0))</f>
        <v>0</v>
      </c>
      <c r="H8" s="2" t="n">
        <f aca="false">IF(A8=0,Inputs!$E$17,IF(AND(A8&gt;=Inputs!$F$17,A8&lt;=Inputs!$G$17),Inputs!$I$17,0))</f>
        <v>0</v>
      </c>
      <c r="I8" s="2" t="n">
        <f aca="false">IF(A8=0,Inputs!$E$18,IF(AND(A8&gt;=Inputs!$F$18,A8&lt;=Inputs!$G$18),Inputs!$I$18,0))</f>
        <v>0</v>
      </c>
      <c r="J8" s="2" t="n">
        <f aca="false">IF(A8=0,Inputs!$E$19,IF(AND(A8&gt;=Inputs!$F$19,A8&lt;=Inputs!$G$19),Inputs!$I$19,0))</f>
        <v>0</v>
      </c>
      <c r="K8" s="2" t="n">
        <f aca="false">IF(A8=0,Inputs!$E$20,IF(AND(A8&gt;=Inputs!$F$20,A8&lt;=Inputs!$G$20),Inputs!$I$20,0))</f>
        <v>0</v>
      </c>
      <c r="L8" s="2" t="n">
        <f aca="false">IF(A8=0,Inputs!$E$21,IF(AND(A8&gt;=Inputs!$F$21,A8&lt;=Inputs!$G$21),Inputs!$I$21,0))</f>
        <v>0</v>
      </c>
      <c r="M8" s="2" t="n">
        <f aca="false">IF(A8=0,Inputs!$E$22,IF(AND(A8&gt;=Inputs!$F$22,A8&lt;=Inputs!$G$22),Inputs!$I$22,0))</f>
        <v>0</v>
      </c>
      <c r="N8" s="2" t="n">
        <f aca="false">IF(A8&lt;Inputs!$B$9,0,IF(A8&lt;=12,Inputs!$B$8,Inputs!$B$6*(1-Inputs!$B$7)^(INT((A8-13)/12)+1)/12))</f>
        <v>0</v>
      </c>
      <c r="O8" s="2" t="n">
        <f aca="false">IF(A8=0,Inputs!$E$24,IF(AND(A8&gt;=Inputs!$F$24,A8&lt;=Inputs!$G$24),Inputs!$I$24,0))</f>
        <v>500000</v>
      </c>
      <c r="P8" s="2" t="n">
        <f aca="false">IF(A8=0,Inputs!$E$25,IF(AND(A8&gt;=Inputs!$F$25,A8&lt;=Inputs!$G$25),Inputs!$I$25,0))</f>
        <v>0</v>
      </c>
      <c r="Q8" s="2" t="n">
        <f aca="false">IF(A8=0,Inputs!$E$26,IF(AND(A8&gt;=Inputs!$F$26,A8&lt;=Inputs!$G$26),Inputs!$I$26,0))</f>
        <v>0</v>
      </c>
      <c r="R8" s="2" t="n">
        <f aca="false">IF(A8=0,Inputs!$E$27,IF(AND(A8&gt;=Inputs!$F$27,A8&lt;=Inputs!$G$27),Inputs!$I$27,0))</f>
        <v>0</v>
      </c>
      <c r="S8" s="2" t="n">
        <f aca="false">IF(A8=0,Inputs!$E$28,IF(AND(A8&gt;=Inputs!$F$28,A8&lt;=Inputs!$G$28),Inputs!$I$28,0))</f>
        <v>0</v>
      </c>
      <c r="T8" s="2" t="n">
        <f aca="false">IF(A8=0,Inputs!$E$29,IF(AND(A8&gt;=Inputs!$F$29,A8&lt;=Inputs!$G$29),Inputs!$I$29,0))</f>
        <v>0</v>
      </c>
      <c r="U8" s="2" t="n">
        <f aca="false">SUM(C8:T8)</f>
        <v>500000</v>
      </c>
      <c r="V8" s="2" t="n">
        <f aca="false">V7+U8</f>
        <v>66500000</v>
      </c>
      <c r="W8" s="4" t="n">
        <f aca="false">V8/Inputs!$B$4</f>
        <v>0.0665</v>
      </c>
    </row>
    <row r="9" customFormat="false" ht="15" hidden="false" customHeight="false" outlineLevel="0" collapsed="false">
      <c r="A9" s="0" t="n">
        <v>4</v>
      </c>
      <c r="B9" s="3" t="n">
        <f aca="false">EDATE(Inputs!$B$5,A9)</f>
        <v>46543</v>
      </c>
      <c r="C9" s="2" t="n">
        <f aca="false">IF(A9=0,Inputs!$E$12,IF(AND(A9&gt;=Inputs!$F$12,A9&lt;=Inputs!$G$12),Inputs!$I$12,0))</f>
        <v>0</v>
      </c>
      <c r="D9" s="2" t="n">
        <f aca="false">IF(A9=0,Inputs!$E$13,IF(AND(A9&gt;=Inputs!$F$13,A9&lt;=Inputs!$G$13),Inputs!$I$13,0))</f>
        <v>0</v>
      </c>
      <c r="E9" s="2" t="n">
        <f aca="false">IF(A9=0,Inputs!$E$14,IF(AND(A9&gt;=Inputs!$F$14,A9&lt;=Inputs!$G$14),Inputs!$I$14,0))</f>
        <v>0</v>
      </c>
      <c r="F9" s="2" t="n">
        <f aca="false">IF(A9=0,Inputs!$E$15,IF(AND(A9&gt;=Inputs!$F$15,A9&lt;=Inputs!$G$15),Inputs!$I$15,0))</f>
        <v>0</v>
      </c>
      <c r="G9" s="2" t="n">
        <f aca="false">IF(A9=0,Inputs!$E$16,IF(AND(A9&gt;=Inputs!$F$16,A9&lt;=Inputs!$G$16),Inputs!$I$16,0))</f>
        <v>0</v>
      </c>
      <c r="H9" s="2" t="n">
        <f aca="false">IF(A9=0,Inputs!$E$17,IF(AND(A9&gt;=Inputs!$F$17,A9&lt;=Inputs!$G$17),Inputs!$I$17,0))</f>
        <v>0</v>
      </c>
      <c r="I9" s="2" t="n">
        <f aca="false">IF(A9=0,Inputs!$E$18,IF(AND(A9&gt;=Inputs!$F$18,A9&lt;=Inputs!$G$18),Inputs!$I$18,0))</f>
        <v>0</v>
      </c>
      <c r="J9" s="2" t="n">
        <f aca="false">IF(A9=0,Inputs!$E$19,IF(AND(A9&gt;=Inputs!$F$19,A9&lt;=Inputs!$G$19),Inputs!$I$19,0))</f>
        <v>0</v>
      </c>
      <c r="K9" s="2" t="n">
        <f aca="false">IF(A9=0,Inputs!$E$20,IF(AND(A9&gt;=Inputs!$F$20,A9&lt;=Inputs!$G$20),Inputs!$I$20,0))</f>
        <v>0</v>
      </c>
      <c r="L9" s="2" t="n">
        <f aca="false">IF(A9=0,Inputs!$E$21,IF(AND(A9&gt;=Inputs!$F$21,A9&lt;=Inputs!$G$21),Inputs!$I$21,0))</f>
        <v>0</v>
      </c>
      <c r="M9" s="2" t="n">
        <f aca="false">IF(A9=0,Inputs!$E$22,IF(AND(A9&gt;=Inputs!$F$22,A9&lt;=Inputs!$G$22),Inputs!$I$22,0))</f>
        <v>0</v>
      </c>
      <c r="N9" s="2" t="n">
        <f aca="false">IF(A9&lt;Inputs!$B$9,0,IF(A9&lt;=12,Inputs!$B$8,Inputs!$B$6*(1-Inputs!$B$7)^(INT((A9-13)/12)+1)/12))</f>
        <v>4000000</v>
      </c>
      <c r="O9" s="2" t="n">
        <f aca="false">IF(A9=0,Inputs!$E$24,IF(AND(A9&gt;=Inputs!$F$24,A9&lt;=Inputs!$G$24),Inputs!$I$24,0))</f>
        <v>500000</v>
      </c>
      <c r="P9" s="2" t="n">
        <f aca="false">IF(A9=0,Inputs!$E$25,IF(AND(A9&gt;=Inputs!$F$25,A9&lt;=Inputs!$G$25),Inputs!$I$25,0))</f>
        <v>0</v>
      </c>
      <c r="Q9" s="2" t="n">
        <f aca="false">IF(A9=0,Inputs!$E$26,IF(AND(A9&gt;=Inputs!$F$26,A9&lt;=Inputs!$G$26),Inputs!$I$26,0))</f>
        <v>0</v>
      </c>
      <c r="R9" s="2" t="n">
        <f aca="false">IF(A9=0,Inputs!$E$27,IF(AND(A9&gt;=Inputs!$F$27,A9&lt;=Inputs!$G$27),Inputs!$I$27,0))</f>
        <v>0</v>
      </c>
      <c r="S9" s="2" t="n">
        <f aca="false">IF(A9=0,Inputs!$E$28,IF(AND(A9&gt;=Inputs!$F$28,A9&lt;=Inputs!$G$28),Inputs!$I$28,0))</f>
        <v>0</v>
      </c>
      <c r="T9" s="2" t="n">
        <f aca="false">IF(A9=0,Inputs!$E$29,IF(AND(A9&gt;=Inputs!$F$29,A9&lt;=Inputs!$G$29),Inputs!$I$29,0))</f>
        <v>0</v>
      </c>
      <c r="U9" s="2" t="n">
        <f aca="false">SUM(C9:T9)</f>
        <v>4500000</v>
      </c>
      <c r="V9" s="2" t="n">
        <f aca="false">V8+U9</f>
        <v>71000000</v>
      </c>
      <c r="W9" s="4" t="n">
        <f aca="false">V9/Inputs!$B$4</f>
        <v>0.071</v>
      </c>
    </row>
    <row r="10" customFormat="false" ht="15" hidden="false" customHeight="false" outlineLevel="0" collapsed="false">
      <c r="A10" s="0" t="n">
        <v>5</v>
      </c>
      <c r="B10" s="3" t="n">
        <f aca="false">EDATE(Inputs!$B$5,A10)</f>
        <v>46573</v>
      </c>
      <c r="C10" s="2" t="n">
        <f aca="false">IF(A10=0,Inputs!$E$12,IF(AND(A10&gt;=Inputs!$F$12,A10&lt;=Inputs!$G$12),Inputs!$I$12,0))</f>
        <v>0</v>
      </c>
      <c r="D10" s="2" t="n">
        <f aca="false">IF(A10=0,Inputs!$E$13,IF(AND(A10&gt;=Inputs!$F$13,A10&lt;=Inputs!$G$13),Inputs!$I$13,0))</f>
        <v>0</v>
      </c>
      <c r="E10" s="2" t="n">
        <f aca="false">IF(A10=0,Inputs!$E$14,IF(AND(A10&gt;=Inputs!$F$14,A10&lt;=Inputs!$G$14),Inputs!$I$14,0))</f>
        <v>0</v>
      </c>
      <c r="F10" s="2" t="n">
        <f aca="false">IF(A10=0,Inputs!$E$15,IF(AND(A10&gt;=Inputs!$F$15,A10&lt;=Inputs!$G$15),Inputs!$I$15,0))</f>
        <v>0</v>
      </c>
      <c r="G10" s="2" t="n">
        <f aca="false">IF(A10=0,Inputs!$E$16,IF(AND(A10&gt;=Inputs!$F$16,A10&lt;=Inputs!$G$16),Inputs!$I$16,0))</f>
        <v>0</v>
      </c>
      <c r="H10" s="2" t="n">
        <f aca="false">IF(A10=0,Inputs!$E$17,IF(AND(A10&gt;=Inputs!$F$17,A10&lt;=Inputs!$G$17),Inputs!$I$17,0))</f>
        <v>0</v>
      </c>
      <c r="I10" s="2" t="n">
        <f aca="false">IF(A10=0,Inputs!$E$18,IF(AND(A10&gt;=Inputs!$F$18,A10&lt;=Inputs!$G$18),Inputs!$I$18,0))</f>
        <v>0</v>
      </c>
      <c r="J10" s="2" t="n">
        <f aca="false">IF(A10=0,Inputs!$E$19,IF(AND(A10&gt;=Inputs!$F$19,A10&lt;=Inputs!$G$19),Inputs!$I$19,0))</f>
        <v>0</v>
      </c>
      <c r="K10" s="2" t="n">
        <f aca="false">IF(A10=0,Inputs!$E$20,IF(AND(A10&gt;=Inputs!$F$20,A10&lt;=Inputs!$G$20),Inputs!$I$20,0))</f>
        <v>0</v>
      </c>
      <c r="L10" s="2" t="n">
        <f aca="false">IF(A10=0,Inputs!$E$21,IF(AND(A10&gt;=Inputs!$F$21,A10&lt;=Inputs!$G$21),Inputs!$I$21,0))</f>
        <v>0</v>
      </c>
      <c r="M10" s="2" t="n">
        <f aca="false">IF(A10=0,Inputs!$E$22,IF(AND(A10&gt;=Inputs!$F$22,A10&lt;=Inputs!$G$22),Inputs!$I$22,0))</f>
        <v>0</v>
      </c>
      <c r="N10" s="2" t="n">
        <f aca="false">IF(A10&lt;Inputs!$B$9,0,IF(A10&lt;=12,Inputs!$B$8,Inputs!$B$6*(1-Inputs!$B$7)^(INT((A10-13)/12)+1)/12))</f>
        <v>4000000</v>
      </c>
      <c r="O10" s="2" t="n">
        <f aca="false">IF(A10=0,Inputs!$E$24,IF(AND(A10&gt;=Inputs!$F$24,A10&lt;=Inputs!$G$24),Inputs!$I$24,0))</f>
        <v>500000</v>
      </c>
      <c r="P10" s="2" t="n">
        <f aca="false">IF(A10=0,Inputs!$E$25,IF(AND(A10&gt;=Inputs!$F$25,A10&lt;=Inputs!$G$25),Inputs!$I$25,0))</f>
        <v>0</v>
      </c>
      <c r="Q10" s="2" t="n">
        <f aca="false">IF(A10=0,Inputs!$E$26,IF(AND(A10&gt;=Inputs!$F$26,A10&lt;=Inputs!$G$26),Inputs!$I$26,0))</f>
        <v>0</v>
      </c>
      <c r="R10" s="2" t="n">
        <f aca="false">IF(A10=0,Inputs!$E$27,IF(AND(A10&gt;=Inputs!$F$27,A10&lt;=Inputs!$G$27),Inputs!$I$27,0))</f>
        <v>0</v>
      </c>
      <c r="S10" s="2" t="n">
        <f aca="false">IF(A10=0,Inputs!$E$28,IF(AND(A10&gt;=Inputs!$F$28,A10&lt;=Inputs!$G$28),Inputs!$I$28,0))</f>
        <v>0</v>
      </c>
      <c r="T10" s="2" t="n">
        <f aca="false">IF(A10=0,Inputs!$E$29,IF(AND(A10&gt;=Inputs!$F$29,A10&lt;=Inputs!$G$29),Inputs!$I$29,0))</f>
        <v>0</v>
      </c>
      <c r="U10" s="2" t="n">
        <f aca="false">SUM(C10:T10)</f>
        <v>4500000</v>
      </c>
      <c r="V10" s="2" t="n">
        <f aca="false">V9+U10</f>
        <v>75500000</v>
      </c>
      <c r="W10" s="4" t="n">
        <f aca="false">V10/Inputs!$B$4</f>
        <v>0.0755</v>
      </c>
    </row>
    <row r="11" customFormat="false" ht="15" hidden="false" customHeight="false" outlineLevel="0" collapsed="false">
      <c r="A11" s="0" t="n">
        <v>6</v>
      </c>
      <c r="B11" s="3" t="n">
        <f aca="false">EDATE(Inputs!$B$5,A11)</f>
        <v>46604</v>
      </c>
      <c r="C11" s="2" t="n">
        <f aca="false">IF(A11=0,Inputs!$E$12,IF(AND(A11&gt;=Inputs!$F$12,A11&lt;=Inputs!$G$12),Inputs!$I$12,0))</f>
        <v>0</v>
      </c>
      <c r="D11" s="2" t="n">
        <f aca="false">IF(A11=0,Inputs!$E$13,IF(AND(A11&gt;=Inputs!$F$13,A11&lt;=Inputs!$G$13),Inputs!$I$13,0))</f>
        <v>0</v>
      </c>
      <c r="E11" s="2" t="n">
        <f aca="false">IF(A11=0,Inputs!$E$14,IF(AND(A11&gt;=Inputs!$F$14,A11&lt;=Inputs!$G$14),Inputs!$I$14,0))</f>
        <v>0</v>
      </c>
      <c r="F11" s="2" t="n">
        <f aca="false">IF(A11=0,Inputs!$E$15,IF(AND(A11&gt;=Inputs!$F$15,A11&lt;=Inputs!$G$15),Inputs!$I$15,0))</f>
        <v>0</v>
      </c>
      <c r="G11" s="2" t="n">
        <f aca="false">IF(A11=0,Inputs!$E$16,IF(AND(A11&gt;=Inputs!$F$16,A11&lt;=Inputs!$G$16),Inputs!$I$16,0))</f>
        <v>0</v>
      </c>
      <c r="H11" s="2" t="n">
        <f aca="false">IF(A11=0,Inputs!$E$17,IF(AND(A11&gt;=Inputs!$F$17,A11&lt;=Inputs!$G$17),Inputs!$I$17,0))</f>
        <v>0</v>
      </c>
      <c r="I11" s="2" t="n">
        <f aca="false">IF(A11=0,Inputs!$E$18,IF(AND(A11&gt;=Inputs!$F$18,A11&lt;=Inputs!$G$18),Inputs!$I$18,0))</f>
        <v>0</v>
      </c>
      <c r="J11" s="2" t="n">
        <f aca="false">IF(A11=0,Inputs!$E$19,IF(AND(A11&gt;=Inputs!$F$19,A11&lt;=Inputs!$G$19),Inputs!$I$19,0))</f>
        <v>0</v>
      </c>
      <c r="K11" s="2" t="n">
        <f aca="false">IF(A11=0,Inputs!$E$20,IF(AND(A11&gt;=Inputs!$F$20,A11&lt;=Inputs!$G$20),Inputs!$I$20,0))</f>
        <v>0</v>
      </c>
      <c r="L11" s="2" t="n">
        <f aca="false">IF(A11=0,Inputs!$E$21,IF(AND(A11&gt;=Inputs!$F$21,A11&lt;=Inputs!$G$21),Inputs!$I$21,0))</f>
        <v>0</v>
      </c>
      <c r="M11" s="2" t="n">
        <f aca="false">IF(A11=0,Inputs!$E$22,IF(AND(A11&gt;=Inputs!$F$22,A11&lt;=Inputs!$G$22),Inputs!$I$22,0))</f>
        <v>0</v>
      </c>
      <c r="N11" s="2" t="n">
        <f aca="false">IF(A11&lt;Inputs!$B$9,0,IF(A11&lt;=12,Inputs!$B$8,Inputs!$B$6*(1-Inputs!$B$7)^(INT((A11-13)/12)+1)/12))</f>
        <v>4000000</v>
      </c>
      <c r="O11" s="2" t="n">
        <f aca="false">IF(A11=0,Inputs!$E$24,IF(AND(A11&gt;=Inputs!$F$24,A11&lt;=Inputs!$G$24),Inputs!$I$24,0))</f>
        <v>500000</v>
      </c>
      <c r="P11" s="2" t="n">
        <f aca="false">IF(A11=0,Inputs!$E$25,IF(AND(A11&gt;=Inputs!$F$25,A11&lt;=Inputs!$G$25),Inputs!$I$25,0))</f>
        <v>0</v>
      </c>
      <c r="Q11" s="2" t="n">
        <f aca="false">IF(A11=0,Inputs!$E$26,IF(AND(A11&gt;=Inputs!$F$26,A11&lt;=Inputs!$G$26),Inputs!$I$26,0))</f>
        <v>0</v>
      </c>
      <c r="R11" s="2" t="n">
        <f aca="false">IF(A11=0,Inputs!$E$27,IF(AND(A11&gt;=Inputs!$F$27,A11&lt;=Inputs!$G$27),Inputs!$I$27,0))</f>
        <v>0</v>
      </c>
      <c r="S11" s="2" t="n">
        <f aca="false">IF(A11=0,Inputs!$E$28,IF(AND(A11&gt;=Inputs!$F$28,A11&lt;=Inputs!$G$28),Inputs!$I$28,0))</f>
        <v>0</v>
      </c>
      <c r="T11" s="2" t="n">
        <f aca="false">IF(A11=0,Inputs!$E$29,IF(AND(A11&gt;=Inputs!$F$29,A11&lt;=Inputs!$G$29),Inputs!$I$29,0))</f>
        <v>0</v>
      </c>
      <c r="U11" s="2" t="n">
        <f aca="false">SUM(C11:T11)</f>
        <v>4500000</v>
      </c>
      <c r="V11" s="2" t="n">
        <f aca="false">V10+U11</f>
        <v>80000000</v>
      </c>
      <c r="W11" s="4" t="n">
        <f aca="false">V11/Inputs!$B$4</f>
        <v>0.08</v>
      </c>
    </row>
    <row r="12" customFormat="false" ht="15" hidden="false" customHeight="false" outlineLevel="0" collapsed="false">
      <c r="A12" s="0" t="n">
        <v>7</v>
      </c>
      <c r="B12" s="3" t="n">
        <f aca="false">EDATE(Inputs!$B$5,A12)</f>
        <v>46635</v>
      </c>
      <c r="C12" s="2" t="n">
        <f aca="false">IF(A12=0,Inputs!$E$12,IF(AND(A12&gt;=Inputs!$F$12,A12&lt;=Inputs!$G$12),Inputs!$I$12,0))</f>
        <v>0</v>
      </c>
      <c r="D12" s="2" t="n">
        <f aca="false">IF(A12=0,Inputs!$E$13,IF(AND(A12&gt;=Inputs!$F$13,A12&lt;=Inputs!$G$13),Inputs!$I$13,0))</f>
        <v>0</v>
      </c>
      <c r="E12" s="2" t="n">
        <f aca="false">IF(A12=0,Inputs!$E$14,IF(AND(A12&gt;=Inputs!$F$14,A12&lt;=Inputs!$G$14),Inputs!$I$14,0))</f>
        <v>0</v>
      </c>
      <c r="F12" s="2" t="n">
        <f aca="false">IF(A12=0,Inputs!$E$15,IF(AND(A12&gt;=Inputs!$F$15,A12&lt;=Inputs!$G$15),Inputs!$I$15,0))</f>
        <v>0</v>
      </c>
      <c r="G12" s="2" t="n">
        <f aca="false">IF(A12=0,Inputs!$E$16,IF(AND(A12&gt;=Inputs!$F$16,A12&lt;=Inputs!$G$16),Inputs!$I$16,0))</f>
        <v>0</v>
      </c>
      <c r="H12" s="2" t="n">
        <f aca="false">IF(A12=0,Inputs!$E$17,IF(AND(A12&gt;=Inputs!$F$17,A12&lt;=Inputs!$G$17),Inputs!$I$17,0))</f>
        <v>0</v>
      </c>
      <c r="I12" s="2" t="n">
        <f aca="false">IF(A12=0,Inputs!$E$18,IF(AND(A12&gt;=Inputs!$F$18,A12&lt;=Inputs!$G$18),Inputs!$I$18,0))</f>
        <v>0</v>
      </c>
      <c r="J12" s="2" t="n">
        <f aca="false">IF(A12=0,Inputs!$E$19,IF(AND(A12&gt;=Inputs!$F$19,A12&lt;=Inputs!$G$19),Inputs!$I$19,0))</f>
        <v>0</v>
      </c>
      <c r="K12" s="2" t="n">
        <f aca="false">IF(A12=0,Inputs!$E$20,IF(AND(A12&gt;=Inputs!$F$20,A12&lt;=Inputs!$G$20),Inputs!$I$20,0))</f>
        <v>0</v>
      </c>
      <c r="L12" s="2" t="n">
        <f aca="false">IF(A12=0,Inputs!$E$21,IF(AND(A12&gt;=Inputs!$F$21,A12&lt;=Inputs!$G$21),Inputs!$I$21,0))</f>
        <v>0</v>
      </c>
      <c r="M12" s="2" t="n">
        <f aca="false">IF(A12=0,Inputs!$E$22,IF(AND(A12&gt;=Inputs!$F$22,A12&lt;=Inputs!$G$22),Inputs!$I$22,0))</f>
        <v>0</v>
      </c>
      <c r="N12" s="2" t="n">
        <f aca="false">IF(A12&lt;Inputs!$B$9,0,IF(A12&lt;=12,Inputs!$B$8,Inputs!$B$6*(1-Inputs!$B$7)^(INT((A12-13)/12)+1)/12))</f>
        <v>4000000</v>
      </c>
      <c r="O12" s="2" t="n">
        <f aca="false">IF(A12=0,Inputs!$E$24,IF(AND(A12&gt;=Inputs!$F$24,A12&lt;=Inputs!$G$24),Inputs!$I$24,0))</f>
        <v>500000</v>
      </c>
      <c r="P12" s="2" t="n">
        <f aca="false">IF(A12=0,Inputs!$E$25,IF(AND(A12&gt;=Inputs!$F$25,A12&lt;=Inputs!$G$25),Inputs!$I$25,0))</f>
        <v>1666666.66666667</v>
      </c>
      <c r="Q12" s="2" t="n">
        <f aca="false">IF(A12=0,Inputs!$E$26,IF(AND(A12&gt;=Inputs!$F$26,A12&lt;=Inputs!$G$26),Inputs!$I$26,0))</f>
        <v>0</v>
      </c>
      <c r="R12" s="2" t="n">
        <f aca="false">IF(A12=0,Inputs!$E$27,IF(AND(A12&gt;=Inputs!$F$27,A12&lt;=Inputs!$G$27),Inputs!$I$27,0))</f>
        <v>0</v>
      </c>
      <c r="S12" s="2" t="n">
        <f aca="false">IF(A12=0,Inputs!$E$28,IF(AND(A12&gt;=Inputs!$F$28,A12&lt;=Inputs!$G$28),Inputs!$I$28,0))</f>
        <v>0</v>
      </c>
      <c r="T12" s="2" t="n">
        <f aca="false">IF(A12=0,Inputs!$E$29,IF(AND(A12&gt;=Inputs!$F$29,A12&lt;=Inputs!$G$29),Inputs!$I$29,0))</f>
        <v>0</v>
      </c>
      <c r="U12" s="2" t="n">
        <f aca="false">SUM(C12:T12)</f>
        <v>6166666.66666667</v>
      </c>
      <c r="V12" s="2" t="n">
        <f aca="false">V11+U12</f>
        <v>86166666.6666667</v>
      </c>
      <c r="W12" s="4" t="n">
        <f aca="false">V12/Inputs!$B$4</f>
        <v>0.0861666666666667</v>
      </c>
    </row>
    <row r="13" customFormat="false" ht="15" hidden="false" customHeight="false" outlineLevel="0" collapsed="false">
      <c r="A13" s="0" t="n">
        <v>8</v>
      </c>
      <c r="B13" s="3" t="n">
        <f aca="false">EDATE(Inputs!$B$5,A13)</f>
        <v>46665</v>
      </c>
      <c r="C13" s="2" t="n">
        <f aca="false">IF(A13=0,Inputs!$E$12,IF(AND(A13&gt;=Inputs!$F$12,A13&lt;=Inputs!$G$12),Inputs!$I$12,0))</f>
        <v>0</v>
      </c>
      <c r="D13" s="2" t="n">
        <f aca="false">IF(A13=0,Inputs!$E$13,IF(AND(A13&gt;=Inputs!$F$13,A13&lt;=Inputs!$G$13),Inputs!$I$13,0))</f>
        <v>0</v>
      </c>
      <c r="E13" s="2" t="n">
        <f aca="false">IF(A13=0,Inputs!$E$14,IF(AND(A13&gt;=Inputs!$F$14,A13&lt;=Inputs!$G$14),Inputs!$I$14,0))</f>
        <v>0</v>
      </c>
      <c r="F13" s="2" t="n">
        <f aca="false">IF(A13=0,Inputs!$E$15,IF(AND(A13&gt;=Inputs!$F$15,A13&lt;=Inputs!$G$15),Inputs!$I$15,0))</f>
        <v>0</v>
      </c>
      <c r="G13" s="2" t="n">
        <f aca="false">IF(A13=0,Inputs!$E$16,IF(AND(A13&gt;=Inputs!$F$16,A13&lt;=Inputs!$G$16),Inputs!$I$16,0))</f>
        <v>0</v>
      </c>
      <c r="H13" s="2" t="n">
        <f aca="false">IF(A13=0,Inputs!$E$17,IF(AND(A13&gt;=Inputs!$F$17,A13&lt;=Inputs!$G$17),Inputs!$I$17,0))</f>
        <v>0</v>
      </c>
      <c r="I13" s="2" t="n">
        <f aca="false">IF(A13=0,Inputs!$E$18,IF(AND(A13&gt;=Inputs!$F$18,A13&lt;=Inputs!$G$18),Inputs!$I$18,0))</f>
        <v>0</v>
      </c>
      <c r="J13" s="2" t="n">
        <f aca="false">IF(A13=0,Inputs!$E$19,IF(AND(A13&gt;=Inputs!$F$19,A13&lt;=Inputs!$G$19),Inputs!$I$19,0))</f>
        <v>0</v>
      </c>
      <c r="K13" s="2" t="n">
        <f aca="false">IF(A13=0,Inputs!$E$20,IF(AND(A13&gt;=Inputs!$F$20,A13&lt;=Inputs!$G$20),Inputs!$I$20,0))</f>
        <v>0</v>
      </c>
      <c r="L13" s="2" t="n">
        <f aca="false">IF(A13=0,Inputs!$E$21,IF(AND(A13&gt;=Inputs!$F$21,A13&lt;=Inputs!$G$21),Inputs!$I$21,0))</f>
        <v>0</v>
      </c>
      <c r="M13" s="2" t="n">
        <f aca="false">IF(A13=0,Inputs!$E$22,IF(AND(A13&gt;=Inputs!$F$22,A13&lt;=Inputs!$G$22),Inputs!$I$22,0))</f>
        <v>0</v>
      </c>
      <c r="N13" s="2" t="n">
        <f aca="false">IF(A13&lt;Inputs!$B$9,0,IF(A13&lt;=12,Inputs!$B$8,Inputs!$B$6*(1-Inputs!$B$7)^(INT((A13-13)/12)+1)/12))</f>
        <v>4000000</v>
      </c>
      <c r="O13" s="2" t="n">
        <f aca="false">IF(A13=0,Inputs!$E$24,IF(AND(A13&gt;=Inputs!$F$24,A13&lt;=Inputs!$G$24),Inputs!$I$24,0))</f>
        <v>500000</v>
      </c>
      <c r="P13" s="2" t="n">
        <f aca="false">IF(A13=0,Inputs!$E$25,IF(AND(A13&gt;=Inputs!$F$25,A13&lt;=Inputs!$G$25),Inputs!$I$25,0))</f>
        <v>1666666.66666667</v>
      </c>
      <c r="Q13" s="2" t="n">
        <f aca="false">IF(A13=0,Inputs!$E$26,IF(AND(A13&gt;=Inputs!$F$26,A13&lt;=Inputs!$G$26),Inputs!$I$26,0))</f>
        <v>0</v>
      </c>
      <c r="R13" s="2" t="n">
        <f aca="false">IF(A13=0,Inputs!$E$27,IF(AND(A13&gt;=Inputs!$F$27,A13&lt;=Inputs!$G$27),Inputs!$I$27,0))</f>
        <v>0</v>
      </c>
      <c r="S13" s="2" t="n">
        <f aca="false">IF(A13=0,Inputs!$E$28,IF(AND(A13&gt;=Inputs!$F$28,A13&lt;=Inputs!$G$28),Inputs!$I$28,0))</f>
        <v>0</v>
      </c>
      <c r="T13" s="2" t="n">
        <f aca="false">IF(A13=0,Inputs!$E$29,IF(AND(A13&gt;=Inputs!$F$29,A13&lt;=Inputs!$G$29),Inputs!$I$29,0))</f>
        <v>0</v>
      </c>
      <c r="U13" s="2" t="n">
        <f aca="false">SUM(C13:T13)</f>
        <v>6166666.66666667</v>
      </c>
      <c r="V13" s="2" t="n">
        <f aca="false">V12+U13</f>
        <v>92333333.3333333</v>
      </c>
      <c r="W13" s="4" t="n">
        <f aca="false">V13/Inputs!$B$4</f>
        <v>0.0923333333333333</v>
      </c>
    </row>
    <row r="14" customFormat="false" ht="15" hidden="false" customHeight="false" outlineLevel="0" collapsed="false">
      <c r="A14" s="0" t="n">
        <v>9</v>
      </c>
      <c r="B14" s="3" t="n">
        <f aca="false">EDATE(Inputs!$B$5,A14)</f>
        <v>46696</v>
      </c>
      <c r="C14" s="2" t="n">
        <f aca="false">IF(A14=0,Inputs!$E$12,IF(AND(A14&gt;=Inputs!$F$12,A14&lt;=Inputs!$G$12),Inputs!$I$12,0))</f>
        <v>0</v>
      </c>
      <c r="D14" s="2" t="n">
        <f aca="false">IF(A14=0,Inputs!$E$13,IF(AND(A14&gt;=Inputs!$F$13,A14&lt;=Inputs!$G$13),Inputs!$I$13,0))</f>
        <v>0</v>
      </c>
      <c r="E14" s="2" t="n">
        <f aca="false">IF(A14=0,Inputs!$E$14,IF(AND(A14&gt;=Inputs!$F$14,A14&lt;=Inputs!$G$14),Inputs!$I$14,0))</f>
        <v>0</v>
      </c>
      <c r="F14" s="2" t="n">
        <f aca="false">IF(A14=0,Inputs!$E$15,IF(AND(A14&gt;=Inputs!$F$15,A14&lt;=Inputs!$G$15),Inputs!$I$15,0))</f>
        <v>0</v>
      </c>
      <c r="G14" s="2" t="n">
        <f aca="false">IF(A14=0,Inputs!$E$16,IF(AND(A14&gt;=Inputs!$F$16,A14&lt;=Inputs!$G$16),Inputs!$I$16,0))</f>
        <v>0</v>
      </c>
      <c r="H14" s="2" t="n">
        <f aca="false">IF(A14=0,Inputs!$E$17,IF(AND(A14&gt;=Inputs!$F$17,A14&lt;=Inputs!$G$17),Inputs!$I$17,0))</f>
        <v>0</v>
      </c>
      <c r="I14" s="2" t="n">
        <f aca="false">IF(A14=0,Inputs!$E$18,IF(AND(A14&gt;=Inputs!$F$18,A14&lt;=Inputs!$G$18),Inputs!$I$18,0))</f>
        <v>0</v>
      </c>
      <c r="J14" s="2" t="n">
        <f aca="false">IF(A14=0,Inputs!$E$19,IF(AND(A14&gt;=Inputs!$F$19,A14&lt;=Inputs!$G$19),Inputs!$I$19,0))</f>
        <v>0</v>
      </c>
      <c r="K14" s="2" t="n">
        <f aca="false">IF(A14=0,Inputs!$E$20,IF(AND(A14&gt;=Inputs!$F$20,A14&lt;=Inputs!$G$20),Inputs!$I$20,0))</f>
        <v>0</v>
      </c>
      <c r="L14" s="2" t="n">
        <f aca="false">IF(A14=0,Inputs!$E$21,IF(AND(A14&gt;=Inputs!$F$21,A14&lt;=Inputs!$G$21),Inputs!$I$21,0))</f>
        <v>0</v>
      </c>
      <c r="M14" s="2" t="n">
        <f aca="false">IF(A14=0,Inputs!$E$22,IF(AND(A14&gt;=Inputs!$F$22,A14&lt;=Inputs!$G$22),Inputs!$I$22,0))</f>
        <v>0</v>
      </c>
      <c r="N14" s="2" t="n">
        <f aca="false">IF(A14&lt;Inputs!$B$9,0,IF(A14&lt;=12,Inputs!$B$8,Inputs!$B$6*(1-Inputs!$B$7)^(INT((A14-13)/12)+1)/12))</f>
        <v>4000000</v>
      </c>
      <c r="O14" s="2" t="n">
        <f aca="false">IF(A14=0,Inputs!$E$24,IF(AND(A14&gt;=Inputs!$F$24,A14&lt;=Inputs!$G$24),Inputs!$I$24,0))</f>
        <v>500000</v>
      </c>
      <c r="P14" s="2" t="n">
        <f aca="false">IF(A14=0,Inputs!$E$25,IF(AND(A14&gt;=Inputs!$F$25,A14&lt;=Inputs!$G$25),Inputs!$I$25,0))</f>
        <v>1666666.66666667</v>
      </c>
      <c r="Q14" s="2" t="n">
        <f aca="false">IF(A14=0,Inputs!$E$26,IF(AND(A14&gt;=Inputs!$F$26,A14&lt;=Inputs!$G$26),Inputs!$I$26,0))</f>
        <v>0</v>
      </c>
      <c r="R14" s="2" t="n">
        <f aca="false">IF(A14=0,Inputs!$E$27,IF(AND(A14&gt;=Inputs!$F$27,A14&lt;=Inputs!$G$27),Inputs!$I$27,0))</f>
        <v>0</v>
      </c>
      <c r="S14" s="2" t="n">
        <f aca="false">IF(A14=0,Inputs!$E$28,IF(AND(A14&gt;=Inputs!$F$28,A14&lt;=Inputs!$G$28),Inputs!$I$28,0))</f>
        <v>0</v>
      </c>
      <c r="T14" s="2" t="n">
        <f aca="false">IF(A14=0,Inputs!$E$29,IF(AND(A14&gt;=Inputs!$F$29,A14&lt;=Inputs!$G$29),Inputs!$I$29,0))</f>
        <v>0</v>
      </c>
      <c r="U14" s="2" t="n">
        <f aca="false">SUM(C14:T14)</f>
        <v>6166666.66666667</v>
      </c>
      <c r="V14" s="2" t="n">
        <f aca="false">V13+U14</f>
        <v>98500000</v>
      </c>
      <c r="W14" s="4" t="n">
        <f aca="false">V14/Inputs!$B$4</f>
        <v>0.0985</v>
      </c>
    </row>
    <row r="15" customFormat="false" ht="15" hidden="false" customHeight="false" outlineLevel="0" collapsed="false">
      <c r="A15" s="0" t="n">
        <v>10</v>
      </c>
      <c r="B15" s="3" t="n">
        <f aca="false">EDATE(Inputs!$B$5,A15)</f>
        <v>46726</v>
      </c>
      <c r="C15" s="2" t="n">
        <f aca="false">IF(A15=0,Inputs!$E$12,IF(AND(A15&gt;=Inputs!$F$12,A15&lt;=Inputs!$G$12),Inputs!$I$12,0))</f>
        <v>0</v>
      </c>
      <c r="D15" s="2" t="n">
        <f aca="false">IF(A15=0,Inputs!$E$13,IF(AND(A15&gt;=Inputs!$F$13,A15&lt;=Inputs!$G$13),Inputs!$I$13,0))</f>
        <v>0</v>
      </c>
      <c r="E15" s="2" t="n">
        <f aca="false">IF(A15=0,Inputs!$E$14,IF(AND(A15&gt;=Inputs!$F$14,A15&lt;=Inputs!$G$14),Inputs!$I$14,0))</f>
        <v>0</v>
      </c>
      <c r="F15" s="2" t="n">
        <f aca="false">IF(A15=0,Inputs!$E$15,IF(AND(A15&gt;=Inputs!$F$15,A15&lt;=Inputs!$G$15),Inputs!$I$15,0))</f>
        <v>0</v>
      </c>
      <c r="G15" s="2" t="n">
        <f aca="false">IF(A15=0,Inputs!$E$16,IF(AND(A15&gt;=Inputs!$F$16,A15&lt;=Inputs!$G$16),Inputs!$I$16,0))</f>
        <v>0</v>
      </c>
      <c r="H15" s="2" t="n">
        <f aca="false">IF(A15=0,Inputs!$E$17,IF(AND(A15&gt;=Inputs!$F$17,A15&lt;=Inputs!$G$17),Inputs!$I$17,0))</f>
        <v>0</v>
      </c>
      <c r="I15" s="2" t="n">
        <f aca="false">IF(A15=0,Inputs!$E$18,IF(AND(A15&gt;=Inputs!$F$18,A15&lt;=Inputs!$G$18),Inputs!$I$18,0))</f>
        <v>0</v>
      </c>
      <c r="J15" s="2" t="n">
        <f aca="false">IF(A15=0,Inputs!$E$19,IF(AND(A15&gt;=Inputs!$F$19,A15&lt;=Inputs!$G$19),Inputs!$I$19,0))</f>
        <v>0</v>
      </c>
      <c r="K15" s="2" t="n">
        <f aca="false">IF(A15=0,Inputs!$E$20,IF(AND(A15&gt;=Inputs!$F$20,A15&lt;=Inputs!$G$20),Inputs!$I$20,0))</f>
        <v>0</v>
      </c>
      <c r="L15" s="2" t="n">
        <f aca="false">IF(A15=0,Inputs!$E$21,IF(AND(A15&gt;=Inputs!$F$21,A15&lt;=Inputs!$G$21),Inputs!$I$21,0))</f>
        <v>0</v>
      </c>
      <c r="M15" s="2" t="n">
        <f aca="false">IF(A15=0,Inputs!$E$22,IF(AND(A15&gt;=Inputs!$F$22,A15&lt;=Inputs!$G$22),Inputs!$I$22,0))</f>
        <v>0</v>
      </c>
      <c r="N15" s="2" t="n">
        <f aca="false">IF(A15&lt;Inputs!$B$9,0,IF(A15&lt;=12,Inputs!$B$8,Inputs!$B$6*(1-Inputs!$B$7)^(INT((A15-13)/12)+1)/12))</f>
        <v>4000000</v>
      </c>
      <c r="O15" s="2" t="n">
        <f aca="false">IF(A15=0,Inputs!$E$24,IF(AND(A15&gt;=Inputs!$F$24,A15&lt;=Inputs!$G$24),Inputs!$I$24,0))</f>
        <v>500000</v>
      </c>
      <c r="P15" s="2" t="n">
        <f aca="false">IF(A15=0,Inputs!$E$25,IF(AND(A15&gt;=Inputs!$F$25,A15&lt;=Inputs!$G$25),Inputs!$I$25,0))</f>
        <v>1666666.66666667</v>
      </c>
      <c r="Q15" s="2" t="n">
        <f aca="false">IF(A15=0,Inputs!$E$26,IF(AND(A15&gt;=Inputs!$F$26,A15&lt;=Inputs!$G$26),Inputs!$I$26,0))</f>
        <v>0</v>
      </c>
      <c r="R15" s="2" t="n">
        <f aca="false">IF(A15=0,Inputs!$E$27,IF(AND(A15&gt;=Inputs!$F$27,A15&lt;=Inputs!$G$27),Inputs!$I$27,0))</f>
        <v>0</v>
      </c>
      <c r="S15" s="2" t="n">
        <f aca="false">IF(A15=0,Inputs!$E$28,IF(AND(A15&gt;=Inputs!$F$28,A15&lt;=Inputs!$G$28),Inputs!$I$28,0))</f>
        <v>0</v>
      </c>
      <c r="T15" s="2" t="n">
        <f aca="false">IF(A15=0,Inputs!$E$29,IF(AND(A15&gt;=Inputs!$F$29,A15&lt;=Inputs!$G$29),Inputs!$I$29,0))</f>
        <v>0</v>
      </c>
      <c r="U15" s="2" t="n">
        <f aca="false">SUM(C15:T15)</f>
        <v>6166666.66666667</v>
      </c>
      <c r="V15" s="2" t="n">
        <f aca="false">V14+U15</f>
        <v>104666666.666667</v>
      </c>
      <c r="W15" s="4" t="n">
        <f aca="false">V15/Inputs!$B$4</f>
        <v>0.104666666666667</v>
      </c>
    </row>
    <row r="16" customFormat="false" ht="15" hidden="false" customHeight="false" outlineLevel="0" collapsed="false">
      <c r="A16" s="0" t="n">
        <v>11</v>
      </c>
      <c r="B16" s="3" t="n">
        <f aca="false">EDATE(Inputs!$B$5,A16)</f>
        <v>46757</v>
      </c>
      <c r="C16" s="2" t="n">
        <f aca="false">IF(A16=0,Inputs!$E$12,IF(AND(A16&gt;=Inputs!$F$12,A16&lt;=Inputs!$G$12),Inputs!$I$12,0))</f>
        <v>0</v>
      </c>
      <c r="D16" s="2" t="n">
        <f aca="false">IF(A16=0,Inputs!$E$13,IF(AND(A16&gt;=Inputs!$F$13,A16&lt;=Inputs!$G$13),Inputs!$I$13,0))</f>
        <v>0</v>
      </c>
      <c r="E16" s="2" t="n">
        <f aca="false">IF(A16=0,Inputs!$E$14,IF(AND(A16&gt;=Inputs!$F$14,A16&lt;=Inputs!$G$14),Inputs!$I$14,0))</f>
        <v>0</v>
      </c>
      <c r="F16" s="2" t="n">
        <f aca="false">IF(A16=0,Inputs!$E$15,IF(AND(A16&gt;=Inputs!$F$15,A16&lt;=Inputs!$G$15),Inputs!$I$15,0))</f>
        <v>0</v>
      </c>
      <c r="G16" s="2" t="n">
        <f aca="false">IF(A16=0,Inputs!$E$16,IF(AND(A16&gt;=Inputs!$F$16,A16&lt;=Inputs!$G$16),Inputs!$I$16,0))</f>
        <v>0</v>
      </c>
      <c r="H16" s="2" t="n">
        <f aca="false">IF(A16=0,Inputs!$E$17,IF(AND(A16&gt;=Inputs!$F$17,A16&lt;=Inputs!$G$17),Inputs!$I$17,0))</f>
        <v>0</v>
      </c>
      <c r="I16" s="2" t="n">
        <f aca="false">IF(A16=0,Inputs!$E$18,IF(AND(A16&gt;=Inputs!$F$18,A16&lt;=Inputs!$G$18),Inputs!$I$18,0))</f>
        <v>0</v>
      </c>
      <c r="J16" s="2" t="n">
        <f aca="false">IF(A16=0,Inputs!$E$19,IF(AND(A16&gt;=Inputs!$F$19,A16&lt;=Inputs!$G$19),Inputs!$I$19,0))</f>
        <v>0</v>
      </c>
      <c r="K16" s="2" t="n">
        <f aca="false">IF(A16=0,Inputs!$E$20,IF(AND(A16&gt;=Inputs!$F$20,A16&lt;=Inputs!$G$20),Inputs!$I$20,0))</f>
        <v>0</v>
      </c>
      <c r="L16" s="2" t="n">
        <f aca="false">IF(A16=0,Inputs!$E$21,IF(AND(A16&gt;=Inputs!$F$21,A16&lt;=Inputs!$G$21),Inputs!$I$21,0))</f>
        <v>0</v>
      </c>
      <c r="M16" s="2" t="n">
        <f aca="false">IF(A16=0,Inputs!$E$22,IF(AND(A16&gt;=Inputs!$F$22,A16&lt;=Inputs!$G$22),Inputs!$I$22,0))</f>
        <v>0</v>
      </c>
      <c r="N16" s="2" t="n">
        <f aca="false">IF(A16&lt;Inputs!$B$9,0,IF(A16&lt;=12,Inputs!$B$8,Inputs!$B$6*(1-Inputs!$B$7)^(INT((A16-13)/12)+1)/12))</f>
        <v>4000000</v>
      </c>
      <c r="O16" s="2" t="n">
        <f aca="false">IF(A16=0,Inputs!$E$24,IF(AND(A16&gt;=Inputs!$F$24,A16&lt;=Inputs!$G$24),Inputs!$I$24,0))</f>
        <v>500000</v>
      </c>
      <c r="P16" s="2" t="n">
        <f aca="false">IF(A16=0,Inputs!$E$25,IF(AND(A16&gt;=Inputs!$F$25,A16&lt;=Inputs!$G$25),Inputs!$I$25,0))</f>
        <v>1666666.66666667</v>
      </c>
      <c r="Q16" s="2" t="n">
        <f aca="false">IF(A16=0,Inputs!$E$26,IF(AND(A16&gt;=Inputs!$F$26,A16&lt;=Inputs!$G$26),Inputs!$I$26,0))</f>
        <v>0</v>
      </c>
      <c r="R16" s="2" t="n">
        <f aca="false">IF(A16=0,Inputs!$E$27,IF(AND(A16&gt;=Inputs!$F$27,A16&lt;=Inputs!$G$27),Inputs!$I$27,0))</f>
        <v>0</v>
      </c>
      <c r="S16" s="2" t="n">
        <f aca="false">IF(A16=0,Inputs!$E$28,IF(AND(A16&gt;=Inputs!$F$28,A16&lt;=Inputs!$G$28),Inputs!$I$28,0))</f>
        <v>0</v>
      </c>
      <c r="T16" s="2" t="n">
        <f aca="false">IF(A16=0,Inputs!$E$29,IF(AND(A16&gt;=Inputs!$F$29,A16&lt;=Inputs!$G$29),Inputs!$I$29,0))</f>
        <v>0</v>
      </c>
      <c r="U16" s="2" t="n">
        <f aca="false">SUM(C16:T16)</f>
        <v>6166666.66666667</v>
      </c>
      <c r="V16" s="2" t="n">
        <f aca="false">V15+U16</f>
        <v>110833333.333333</v>
      </c>
      <c r="W16" s="4" t="n">
        <f aca="false">V16/Inputs!$B$4</f>
        <v>0.110833333333333</v>
      </c>
    </row>
    <row r="17" customFormat="false" ht="15" hidden="false" customHeight="false" outlineLevel="0" collapsed="false">
      <c r="A17" s="0" t="n">
        <v>12</v>
      </c>
      <c r="B17" s="3" t="n">
        <f aca="false">EDATE(Inputs!$B$5,A17)</f>
        <v>46788</v>
      </c>
      <c r="C17" s="2" t="n">
        <f aca="false">IF(A17=0,Inputs!$E$12,IF(AND(A17&gt;=Inputs!$F$12,A17&lt;=Inputs!$G$12),Inputs!$I$12,0))</f>
        <v>0</v>
      </c>
      <c r="D17" s="2" t="n">
        <f aca="false">IF(A17=0,Inputs!$E$13,IF(AND(A17&gt;=Inputs!$F$13,A17&lt;=Inputs!$G$13),Inputs!$I$13,0))</f>
        <v>0</v>
      </c>
      <c r="E17" s="2" t="n">
        <f aca="false">IF(A17=0,Inputs!$E$14,IF(AND(A17&gt;=Inputs!$F$14,A17&lt;=Inputs!$G$14),Inputs!$I$14,0))</f>
        <v>0</v>
      </c>
      <c r="F17" s="2" t="n">
        <f aca="false">IF(A17=0,Inputs!$E$15,IF(AND(A17&gt;=Inputs!$F$15,A17&lt;=Inputs!$G$15),Inputs!$I$15,0))</f>
        <v>0</v>
      </c>
      <c r="G17" s="2" t="n">
        <f aca="false">IF(A17=0,Inputs!$E$16,IF(AND(A17&gt;=Inputs!$F$16,A17&lt;=Inputs!$G$16),Inputs!$I$16,0))</f>
        <v>0</v>
      </c>
      <c r="H17" s="2" t="n">
        <f aca="false">IF(A17=0,Inputs!$E$17,IF(AND(A17&gt;=Inputs!$F$17,A17&lt;=Inputs!$G$17),Inputs!$I$17,0))</f>
        <v>0</v>
      </c>
      <c r="I17" s="2" t="n">
        <f aca="false">IF(A17=0,Inputs!$E$18,IF(AND(A17&gt;=Inputs!$F$18,A17&lt;=Inputs!$G$18),Inputs!$I$18,0))</f>
        <v>0</v>
      </c>
      <c r="J17" s="2" t="n">
        <f aca="false">IF(A17=0,Inputs!$E$19,IF(AND(A17&gt;=Inputs!$F$19,A17&lt;=Inputs!$G$19),Inputs!$I$19,0))</f>
        <v>0</v>
      </c>
      <c r="K17" s="2" t="n">
        <f aca="false">IF(A17=0,Inputs!$E$20,IF(AND(A17&gt;=Inputs!$F$20,A17&lt;=Inputs!$G$20),Inputs!$I$20,0))</f>
        <v>0</v>
      </c>
      <c r="L17" s="2" t="n">
        <f aca="false">IF(A17=0,Inputs!$E$21,IF(AND(A17&gt;=Inputs!$F$21,A17&lt;=Inputs!$G$21),Inputs!$I$21,0))</f>
        <v>0</v>
      </c>
      <c r="M17" s="2" t="n">
        <f aca="false">IF(A17=0,Inputs!$E$22,IF(AND(A17&gt;=Inputs!$F$22,A17&lt;=Inputs!$G$22),Inputs!$I$22,0))</f>
        <v>0</v>
      </c>
      <c r="N17" s="2" t="n">
        <f aca="false">IF(A17&lt;Inputs!$B$9,0,IF(A17&lt;=12,Inputs!$B$8,Inputs!$B$6*(1-Inputs!$B$7)^(INT((A17-13)/12)+1)/12))</f>
        <v>4000000</v>
      </c>
      <c r="O17" s="2" t="n">
        <f aca="false">IF(A17=0,Inputs!$E$24,IF(AND(A17&gt;=Inputs!$F$24,A17&lt;=Inputs!$G$24),Inputs!$I$24,0))</f>
        <v>500000</v>
      </c>
      <c r="P17" s="2" t="n">
        <f aca="false">IF(A17=0,Inputs!$E$25,IF(AND(A17&gt;=Inputs!$F$25,A17&lt;=Inputs!$G$25),Inputs!$I$25,0))</f>
        <v>1666666.66666667</v>
      </c>
      <c r="Q17" s="2" t="n">
        <f aca="false">IF(A17=0,Inputs!$E$26,IF(AND(A17&gt;=Inputs!$F$26,A17&lt;=Inputs!$G$26),Inputs!$I$26,0))</f>
        <v>0</v>
      </c>
      <c r="R17" s="2" t="n">
        <f aca="false">IF(A17=0,Inputs!$E$27,IF(AND(A17&gt;=Inputs!$F$27,A17&lt;=Inputs!$G$27),Inputs!$I$27,0))</f>
        <v>0</v>
      </c>
      <c r="S17" s="2" t="n">
        <f aca="false">IF(A17=0,Inputs!$E$28,IF(AND(A17&gt;=Inputs!$F$28,A17&lt;=Inputs!$G$28),Inputs!$I$28,0))</f>
        <v>0</v>
      </c>
      <c r="T17" s="2" t="n">
        <f aca="false">IF(A17=0,Inputs!$E$29,IF(AND(A17&gt;=Inputs!$F$29,A17&lt;=Inputs!$G$29),Inputs!$I$29,0))</f>
        <v>0</v>
      </c>
      <c r="U17" s="2" t="n">
        <f aca="false">SUM(C17:T17)</f>
        <v>6166666.66666667</v>
      </c>
      <c r="V17" s="2" t="n">
        <f aca="false">V16+U17</f>
        <v>117000000</v>
      </c>
      <c r="W17" s="4" t="n">
        <f aca="false">V17/Inputs!$B$4</f>
        <v>0.117</v>
      </c>
    </row>
    <row r="18" customFormat="false" ht="15" hidden="false" customHeight="false" outlineLevel="0" collapsed="false">
      <c r="A18" s="0" t="n">
        <v>13</v>
      </c>
      <c r="B18" s="3" t="n">
        <f aca="false">EDATE(Inputs!$B$5,A18)</f>
        <v>46817</v>
      </c>
      <c r="C18" s="2" t="n">
        <f aca="false">IF(A18=0,Inputs!$E$12,IF(AND(A18&gt;=Inputs!$F$12,A18&lt;=Inputs!$G$12),Inputs!$I$12,0))</f>
        <v>215237.395833333</v>
      </c>
      <c r="D18" s="2" t="n">
        <f aca="false">IF(A18=0,Inputs!$E$13,IF(AND(A18&gt;=Inputs!$F$13,A18&lt;=Inputs!$G$13),Inputs!$I$13,0))</f>
        <v>568942.8125</v>
      </c>
      <c r="E18" s="2" t="n">
        <f aca="false">IF(A18=0,Inputs!$E$14,IF(AND(A18&gt;=Inputs!$F$14,A18&lt;=Inputs!$G$14),Inputs!$I$14,0))</f>
        <v>341365.708333333</v>
      </c>
      <c r="F18" s="2" t="n">
        <f aca="false">IF(A18=0,Inputs!$E$15,IF(AND(A18&gt;=Inputs!$F$15,A18&lt;=Inputs!$G$15),Inputs!$I$15,0))</f>
        <v>227577.145833333</v>
      </c>
      <c r="G18" s="2" t="n">
        <f aca="false">IF(A18=0,Inputs!$E$16,IF(AND(A18&gt;=Inputs!$F$16,A18&lt;=Inputs!$G$16),Inputs!$I$16,0))</f>
        <v>227577.145833333</v>
      </c>
      <c r="H18" s="2" t="n">
        <f aca="false">IF(A18=0,Inputs!$E$17,IF(AND(A18&gt;=Inputs!$F$17,A18&lt;=Inputs!$G$17),Inputs!$I$17,0))</f>
        <v>227577.145833333</v>
      </c>
      <c r="I18" s="2" t="n">
        <f aca="false">IF(A18=0,Inputs!$E$18,IF(AND(A18&gt;=Inputs!$F$18,A18&lt;=Inputs!$G$18),Inputs!$I$18,0))</f>
        <v>227577.145833333</v>
      </c>
      <c r="J18" s="2" t="n">
        <f aca="false">IF(A18=0,Inputs!$E$19,IF(AND(A18&gt;=Inputs!$F$19,A18&lt;=Inputs!$G$19),Inputs!$I$19,0))</f>
        <v>47478.8333333333</v>
      </c>
      <c r="K18" s="2" t="n">
        <f aca="false">IF(A18=0,Inputs!$E$20,IF(AND(A18&gt;=Inputs!$F$20,A18&lt;=Inputs!$G$20),Inputs!$I$20,0))</f>
        <v>7291666.66666667</v>
      </c>
      <c r="L18" s="2" t="n">
        <f aca="false">IF(A18=0,Inputs!$E$21,IF(AND(A18&gt;=Inputs!$F$21,A18&lt;=Inputs!$G$21),Inputs!$I$21,0))</f>
        <v>833333.333333333</v>
      </c>
      <c r="M18" s="2" t="n">
        <f aca="false">IF(A18=0,Inputs!$E$22,IF(AND(A18&gt;=Inputs!$F$22,A18&lt;=Inputs!$G$22),Inputs!$I$22,0))</f>
        <v>0</v>
      </c>
      <c r="N18" s="2" t="n">
        <f aca="false">IF(A18&lt;Inputs!$B$9,0,IF(A18&lt;=12,Inputs!$B$8,Inputs!$B$6*(1-Inputs!$B$7)^(INT((A18-13)/12)+1)/12))</f>
        <v>3400000</v>
      </c>
      <c r="O18" s="2" t="n">
        <f aca="false">IF(A18=0,Inputs!$E$24,IF(AND(A18&gt;=Inputs!$F$24,A18&lt;=Inputs!$G$24),Inputs!$I$24,0))</f>
        <v>500000</v>
      </c>
      <c r="P18" s="2" t="n">
        <f aca="false">IF(A18=0,Inputs!$E$25,IF(AND(A18&gt;=Inputs!$F$25,A18&lt;=Inputs!$G$25),Inputs!$I$25,0))</f>
        <v>1666666.66666667</v>
      </c>
      <c r="Q18" s="2" t="n">
        <f aca="false">IF(A18=0,Inputs!$E$26,IF(AND(A18&gt;=Inputs!$F$26,A18&lt;=Inputs!$G$26),Inputs!$I$26,0))</f>
        <v>1666666.66666667</v>
      </c>
      <c r="R18" s="2" t="n">
        <f aca="false">IF(A18=0,Inputs!$E$27,IF(AND(A18&gt;=Inputs!$F$27,A18&lt;=Inputs!$G$27),Inputs!$I$27,0))</f>
        <v>0</v>
      </c>
      <c r="S18" s="2" t="n">
        <f aca="false">IF(A18=0,Inputs!$E$28,IF(AND(A18&gt;=Inputs!$F$28,A18&lt;=Inputs!$G$28),Inputs!$I$28,0))</f>
        <v>0</v>
      </c>
      <c r="T18" s="2" t="n">
        <f aca="false">IF(A18=0,Inputs!$E$29,IF(AND(A18&gt;=Inputs!$F$29,A18&lt;=Inputs!$G$29),Inputs!$I$29,0))</f>
        <v>0</v>
      </c>
      <c r="U18" s="2" t="n">
        <f aca="false">SUM(C18:T18)</f>
        <v>17441666.6666667</v>
      </c>
      <c r="V18" s="2" t="n">
        <f aca="false">V17+U18</f>
        <v>134441666.666667</v>
      </c>
      <c r="W18" s="4" t="n">
        <f aca="false">V18/Inputs!$B$4</f>
        <v>0.134441666666667</v>
      </c>
    </row>
    <row r="19" customFormat="false" ht="15" hidden="false" customHeight="false" outlineLevel="0" collapsed="false">
      <c r="A19" s="0" t="n">
        <v>14</v>
      </c>
      <c r="B19" s="3" t="n">
        <f aca="false">EDATE(Inputs!$B$5,A19)</f>
        <v>46848</v>
      </c>
      <c r="C19" s="2" t="n">
        <f aca="false">IF(A19=0,Inputs!$E$12,IF(AND(A19&gt;=Inputs!$F$12,A19&lt;=Inputs!$G$12),Inputs!$I$12,0))</f>
        <v>215237.395833333</v>
      </c>
      <c r="D19" s="2" t="n">
        <f aca="false">IF(A19=0,Inputs!$E$13,IF(AND(A19&gt;=Inputs!$F$13,A19&lt;=Inputs!$G$13),Inputs!$I$13,0))</f>
        <v>568942.8125</v>
      </c>
      <c r="E19" s="2" t="n">
        <f aca="false">IF(A19=0,Inputs!$E$14,IF(AND(A19&gt;=Inputs!$F$14,A19&lt;=Inputs!$G$14),Inputs!$I$14,0))</f>
        <v>341365.708333333</v>
      </c>
      <c r="F19" s="2" t="n">
        <f aca="false">IF(A19=0,Inputs!$E$15,IF(AND(A19&gt;=Inputs!$F$15,A19&lt;=Inputs!$G$15),Inputs!$I$15,0))</f>
        <v>227577.145833333</v>
      </c>
      <c r="G19" s="2" t="n">
        <f aca="false">IF(A19=0,Inputs!$E$16,IF(AND(A19&gt;=Inputs!$F$16,A19&lt;=Inputs!$G$16),Inputs!$I$16,0))</f>
        <v>227577.145833333</v>
      </c>
      <c r="H19" s="2" t="n">
        <f aca="false">IF(A19=0,Inputs!$E$17,IF(AND(A19&gt;=Inputs!$F$17,A19&lt;=Inputs!$G$17),Inputs!$I$17,0))</f>
        <v>227577.145833333</v>
      </c>
      <c r="I19" s="2" t="n">
        <f aca="false">IF(A19=0,Inputs!$E$18,IF(AND(A19&gt;=Inputs!$F$18,A19&lt;=Inputs!$G$18),Inputs!$I$18,0))</f>
        <v>227577.145833333</v>
      </c>
      <c r="J19" s="2" t="n">
        <f aca="false">IF(A19=0,Inputs!$E$19,IF(AND(A19&gt;=Inputs!$F$19,A19&lt;=Inputs!$G$19),Inputs!$I$19,0))</f>
        <v>47478.8333333333</v>
      </c>
      <c r="K19" s="2" t="n">
        <f aca="false">IF(A19=0,Inputs!$E$20,IF(AND(A19&gt;=Inputs!$F$20,A19&lt;=Inputs!$G$20),Inputs!$I$20,0))</f>
        <v>7291666.66666667</v>
      </c>
      <c r="L19" s="2" t="n">
        <f aca="false">IF(A19=0,Inputs!$E$21,IF(AND(A19&gt;=Inputs!$F$21,A19&lt;=Inputs!$G$21),Inputs!$I$21,0))</f>
        <v>833333.333333333</v>
      </c>
      <c r="M19" s="2" t="n">
        <f aca="false">IF(A19=0,Inputs!$E$22,IF(AND(A19&gt;=Inputs!$F$22,A19&lt;=Inputs!$G$22),Inputs!$I$22,0))</f>
        <v>0</v>
      </c>
      <c r="N19" s="2" t="n">
        <f aca="false">IF(A19&lt;Inputs!$B$9,0,IF(A19&lt;=12,Inputs!$B$8,Inputs!$B$6*(1-Inputs!$B$7)^(INT((A19-13)/12)+1)/12))</f>
        <v>3400000</v>
      </c>
      <c r="O19" s="2" t="n">
        <f aca="false">IF(A19=0,Inputs!$E$24,IF(AND(A19&gt;=Inputs!$F$24,A19&lt;=Inputs!$G$24),Inputs!$I$24,0))</f>
        <v>500000</v>
      </c>
      <c r="P19" s="2" t="n">
        <f aca="false">IF(A19=0,Inputs!$E$25,IF(AND(A19&gt;=Inputs!$F$25,A19&lt;=Inputs!$G$25),Inputs!$I$25,0))</f>
        <v>1666666.66666667</v>
      </c>
      <c r="Q19" s="2" t="n">
        <f aca="false">IF(A19=0,Inputs!$E$26,IF(AND(A19&gt;=Inputs!$F$26,A19&lt;=Inputs!$G$26),Inputs!$I$26,0))</f>
        <v>1666666.66666667</v>
      </c>
      <c r="R19" s="2" t="n">
        <f aca="false">IF(A19=0,Inputs!$E$27,IF(AND(A19&gt;=Inputs!$F$27,A19&lt;=Inputs!$G$27),Inputs!$I$27,0))</f>
        <v>2000000</v>
      </c>
      <c r="S19" s="2" t="n">
        <f aca="false">IF(A19=0,Inputs!$E$28,IF(AND(A19&gt;=Inputs!$F$28,A19&lt;=Inputs!$G$28),Inputs!$I$28,0))</f>
        <v>0</v>
      </c>
      <c r="T19" s="2" t="n">
        <f aca="false">IF(A19=0,Inputs!$E$29,IF(AND(A19&gt;=Inputs!$F$29,A19&lt;=Inputs!$G$29),Inputs!$I$29,0))</f>
        <v>0</v>
      </c>
      <c r="U19" s="2" t="n">
        <f aca="false">SUM(C19:T19)</f>
        <v>19441666.6666667</v>
      </c>
      <c r="V19" s="2" t="n">
        <f aca="false">V18+U19</f>
        <v>153883333.333333</v>
      </c>
      <c r="W19" s="4" t="n">
        <f aca="false">V19/Inputs!$B$4</f>
        <v>0.153883333333333</v>
      </c>
    </row>
    <row r="20" customFormat="false" ht="15" hidden="false" customHeight="false" outlineLevel="0" collapsed="false">
      <c r="A20" s="0" t="n">
        <v>15</v>
      </c>
      <c r="B20" s="3" t="n">
        <f aca="false">EDATE(Inputs!$B$5,A20)</f>
        <v>46878</v>
      </c>
      <c r="C20" s="2" t="n">
        <f aca="false">IF(A20=0,Inputs!$E$12,IF(AND(A20&gt;=Inputs!$F$12,A20&lt;=Inputs!$G$12),Inputs!$I$12,0))</f>
        <v>215237.395833333</v>
      </c>
      <c r="D20" s="2" t="n">
        <f aca="false">IF(A20=0,Inputs!$E$13,IF(AND(A20&gt;=Inputs!$F$13,A20&lt;=Inputs!$G$13),Inputs!$I$13,0))</f>
        <v>568942.8125</v>
      </c>
      <c r="E20" s="2" t="n">
        <f aca="false">IF(A20=0,Inputs!$E$14,IF(AND(A20&gt;=Inputs!$F$14,A20&lt;=Inputs!$G$14),Inputs!$I$14,0))</f>
        <v>341365.708333333</v>
      </c>
      <c r="F20" s="2" t="n">
        <f aca="false">IF(A20=0,Inputs!$E$15,IF(AND(A20&gt;=Inputs!$F$15,A20&lt;=Inputs!$G$15),Inputs!$I$15,0))</f>
        <v>227577.145833333</v>
      </c>
      <c r="G20" s="2" t="n">
        <f aca="false">IF(A20=0,Inputs!$E$16,IF(AND(A20&gt;=Inputs!$F$16,A20&lt;=Inputs!$G$16),Inputs!$I$16,0))</f>
        <v>227577.145833333</v>
      </c>
      <c r="H20" s="2" t="n">
        <f aca="false">IF(A20=0,Inputs!$E$17,IF(AND(A20&gt;=Inputs!$F$17,A20&lt;=Inputs!$G$17),Inputs!$I$17,0))</f>
        <v>227577.145833333</v>
      </c>
      <c r="I20" s="2" t="n">
        <f aca="false">IF(A20=0,Inputs!$E$18,IF(AND(A20&gt;=Inputs!$F$18,A20&lt;=Inputs!$G$18),Inputs!$I$18,0))</f>
        <v>227577.145833333</v>
      </c>
      <c r="J20" s="2" t="n">
        <f aca="false">IF(A20=0,Inputs!$E$19,IF(AND(A20&gt;=Inputs!$F$19,A20&lt;=Inputs!$G$19),Inputs!$I$19,0))</f>
        <v>47478.8333333333</v>
      </c>
      <c r="K20" s="2" t="n">
        <f aca="false">IF(A20=0,Inputs!$E$20,IF(AND(A20&gt;=Inputs!$F$20,A20&lt;=Inputs!$G$20),Inputs!$I$20,0))</f>
        <v>7291666.66666667</v>
      </c>
      <c r="L20" s="2" t="n">
        <f aca="false">IF(A20=0,Inputs!$E$21,IF(AND(A20&gt;=Inputs!$F$21,A20&lt;=Inputs!$G$21),Inputs!$I$21,0))</f>
        <v>833333.333333333</v>
      </c>
      <c r="M20" s="2" t="n">
        <f aca="false">IF(A20=0,Inputs!$E$22,IF(AND(A20&gt;=Inputs!$F$22,A20&lt;=Inputs!$G$22),Inputs!$I$22,0))</f>
        <v>0</v>
      </c>
      <c r="N20" s="2" t="n">
        <f aca="false">IF(A20&lt;Inputs!$B$9,0,IF(A20&lt;=12,Inputs!$B$8,Inputs!$B$6*(1-Inputs!$B$7)^(INT((A20-13)/12)+1)/12))</f>
        <v>3400000</v>
      </c>
      <c r="O20" s="2" t="n">
        <f aca="false">IF(A20=0,Inputs!$E$24,IF(AND(A20&gt;=Inputs!$F$24,A20&lt;=Inputs!$G$24),Inputs!$I$24,0))</f>
        <v>500000</v>
      </c>
      <c r="P20" s="2" t="n">
        <f aca="false">IF(A20=0,Inputs!$E$25,IF(AND(A20&gt;=Inputs!$F$25,A20&lt;=Inputs!$G$25),Inputs!$I$25,0))</f>
        <v>1666666.66666667</v>
      </c>
      <c r="Q20" s="2" t="n">
        <f aca="false">IF(A20=0,Inputs!$E$26,IF(AND(A20&gt;=Inputs!$F$26,A20&lt;=Inputs!$G$26),Inputs!$I$26,0))</f>
        <v>1666666.66666667</v>
      </c>
      <c r="R20" s="2" t="n">
        <f aca="false">IF(A20=0,Inputs!$E$27,IF(AND(A20&gt;=Inputs!$F$27,A20&lt;=Inputs!$G$27),Inputs!$I$27,0))</f>
        <v>2000000</v>
      </c>
      <c r="S20" s="2" t="n">
        <f aca="false">IF(A20=0,Inputs!$E$28,IF(AND(A20&gt;=Inputs!$F$28,A20&lt;=Inputs!$G$28),Inputs!$I$28,0))</f>
        <v>0</v>
      </c>
      <c r="T20" s="2" t="n">
        <f aca="false">IF(A20=0,Inputs!$E$29,IF(AND(A20&gt;=Inputs!$F$29,A20&lt;=Inputs!$G$29),Inputs!$I$29,0))</f>
        <v>0</v>
      </c>
      <c r="U20" s="2" t="n">
        <f aca="false">SUM(C20:T20)</f>
        <v>19441666.6666667</v>
      </c>
      <c r="V20" s="2" t="n">
        <f aca="false">V19+U20</f>
        <v>173325000</v>
      </c>
      <c r="W20" s="4" t="n">
        <f aca="false">V20/Inputs!$B$4</f>
        <v>0.173325</v>
      </c>
    </row>
    <row r="21" customFormat="false" ht="15" hidden="false" customHeight="false" outlineLevel="0" collapsed="false">
      <c r="A21" s="0" t="n">
        <v>16</v>
      </c>
      <c r="B21" s="3" t="n">
        <f aca="false">EDATE(Inputs!$B$5,A21)</f>
        <v>46909</v>
      </c>
      <c r="C21" s="2" t="n">
        <f aca="false">IF(A21=0,Inputs!$E$12,IF(AND(A21&gt;=Inputs!$F$12,A21&lt;=Inputs!$G$12),Inputs!$I$12,0))</f>
        <v>215237.395833333</v>
      </c>
      <c r="D21" s="2" t="n">
        <f aca="false">IF(A21=0,Inputs!$E$13,IF(AND(A21&gt;=Inputs!$F$13,A21&lt;=Inputs!$G$13),Inputs!$I$13,0))</f>
        <v>568942.8125</v>
      </c>
      <c r="E21" s="2" t="n">
        <f aca="false">IF(A21=0,Inputs!$E$14,IF(AND(A21&gt;=Inputs!$F$14,A21&lt;=Inputs!$G$14),Inputs!$I$14,0))</f>
        <v>341365.708333333</v>
      </c>
      <c r="F21" s="2" t="n">
        <f aca="false">IF(A21=0,Inputs!$E$15,IF(AND(A21&gt;=Inputs!$F$15,A21&lt;=Inputs!$G$15),Inputs!$I$15,0))</f>
        <v>227577.145833333</v>
      </c>
      <c r="G21" s="2" t="n">
        <f aca="false">IF(A21=0,Inputs!$E$16,IF(AND(A21&gt;=Inputs!$F$16,A21&lt;=Inputs!$G$16),Inputs!$I$16,0))</f>
        <v>227577.145833333</v>
      </c>
      <c r="H21" s="2" t="n">
        <f aca="false">IF(A21=0,Inputs!$E$17,IF(AND(A21&gt;=Inputs!$F$17,A21&lt;=Inputs!$G$17),Inputs!$I$17,0))</f>
        <v>227577.145833333</v>
      </c>
      <c r="I21" s="2" t="n">
        <f aca="false">IF(A21=0,Inputs!$E$18,IF(AND(A21&gt;=Inputs!$F$18,A21&lt;=Inputs!$G$18),Inputs!$I$18,0))</f>
        <v>227577.145833333</v>
      </c>
      <c r="J21" s="2" t="n">
        <f aca="false">IF(A21=0,Inputs!$E$19,IF(AND(A21&gt;=Inputs!$F$19,A21&lt;=Inputs!$G$19),Inputs!$I$19,0))</f>
        <v>47478.8333333333</v>
      </c>
      <c r="K21" s="2" t="n">
        <f aca="false">IF(A21=0,Inputs!$E$20,IF(AND(A21&gt;=Inputs!$F$20,A21&lt;=Inputs!$G$20),Inputs!$I$20,0))</f>
        <v>7291666.66666667</v>
      </c>
      <c r="L21" s="2" t="n">
        <f aca="false">IF(A21=0,Inputs!$E$21,IF(AND(A21&gt;=Inputs!$F$21,A21&lt;=Inputs!$G$21),Inputs!$I$21,0))</f>
        <v>833333.333333333</v>
      </c>
      <c r="M21" s="2" t="n">
        <f aca="false">IF(A21=0,Inputs!$E$22,IF(AND(A21&gt;=Inputs!$F$22,A21&lt;=Inputs!$G$22),Inputs!$I$22,0))</f>
        <v>0</v>
      </c>
      <c r="N21" s="2" t="n">
        <f aca="false">IF(A21&lt;Inputs!$B$9,0,IF(A21&lt;=12,Inputs!$B$8,Inputs!$B$6*(1-Inputs!$B$7)^(INT((A21-13)/12)+1)/12))</f>
        <v>3400000</v>
      </c>
      <c r="O21" s="2" t="n">
        <f aca="false">IF(A21=0,Inputs!$E$24,IF(AND(A21&gt;=Inputs!$F$24,A21&lt;=Inputs!$G$24),Inputs!$I$24,0))</f>
        <v>500000</v>
      </c>
      <c r="P21" s="2" t="n">
        <f aca="false">IF(A21=0,Inputs!$E$25,IF(AND(A21&gt;=Inputs!$F$25,A21&lt;=Inputs!$G$25),Inputs!$I$25,0))</f>
        <v>1666666.66666667</v>
      </c>
      <c r="Q21" s="2" t="n">
        <f aca="false">IF(A21=0,Inputs!$E$26,IF(AND(A21&gt;=Inputs!$F$26,A21&lt;=Inputs!$G$26),Inputs!$I$26,0))</f>
        <v>1666666.66666667</v>
      </c>
      <c r="R21" s="2" t="n">
        <f aca="false">IF(A21=0,Inputs!$E$27,IF(AND(A21&gt;=Inputs!$F$27,A21&lt;=Inputs!$G$27),Inputs!$I$27,0))</f>
        <v>2000000</v>
      </c>
      <c r="S21" s="2" t="n">
        <f aca="false">IF(A21=0,Inputs!$E$28,IF(AND(A21&gt;=Inputs!$F$28,A21&lt;=Inputs!$G$28),Inputs!$I$28,0))</f>
        <v>0</v>
      </c>
      <c r="T21" s="2" t="n">
        <f aca="false">IF(A21=0,Inputs!$E$29,IF(AND(A21&gt;=Inputs!$F$29,A21&lt;=Inputs!$G$29),Inputs!$I$29,0))</f>
        <v>0</v>
      </c>
      <c r="U21" s="2" t="n">
        <f aca="false">SUM(C21:T21)</f>
        <v>19441666.6666667</v>
      </c>
      <c r="V21" s="2" t="n">
        <f aca="false">V20+U21</f>
        <v>192766666.666667</v>
      </c>
      <c r="W21" s="4" t="n">
        <f aca="false">V21/Inputs!$B$4</f>
        <v>0.192766666666667</v>
      </c>
    </row>
    <row r="22" customFormat="false" ht="15" hidden="false" customHeight="false" outlineLevel="0" collapsed="false">
      <c r="A22" s="0" t="n">
        <v>17</v>
      </c>
      <c r="B22" s="3" t="n">
        <f aca="false">EDATE(Inputs!$B$5,A22)</f>
        <v>46939</v>
      </c>
      <c r="C22" s="2" t="n">
        <f aca="false">IF(A22=0,Inputs!$E$12,IF(AND(A22&gt;=Inputs!$F$12,A22&lt;=Inputs!$G$12),Inputs!$I$12,0))</f>
        <v>215237.395833333</v>
      </c>
      <c r="D22" s="2" t="n">
        <f aca="false">IF(A22=0,Inputs!$E$13,IF(AND(A22&gt;=Inputs!$F$13,A22&lt;=Inputs!$G$13),Inputs!$I$13,0))</f>
        <v>568942.8125</v>
      </c>
      <c r="E22" s="2" t="n">
        <f aca="false">IF(A22=0,Inputs!$E$14,IF(AND(A22&gt;=Inputs!$F$14,A22&lt;=Inputs!$G$14),Inputs!$I$14,0))</f>
        <v>341365.708333333</v>
      </c>
      <c r="F22" s="2" t="n">
        <f aca="false">IF(A22=0,Inputs!$E$15,IF(AND(A22&gt;=Inputs!$F$15,A22&lt;=Inputs!$G$15),Inputs!$I$15,0))</f>
        <v>227577.145833333</v>
      </c>
      <c r="G22" s="2" t="n">
        <f aca="false">IF(A22=0,Inputs!$E$16,IF(AND(A22&gt;=Inputs!$F$16,A22&lt;=Inputs!$G$16),Inputs!$I$16,0))</f>
        <v>227577.145833333</v>
      </c>
      <c r="H22" s="2" t="n">
        <f aca="false">IF(A22=0,Inputs!$E$17,IF(AND(A22&gt;=Inputs!$F$17,A22&lt;=Inputs!$G$17),Inputs!$I$17,0))</f>
        <v>227577.145833333</v>
      </c>
      <c r="I22" s="2" t="n">
        <f aca="false">IF(A22=0,Inputs!$E$18,IF(AND(A22&gt;=Inputs!$F$18,A22&lt;=Inputs!$G$18),Inputs!$I$18,0))</f>
        <v>227577.145833333</v>
      </c>
      <c r="J22" s="2" t="n">
        <f aca="false">IF(A22=0,Inputs!$E$19,IF(AND(A22&gt;=Inputs!$F$19,A22&lt;=Inputs!$G$19),Inputs!$I$19,0))</f>
        <v>47478.8333333333</v>
      </c>
      <c r="K22" s="2" t="n">
        <f aca="false">IF(A22=0,Inputs!$E$20,IF(AND(A22&gt;=Inputs!$F$20,A22&lt;=Inputs!$G$20),Inputs!$I$20,0))</f>
        <v>7291666.66666667</v>
      </c>
      <c r="L22" s="2" t="n">
        <f aca="false">IF(A22=0,Inputs!$E$21,IF(AND(A22&gt;=Inputs!$F$21,A22&lt;=Inputs!$G$21),Inputs!$I$21,0))</f>
        <v>833333.333333333</v>
      </c>
      <c r="M22" s="2" t="n">
        <f aca="false">IF(A22=0,Inputs!$E$22,IF(AND(A22&gt;=Inputs!$F$22,A22&lt;=Inputs!$G$22),Inputs!$I$22,0))</f>
        <v>0</v>
      </c>
      <c r="N22" s="2" t="n">
        <f aca="false">IF(A22&lt;Inputs!$B$9,0,IF(A22&lt;=12,Inputs!$B$8,Inputs!$B$6*(1-Inputs!$B$7)^(INT((A22-13)/12)+1)/12))</f>
        <v>3400000</v>
      </c>
      <c r="O22" s="2" t="n">
        <f aca="false">IF(A22=0,Inputs!$E$24,IF(AND(A22&gt;=Inputs!$F$24,A22&lt;=Inputs!$G$24),Inputs!$I$24,0))</f>
        <v>500000</v>
      </c>
      <c r="P22" s="2" t="n">
        <f aca="false">IF(A22=0,Inputs!$E$25,IF(AND(A22&gt;=Inputs!$F$25,A22&lt;=Inputs!$G$25),Inputs!$I$25,0))</f>
        <v>1666666.66666667</v>
      </c>
      <c r="Q22" s="2" t="n">
        <f aca="false">IF(A22=0,Inputs!$E$26,IF(AND(A22&gt;=Inputs!$F$26,A22&lt;=Inputs!$G$26),Inputs!$I$26,0))</f>
        <v>1666666.66666667</v>
      </c>
      <c r="R22" s="2" t="n">
        <f aca="false">IF(A22=0,Inputs!$E$27,IF(AND(A22&gt;=Inputs!$F$27,A22&lt;=Inputs!$G$27),Inputs!$I$27,0))</f>
        <v>2000000</v>
      </c>
      <c r="S22" s="2" t="n">
        <f aca="false">IF(A22=0,Inputs!$E$28,IF(AND(A22&gt;=Inputs!$F$28,A22&lt;=Inputs!$G$28),Inputs!$I$28,0))</f>
        <v>0</v>
      </c>
      <c r="T22" s="2" t="n">
        <f aca="false">IF(A22=0,Inputs!$E$29,IF(AND(A22&gt;=Inputs!$F$29,A22&lt;=Inputs!$G$29),Inputs!$I$29,0))</f>
        <v>0</v>
      </c>
      <c r="U22" s="2" t="n">
        <f aca="false">SUM(C22:T22)</f>
        <v>19441666.6666667</v>
      </c>
      <c r="V22" s="2" t="n">
        <f aca="false">V21+U22</f>
        <v>212208333.333333</v>
      </c>
      <c r="W22" s="4" t="n">
        <f aca="false">V22/Inputs!$B$4</f>
        <v>0.212208333333333</v>
      </c>
    </row>
    <row r="23" customFormat="false" ht="15" hidden="false" customHeight="false" outlineLevel="0" collapsed="false">
      <c r="A23" s="0" t="n">
        <v>18</v>
      </c>
      <c r="B23" s="3" t="n">
        <f aca="false">EDATE(Inputs!$B$5,A23)</f>
        <v>46970</v>
      </c>
      <c r="C23" s="2" t="n">
        <f aca="false">IF(A23=0,Inputs!$E$12,IF(AND(A23&gt;=Inputs!$F$12,A23&lt;=Inputs!$G$12),Inputs!$I$12,0))</f>
        <v>215237.395833333</v>
      </c>
      <c r="D23" s="2" t="n">
        <f aca="false">IF(A23=0,Inputs!$E$13,IF(AND(A23&gt;=Inputs!$F$13,A23&lt;=Inputs!$G$13),Inputs!$I$13,0))</f>
        <v>568942.8125</v>
      </c>
      <c r="E23" s="2" t="n">
        <f aca="false">IF(A23=0,Inputs!$E$14,IF(AND(A23&gt;=Inputs!$F$14,A23&lt;=Inputs!$G$14),Inputs!$I$14,0))</f>
        <v>341365.708333333</v>
      </c>
      <c r="F23" s="2" t="n">
        <f aca="false">IF(A23=0,Inputs!$E$15,IF(AND(A23&gt;=Inputs!$F$15,A23&lt;=Inputs!$G$15),Inputs!$I$15,0))</f>
        <v>227577.145833333</v>
      </c>
      <c r="G23" s="2" t="n">
        <f aca="false">IF(A23=0,Inputs!$E$16,IF(AND(A23&gt;=Inputs!$F$16,A23&lt;=Inputs!$G$16),Inputs!$I$16,0))</f>
        <v>227577.145833333</v>
      </c>
      <c r="H23" s="2" t="n">
        <f aca="false">IF(A23=0,Inputs!$E$17,IF(AND(A23&gt;=Inputs!$F$17,A23&lt;=Inputs!$G$17),Inputs!$I$17,0))</f>
        <v>227577.145833333</v>
      </c>
      <c r="I23" s="2" t="n">
        <f aca="false">IF(A23=0,Inputs!$E$18,IF(AND(A23&gt;=Inputs!$F$18,A23&lt;=Inputs!$G$18),Inputs!$I$18,0))</f>
        <v>227577.145833333</v>
      </c>
      <c r="J23" s="2" t="n">
        <f aca="false">IF(A23=0,Inputs!$E$19,IF(AND(A23&gt;=Inputs!$F$19,A23&lt;=Inputs!$G$19),Inputs!$I$19,0))</f>
        <v>47478.8333333333</v>
      </c>
      <c r="K23" s="2" t="n">
        <f aca="false">IF(A23=0,Inputs!$E$20,IF(AND(A23&gt;=Inputs!$F$20,A23&lt;=Inputs!$G$20),Inputs!$I$20,0))</f>
        <v>7291666.66666667</v>
      </c>
      <c r="L23" s="2" t="n">
        <f aca="false">IF(A23=0,Inputs!$E$21,IF(AND(A23&gt;=Inputs!$F$21,A23&lt;=Inputs!$G$21),Inputs!$I$21,0))</f>
        <v>833333.333333333</v>
      </c>
      <c r="M23" s="2" t="n">
        <f aca="false">IF(A23=0,Inputs!$E$22,IF(AND(A23&gt;=Inputs!$F$22,A23&lt;=Inputs!$G$22),Inputs!$I$22,0))</f>
        <v>0</v>
      </c>
      <c r="N23" s="2" t="n">
        <f aca="false">IF(A23&lt;Inputs!$B$9,0,IF(A23&lt;=12,Inputs!$B$8,Inputs!$B$6*(1-Inputs!$B$7)^(INT((A23-13)/12)+1)/12))</f>
        <v>3400000</v>
      </c>
      <c r="O23" s="2" t="n">
        <f aca="false">IF(A23=0,Inputs!$E$24,IF(AND(A23&gt;=Inputs!$F$24,A23&lt;=Inputs!$G$24),Inputs!$I$24,0))</f>
        <v>500000</v>
      </c>
      <c r="P23" s="2" t="n">
        <f aca="false">IF(A23=0,Inputs!$E$25,IF(AND(A23&gt;=Inputs!$F$25,A23&lt;=Inputs!$G$25),Inputs!$I$25,0))</f>
        <v>1666666.66666667</v>
      </c>
      <c r="Q23" s="2" t="n">
        <f aca="false">IF(A23=0,Inputs!$E$26,IF(AND(A23&gt;=Inputs!$F$26,A23&lt;=Inputs!$G$26),Inputs!$I$26,0))</f>
        <v>1666666.66666667</v>
      </c>
      <c r="R23" s="2" t="n">
        <f aca="false">IF(A23=0,Inputs!$E$27,IF(AND(A23&gt;=Inputs!$F$27,A23&lt;=Inputs!$G$27),Inputs!$I$27,0))</f>
        <v>2000000</v>
      </c>
      <c r="S23" s="2" t="n">
        <f aca="false">IF(A23=0,Inputs!$E$28,IF(AND(A23&gt;=Inputs!$F$28,A23&lt;=Inputs!$G$28),Inputs!$I$28,0))</f>
        <v>0</v>
      </c>
      <c r="T23" s="2" t="n">
        <f aca="false">IF(A23=0,Inputs!$E$29,IF(AND(A23&gt;=Inputs!$F$29,A23&lt;=Inputs!$G$29),Inputs!$I$29,0))</f>
        <v>0</v>
      </c>
      <c r="U23" s="2" t="n">
        <f aca="false">SUM(C23:T23)</f>
        <v>19441666.6666667</v>
      </c>
      <c r="V23" s="2" t="n">
        <f aca="false">V22+U23</f>
        <v>231650000</v>
      </c>
      <c r="W23" s="4" t="n">
        <f aca="false">V23/Inputs!$B$4</f>
        <v>0.23165</v>
      </c>
    </row>
    <row r="24" customFormat="false" ht="15" hidden="false" customHeight="false" outlineLevel="0" collapsed="false">
      <c r="A24" s="0" t="n">
        <v>19</v>
      </c>
      <c r="B24" s="3" t="n">
        <f aca="false">EDATE(Inputs!$B$5,A24)</f>
        <v>47001</v>
      </c>
      <c r="C24" s="2" t="n">
        <f aca="false">IF(A24=0,Inputs!$E$12,IF(AND(A24&gt;=Inputs!$F$12,A24&lt;=Inputs!$G$12),Inputs!$I$12,0))</f>
        <v>215237.395833333</v>
      </c>
      <c r="D24" s="2" t="n">
        <f aca="false">IF(A24=0,Inputs!$E$13,IF(AND(A24&gt;=Inputs!$F$13,A24&lt;=Inputs!$G$13),Inputs!$I$13,0))</f>
        <v>568942.8125</v>
      </c>
      <c r="E24" s="2" t="n">
        <f aca="false">IF(A24=0,Inputs!$E$14,IF(AND(A24&gt;=Inputs!$F$14,A24&lt;=Inputs!$G$14),Inputs!$I$14,0))</f>
        <v>341365.708333333</v>
      </c>
      <c r="F24" s="2" t="n">
        <f aca="false">IF(A24=0,Inputs!$E$15,IF(AND(A24&gt;=Inputs!$F$15,A24&lt;=Inputs!$G$15),Inputs!$I$15,0))</f>
        <v>227577.145833333</v>
      </c>
      <c r="G24" s="2" t="n">
        <f aca="false">IF(A24=0,Inputs!$E$16,IF(AND(A24&gt;=Inputs!$F$16,A24&lt;=Inputs!$G$16),Inputs!$I$16,0))</f>
        <v>227577.145833333</v>
      </c>
      <c r="H24" s="2" t="n">
        <f aca="false">IF(A24=0,Inputs!$E$17,IF(AND(A24&gt;=Inputs!$F$17,A24&lt;=Inputs!$G$17),Inputs!$I$17,0))</f>
        <v>227577.145833333</v>
      </c>
      <c r="I24" s="2" t="n">
        <f aca="false">IF(A24=0,Inputs!$E$18,IF(AND(A24&gt;=Inputs!$F$18,A24&lt;=Inputs!$G$18),Inputs!$I$18,0))</f>
        <v>227577.145833333</v>
      </c>
      <c r="J24" s="2" t="n">
        <f aca="false">IF(A24=0,Inputs!$E$19,IF(AND(A24&gt;=Inputs!$F$19,A24&lt;=Inputs!$G$19),Inputs!$I$19,0))</f>
        <v>47478.8333333333</v>
      </c>
      <c r="K24" s="2" t="n">
        <f aca="false">IF(A24=0,Inputs!$E$20,IF(AND(A24&gt;=Inputs!$F$20,A24&lt;=Inputs!$G$20),Inputs!$I$20,0))</f>
        <v>7291666.66666667</v>
      </c>
      <c r="L24" s="2" t="n">
        <f aca="false">IF(A24=0,Inputs!$E$21,IF(AND(A24&gt;=Inputs!$F$21,A24&lt;=Inputs!$G$21),Inputs!$I$21,0))</f>
        <v>833333.333333333</v>
      </c>
      <c r="M24" s="2" t="n">
        <f aca="false">IF(A24=0,Inputs!$E$22,IF(AND(A24&gt;=Inputs!$F$22,A24&lt;=Inputs!$G$22),Inputs!$I$22,0))</f>
        <v>0</v>
      </c>
      <c r="N24" s="2" t="n">
        <f aca="false">IF(A24&lt;Inputs!$B$9,0,IF(A24&lt;=12,Inputs!$B$8,Inputs!$B$6*(1-Inputs!$B$7)^(INT((A24-13)/12)+1)/12))</f>
        <v>3400000</v>
      </c>
      <c r="O24" s="2" t="n">
        <f aca="false">IF(A24=0,Inputs!$E$24,IF(AND(A24&gt;=Inputs!$F$24,A24&lt;=Inputs!$G$24),Inputs!$I$24,0))</f>
        <v>500000</v>
      </c>
      <c r="P24" s="2" t="n">
        <f aca="false">IF(A24=0,Inputs!$E$25,IF(AND(A24&gt;=Inputs!$F$25,A24&lt;=Inputs!$G$25),Inputs!$I$25,0))</f>
        <v>1666666.66666667</v>
      </c>
      <c r="Q24" s="2" t="n">
        <f aca="false">IF(A24=0,Inputs!$E$26,IF(AND(A24&gt;=Inputs!$F$26,A24&lt;=Inputs!$G$26),Inputs!$I$26,0))</f>
        <v>1666666.66666667</v>
      </c>
      <c r="R24" s="2" t="n">
        <f aca="false">IF(A24=0,Inputs!$E$27,IF(AND(A24&gt;=Inputs!$F$27,A24&lt;=Inputs!$G$27),Inputs!$I$27,0))</f>
        <v>2000000</v>
      </c>
      <c r="S24" s="2" t="n">
        <f aca="false">IF(A24=0,Inputs!$E$28,IF(AND(A24&gt;=Inputs!$F$28,A24&lt;=Inputs!$G$28),Inputs!$I$28,0))</f>
        <v>0</v>
      </c>
      <c r="T24" s="2" t="n">
        <f aca="false">IF(A24=0,Inputs!$E$29,IF(AND(A24&gt;=Inputs!$F$29,A24&lt;=Inputs!$G$29),Inputs!$I$29,0))</f>
        <v>0</v>
      </c>
      <c r="U24" s="2" t="n">
        <f aca="false">SUM(C24:T24)</f>
        <v>19441666.6666667</v>
      </c>
      <c r="V24" s="2" t="n">
        <f aca="false">V23+U24</f>
        <v>251091666.666667</v>
      </c>
      <c r="W24" s="4" t="n">
        <f aca="false">V24/Inputs!$B$4</f>
        <v>0.251091666666667</v>
      </c>
    </row>
    <row r="25" customFormat="false" ht="15" hidden="false" customHeight="false" outlineLevel="0" collapsed="false">
      <c r="A25" s="0" t="n">
        <v>20</v>
      </c>
      <c r="B25" s="3" t="n">
        <f aca="false">EDATE(Inputs!$B$5,A25)</f>
        <v>47031</v>
      </c>
      <c r="C25" s="2" t="n">
        <f aca="false">IF(A25=0,Inputs!$E$12,IF(AND(A25&gt;=Inputs!$F$12,A25&lt;=Inputs!$G$12),Inputs!$I$12,0))</f>
        <v>215237.395833333</v>
      </c>
      <c r="D25" s="2" t="n">
        <f aca="false">IF(A25=0,Inputs!$E$13,IF(AND(A25&gt;=Inputs!$F$13,A25&lt;=Inputs!$G$13),Inputs!$I$13,0))</f>
        <v>568942.8125</v>
      </c>
      <c r="E25" s="2" t="n">
        <f aca="false">IF(A25=0,Inputs!$E$14,IF(AND(A25&gt;=Inputs!$F$14,A25&lt;=Inputs!$G$14),Inputs!$I$14,0))</f>
        <v>341365.708333333</v>
      </c>
      <c r="F25" s="2" t="n">
        <f aca="false">IF(A25=0,Inputs!$E$15,IF(AND(A25&gt;=Inputs!$F$15,A25&lt;=Inputs!$G$15),Inputs!$I$15,0))</f>
        <v>227577.145833333</v>
      </c>
      <c r="G25" s="2" t="n">
        <f aca="false">IF(A25=0,Inputs!$E$16,IF(AND(A25&gt;=Inputs!$F$16,A25&lt;=Inputs!$G$16),Inputs!$I$16,0))</f>
        <v>227577.145833333</v>
      </c>
      <c r="H25" s="2" t="n">
        <f aca="false">IF(A25=0,Inputs!$E$17,IF(AND(A25&gt;=Inputs!$F$17,A25&lt;=Inputs!$G$17),Inputs!$I$17,0))</f>
        <v>227577.145833333</v>
      </c>
      <c r="I25" s="2" t="n">
        <f aca="false">IF(A25=0,Inputs!$E$18,IF(AND(A25&gt;=Inputs!$F$18,A25&lt;=Inputs!$G$18),Inputs!$I$18,0))</f>
        <v>227577.145833333</v>
      </c>
      <c r="J25" s="2" t="n">
        <f aca="false">IF(A25=0,Inputs!$E$19,IF(AND(A25&gt;=Inputs!$F$19,A25&lt;=Inputs!$G$19),Inputs!$I$19,0))</f>
        <v>47478.8333333333</v>
      </c>
      <c r="K25" s="2" t="n">
        <f aca="false">IF(A25=0,Inputs!$E$20,IF(AND(A25&gt;=Inputs!$F$20,A25&lt;=Inputs!$G$20),Inputs!$I$20,0))</f>
        <v>7291666.66666667</v>
      </c>
      <c r="L25" s="2" t="n">
        <f aca="false">IF(A25=0,Inputs!$E$21,IF(AND(A25&gt;=Inputs!$F$21,A25&lt;=Inputs!$G$21),Inputs!$I$21,0))</f>
        <v>833333.333333333</v>
      </c>
      <c r="M25" s="2" t="n">
        <f aca="false">IF(A25=0,Inputs!$E$22,IF(AND(A25&gt;=Inputs!$F$22,A25&lt;=Inputs!$G$22),Inputs!$I$22,0))</f>
        <v>0</v>
      </c>
      <c r="N25" s="2" t="n">
        <f aca="false">IF(A25&lt;Inputs!$B$9,0,IF(A25&lt;=12,Inputs!$B$8,Inputs!$B$6*(1-Inputs!$B$7)^(INT((A25-13)/12)+1)/12))</f>
        <v>3400000</v>
      </c>
      <c r="O25" s="2" t="n">
        <f aca="false">IF(A25=0,Inputs!$E$24,IF(AND(A25&gt;=Inputs!$F$24,A25&lt;=Inputs!$G$24),Inputs!$I$24,0))</f>
        <v>500000</v>
      </c>
      <c r="P25" s="2" t="n">
        <f aca="false">IF(A25=0,Inputs!$E$25,IF(AND(A25&gt;=Inputs!$F$25,A25&lt;=Inputs!$G$25),Inputs!$I$25,0))</f>
        <v>1666666.66666667</v>
      </c>
      <c r="Q25" s="2" t="n">
        <f aca="false">IF(A25=0,Inputs!$E$26,IF(AND(A25&gt;=Inputs!$F$26,A25&lt;=Inputs!$G$26),Inputs!$I$26,0))</f>
        <v>1666666.66666667</v>
      </c>
      <c r="R25" s="2" t="n">
        <f aca="false">IF(A25=0,Inputs!$E$27,IF(AND(A25&gt;=Inputs!$F$27,A25&lt;=Inputs!$G$27),Inputs!$I$27,0))</f>
        <v>2000000</v>
      </c>
      <c r="S25" s="2" t="n">
        <f aca="false">IF(A25=0,Inputs!$E$28,IF(AND(A25&gt;=Inputs!$F$28,A25&lt;=Inputs!$G$28),Inputs!$I$28,0))</f>
        <v>0</v>
      </c>
      <c r="T25" s="2" t="n">
        <f aca="false">IF(A25=0,Inputs!$E$29,IF(AND(A25&gt;=Inputs!$F$29,A25&lt;=Inputs!$G$29),Inputs!$I$29,0))</f>
        <v>0</v>
      </c>
      <c r="U25" s="2" t="n">
        <f aca="false">SUM(C25:T25)</f>
        <v>19441666.6666667</v>
      </c>
      <c r="V25" s="2" t="n">
        <f aca="false">V24+U25</f>
        <v>270533333.333333</v>
      </c>
      <c r="W25" s="4" t="n">
        <f aca="false">V25/Inputs!$B$4</f>
        <v>0.270533333333333</v>
      </c>
    </row>
    <row r="26" customFormat="false" ht="15" hidden="false" customHeight="false" outlineLevel="0" collapsed="false">
      <c r="A26" s="0" t="n">
        <v>21</v>
      </c>
      <c r="B26" s="3" t="n">
        <f aca="false">EDATE(Inputs!$B$5,A26)</f>
        <v>47062</v>
      </c>
      <c r="C26" s="2" t="n">
        <f aca="false">IF(A26=0,Inputs!$E$12,IF(AND(A26&gt;=Inputs!$F$12,A26&lt;=Inputs!$G$12),Inputs!$I$12,0))</f>
        <v>215237.395833333</v>
      </c>
      <c r="D26" s="2" t="n">
        <f aca="false">IF(A26=0,Inputs!$E$13,IF(AND(A26&gt;=Inputs!$F$13,A26&lt;=Inputs!$G$13),Inputs!$I$13,0))</f>
        <v>568942.8125</v>
      </c>
      <c r="E26" s="2" t="n">
        <f aca="false">IF(A26=0,Inputs!$E$14,IF(AND(A26&gt;=Inputs!$F$14,A26&lt;=Inputs!$G$14),Inputs!$I$14,0))</f>
        <v>341365.708333333</v>
      </c>
      <c r="F26" s="2" t="n">
        <f aca="false">IF(A26=0,Inputs!$E$15,IF(AND(A26&gt;=Inputs!$F$15,A26&lt;=Inputs!$G$15),Inputs!$I$15,0))</f>
        <v>227577.145833333</v>
      </c>
      <c r="G26" s="2" t="n">
        <f aca="false">IF(A26=0,Inputs!$E$16,IF(AND(A26&gt;=Inputs!$F$16,A26&lt;=Inputs!$G$16),Inputs!$I$16,0))</f>
        <v>227577.145833333</v>
      </c>
      <c r="H26" s="2" t="n">
        <f aca="false">IF(A26=0,Inputs!$E$17,IF(AND(A26&gt;=Inputs!$F$17,A26&lt;=Inputs!$G$17),Inputs!$I$17,0))</f>
        <v>227577.145833333</v>
      </c>
      <c r="I26" s="2" t="n">
        <f aca="false">IF(A26=0,Inputs!$E$18,IF(AND(A26&gt;=Inputs!$F$18,A26&lt;=Inputs!$G$18),Inputs!$I$18,0))</f>
        <v>227577.145833333</v>
      </c>
      <c r="J26" s="2" t="n">
        <f aca="false">IF(A26=0,Inputs!$E$19,IF(AND(A26&gt;=Inputs!$F$19,A26&lt;=Inputs!$G$19),Inputs!$I$19,0))</f>
        <v>47478.8333333333</v>
      </c>
      <c r="K26" s="2" t="n">
        <f aca="false">IF(A26=0,Inputs!$E$20,IF(AND(A26&gt;=Inputs!$F$20,A26&lt;=Inputs!$G$20),Inputs!$I$20,0))</f>
        <v>7291666.66666667</v>
      </c>
      <c r="L26" s="2" t="n">
        <f aca="false">IF(A26=0,Inputs!$E$21,IF(AND(A26&gt;=Inputs!$F$21,A26&lt;=Inputs!$G$21),Inputs!$I$21,0))</f>
        <v>833333.333333333</v>
      </c>
      <c r="M26" s="2" t="n">
        <f aca="false">IF(A26=0,Inputs!$E$22,IF(AND(A26&gt;=Inputs!$F$22,A26&lt;=Inputs!$G$22),Inputs!$I$22,0))</f>
        <v>0</v>
      </c>
      <c r="N26" s="2" t="n">
        <f aca="false">IF(A26&lt;Inputs!$B$9,0,IF(A26&lt;=12,Inputs!$B$8,Inputs!$B$6*(1-Inputs!$B$7)^(INT((A26-13)/12)+1)/12))</f>
        <v>3400000</v>
      </c>
      <c r="O26" s="2" t="n">
        <f aca="false">IF(A26=0,Inputs!$E$24,IF(AND(A26&gt;=Inputs!$F$24,A26&lt;=Inputs!$G$24),Inputs!$I$24,0))</f>
        <v>500000</v>
      </c>
      <c r="P26" s="2" t="n">
        <f aca="false">IF(A26=0,Inputs!$E$25,IF(AND(A26&gt;=Inputs!$F$25,A26&lt;=Inputs!$G$25),Inputs!$I$25,0))</f>
        <v>1666666.66666667</v>
      </c>
      <c r="Q26" s="2" t="n">
        <f aca="false">IF(A26=0,Inputs!$E$26,IF(AND(A26&gt;=Inputs!$F$26,A26&lt;=Inputs!$G$26),Inputs!$I$26,0))</f>
        <v>1666666.66666667</v>
      </c>
      <c r="R26" s="2" t="n">
        <f aca="false">IF(A26=0,Inputs!$E$27,IF(AND(A26&gt;=Inputs!$F$27,A26&lt;=Inputs!$G$27),Inputs!$I$27,0))</f>
        <v>2000000</v>
      </c>
      <c r="S26" s="2" t="n">
        <f aca="false">IF(A26=0,Inputs!$E$28,IF(AND(A26&gt;=Inputs!$F$28,A26&lt;=Inputs!$G$28),Inputs!$I$28,0))</f>
        <v>0</v>
      </c>
      <c r="T26" s="2" t="n">
        <f aca="false">IF(A26=0,Inputs!$E$29,IF(AND(A26&gt;=Inputs!$F$29,A26&lt;=Inputs!$G$29),Inputs!$I$29,0))</f>
        <v>0</v>
      </c>
      <c r="U26" s="2" t="n">
        <f aca="false">SUM(C26:T26)</f>
        <v>19441666.6666667</v>
      </c>
      <c r="V26" s="2" t="n">
        <f aca="false">V25+U26</f>
        <v>289975000</v>
      </c>
      <c r="W26" s="4" t="n">
        <f aca="false">V26/Inputs!$B$4</f>
        <v>0.289975</v>
      </c>
    </row>
    <row r="27" customFormat="false" ht="15" hidden="false" customHeight="false" outlineLevel="0" collapsed="false">
      <c r="A27" s="0" t="n">
        <v>22</v>
      </c>
      <c r="B27" s="3" t="n">
        <f aca="false">EDATE(Inputs!$B$5,A27)</f>
        <v>47092</v>
      </c>
      <c r="C27" s="2" t="n">
        <f aca="false">IF(A27=0,Inputs!$E$12,IF(AND(A27&gt;=Inputs!$F$12,A27&lt;=Inputs!$G$12),Inputs!$I$12,0))</f>
        <v>215237.395833333</v>
      </c>
      <c r="D27" s="2" t="n">
        <f aca="false">IF(A27=0,Inputs!$E$13,IF(AND(A27&gt;=Inputs!$F$13,A27&lt;=Inputs!$G$13),Inputs!$I$13,0))</f>
        <v>568942.8125</v>
      </c>
      <c r="E27" s="2" t="n">
        <f aca="false">IF(A27=0,Inputs!$E$14,IF(AND(A27&gt;=Inputs!$F$14,A27&lt;=Inputs!$G$14),Inputs!$I$14,0))</f>
        <v>341365.708333333</v>
      </c>
      <c r="F27" s="2" t="n">
        <f aca="false">IF(A27=0,Inputs!$E$15,IF(AND(A27&gt;=Inputs!$F$15,A27&lt;=Inputs!$G$15),Inputs!$I$15,0))</f>
        <v>227577.145833333</v>
      </c>
      <c r="G27" s="2" t="n">
        <f aca="false">IF(A27=0,Inputs!$E$16,IF(AND(A27&gt;=Inputs!$F$16,A27&lt;=Inputs!$G$16),Inputs!$I$16,0))</f>
        <v>227577.145833333</v>
      </c>
      <c r="H27" s="2" t="n">
        <f aca="false">IF(A27=0,Inputs!$E$17,IF(AND(A27&gt;=Inputs!$F$17,A27&lt;=Inputs!$G$17),Inputs!$I$17,0))</f>
        <v>227577.145833333</v>
      </c>
      <c r="I27" s="2" t="n">
        <f aca="false">IF(A27=0,Inputs!$E$18,IF(AND(A27&gt;=Inputs!$F$18,A27&lt;=Inputs!$G$18),Inputs!$I$18,0))</f>
        <v>227577.145833333</v>
      </c>
      <c r="J27" s="2" t="n">
        <f aca="false">IF(A27=0,Inputs!$E$19,IF(AND(A27&gt;=Inputs!$F$19,A27&lt;=Inputs!$G$19),Inputs!$I$19,0))</f>
        <v>47478.8333333333</v>
      </c>
      <c r="K27" s="2" t="n">
        <f aca="false">IF(A27=0,Inputs!$E$20,IF(AND(A27&gt;=Inputs!$F$20,A27&lt;=Inputs!$G$20),Inputs!$I$20,0))</f>
        <v>7291666.66666667</v>
      </c>
      <c r="L27" s="2" t="n">
        <f aca="false">IF(A27=0,Inputs!$E$21,IF(AND(A27&gt;=Inputs!$F$21,A27&lt;=Inputs!$G$21),Inputs!$I$21,0))</f>
        <v>833333.333333333</v>
      </c>
      <c r="M27" s="2" t="n">
        <f aca="false">IF(A27=0,Inputs!$E$22,IF(AND(A27&gt;=Inputs!$F$22,A27&lt;=Inputs!$G$22),Inputs!$I$22,0))</f>
        <v>0</v>
      </c>
      <c r="N27" s="2" t="n">
        <f aca="false">IF(A27&lt;Inputs!$B$9,0,IF(A27&lt;=12,Inputs!$B$8,Inputs!$B$6*(1-Inputs!$B$7)^(INT((A27-13)/12)+1)/12))</f>
        <v>3400000</v>
      </c>
      <c r="O27" s="2" t="n">
        <f aca="false">IF(A27=0,Inputs!$E$24,IF(AND(A27&gt;=Inputs!$F$24,A27&lt;=Inputs!$G$24),Inputs!$I$24,0))</f>
        <v>500000</v>
      </c>
      <c r="P27" s="2" t="n">
        <f aca="false">IF(A27=0,Inputs!$E$25,IF(AND(A27&gt;=Inputs!$F$25,A27&lt;=Inputs!$G$25),Inputs!$I$25,0))</f>
        <v>1666666.66666667</v>
      </c>
      <c r="Q27" s="2" t="n">
        <f aca="false">IF(A27=0,Inputs!$E$26,IF(AND(A27&gt;=Inputs!$F$26,A27&lt;=Inputs!$G$26),Inputs!$I$26,0))</f>
        <v>1666666.66666667</v>
      </c>
      <c r="R27" s="2" t="n">
        <f aca="false">IF(A27=0,Inputs!$E$27,IF(AND(A27&gt;=Inputs!$F$27,A27&lt;=Inputs!$G$27),Inputs!$I$27,0))</f>
        <v>2000000</v>
      </c>
      <c r="S27" s="2" t="n">
        <f aca="false">IF(A27=0,Inputs!$E$28,IF(AND(A27&gt;=Inputs!$F$28,A27&lt;=Inputs!$G$28),Inputs!$I$28,0))</f>
        <v>0</v>
      </c>
      <c r="T27" s="2" t="n">
        <f aca="false">IF(A27=0,Inputs!$E$29,IF(AND(A27&gt;=Inputs!$F$29,A27&lt;=Inputs!$G$29),Inputs!$I$29,0))</f>
        <v>0</v>
      </c>
      <c r="U27" s="2" t="n">
        <f aca="false">SUM(C27:T27)</f>
        <v>19441666.6666667</v>
      </c>
      <c r="V27" s="2" t="n">
        <f aca="false">V26+U27</f>
        <v>309416666.666667</v>
      </c>
      <c r="W27" s="4" t="n">
        <f aca="false">V27/Inputs!$B$4</f>
        <v>0.309416666666667</v>
      </c>
    </row>
    <row r="28" customFormat="false" ht="15" hidden="false" customHeight="false" outlineLevel="0" collapsed="false">
      <c r="A28" s="0" t="n">
        <v>23</v>
      </c>
      <c r="B28" s="3" t="n">
        <f aca="false">EDATE(Inputs!$B$5,A28)</f>
        <v>47123</v>
      </c>
      <c r="C28" s="2" t="n">
        <f aca="false">IF(A28=0,Inputs!$E$12,IF(AND(A28&gt;=Inputs!$F$12,A28&lt;=Inputs!$G$12),Inputs!$I$12,0))</f>
        <v>215237.395833333</v>
      </c>
      <c r="D28" s="2" t="n">
        <f aca="false">IF(A28=0,Inputs!$E$13,IF(AND(A28&gt;=Inputs!$F$13,A28&lt;=Inputs!$G$13),Inputs!$I$13,0))</f>
        <v>568942.8125</v>
      </c>
      <c r="E28" s="2" t="n">
        <f aca="false">IF(A28=0,Inputs!$E$14,IF(AND(A28&gt;=Inputs!$F$14,A28&lt;=Inputs!$G$14),Inputs!$I$14,0))</f>
        <v>341365.708333333</v>
      </c>
      <c r="F28" s="2" t="n">
        <f aca="false">IF(A28=0,Inputs!$E$15,IF(AND(A28&gt;=Inputs!$F$15,A28&lt;=Inputs!$G$15),Inputs!$I$15,0))</f>
        <v>227577.145833333</v>
      </c>
      <c r="G28" s="2" t="n">
        <f aca="false">IF(A28=0,Inputs!$E$16,IF(AND(A28&gt;=Inputs!$F$16,A28&lt;=Inputs!$G$16),Inputs!$I$16,0))</f>
        <v>227577.145833333</v>
      </c>
      <c r="H28" s="2" t="n">
        <f aca="false">IF(A28=0,Inputs!$E$17,IF(AND(A28&gt;=Inputs!$F$17,A28&lt;=Inputs!$G$17),Inputs!$I$17,0))</f>
        <v>227577.145833333</v>
      </c>
      <c r="I28" s="2" t="n">
        <f aca="false">IF(A28=0,Inputs!$E$18,IF(AND(A28&gt;=Inputs!$F$18,A28&lt;=Inputs!$G$18),Inputs!$I$18,0))</f>
        <v>227577.145833333</v>
      </c>
      <c r="J28" s="2" t="n">
        <f aca="false">IF(A28=0,Inputs!$E$19,IF(AND(A28&gt;=Inputs!$F$19,A28&lt;=Inputs!$G$19),Inputs!$I$19,0))</f>
        <v>47478.8333333333</v>
      </c>
      <c r="K28" s="2" t="n">
        <f aca="false">IF(A28=0,Inputs!$E$20,IF(AND(A28&gt;=Inputs!$F$20,A28&lt;=Inputs!$G$20),Inputs!$I$20,0))</f>
        <v>7291666.66666667</v>
      </c>
      <c r="L28" s="2" t="n">
        <f aca="false">IF(A28=0,Inputs!$E$21,IF(AND(A28&gt;=Inputs!$F$21,A28&lt;=Inputs!$G$21),Inputs!$I$21,0))</f>
        <v>833333.333333333</v>
      </c>
      <c r="M28" s="2" t="n">
        <f aca="false">IF(A28=0,Inputs!$E$22,IF(AND(A28&gt;=Inputs!$F$22,A28&lt;=Inputs!$G$22),Inputs!$I$22,0))</f>
        <v>0</v>
      </c>
      <c r="N28" s="2" t="n">
        <f aca="false">IF(A28&lt;Inputs!$B$9,0,IF(A28&lt;=12,Inputs!$B$8,Inputs!$B$6*(1-Inputs!$B$7)^(INT((A28-13)/12)+1)/12))</f>
        <v>3400000</v>
      </c>
      <c r="O28" s="2" t="n">
        <f aca="false">IF(A28=0,Inputs!$E$24,IF(AND(A28&gt;=Inputs!$F$24,A28&lt;=Inputs!$G$24),Inputs!$I$24,0))</f>
        <v>500000</v>
      </c>
      <c r="P28" s="2" t="n">
        <f aca="false">IF(A28=0,Inputs!$E$25,IF(AND(A28&gt;=Inputs!$F$25,A28&lt;=Inputs!$G$25),Inputs!$I$25,0))</f>
        <v>1666666.66666667</v>
      </c>
      <c r="Q28" s="2" t="n">
        <f aca="false">IF(A28=0,Inputs!$E$26,IF(AND(A28&gt;=Inputs!$F$26,A28&lt;=Inputs!$G$26),Inputs!$I$26,0))</f>
        <v>1666666.66666667</v>
      </c>
      <c r="R28" s="2" t="n">
        <f aca="false">IF(A28=0,Inputs!$E$27,IF(AND(A28&gt;=Inputs!$F$27,A28&lt;=Inputs!$G$27),Inputs!$I$27,0))</f>
        <v>2000000</v>
      </c>
      <c r="S28" s="2" t="n">
        <f aca="false">IF(A28=0,Inputs!$E$28,IF(AND(A28&gt;=Inputs!$F$28,A28&lt;=Inputs!$G$28),Inputs!$I$28,0))</f>
        <v>0</v>
      </c>
      <c r="T28" s="2" t="n">
        <f aca="false">IF(A28=0,Inputs!$E$29,IF(AND(A28&gt;=Inputs!$F$29,A28&lt;=Inputs!$G$29),Inputs!$I$29,0))</f>
        <v>0</v>
      </c>
      <c r="U28" s="2" t="n">
        <f aca="false">SUM(C28:T28)</f>
        <v>19441666.6666667</v>
      </c>
      <c r="V28" s="2" t="n">
        <f aca="false">V27+U28</f>
        <v>328858333.333333</v>
      </c>
      <c r="W28" s="4" t="n">
        <f aca="false">V28/Inputs!$B$4</f>
        <v>0.328858333333333</v>
      </c>
    </row>
    <row r="29" customFormat="false" ht="15" hidden="false" customHeight="false" outlineLevel="0" collapsed="false">
      <c r="A29" s="0" t="n">
        <v>24</v>
      </c>
      <c r="B29" s="3" t="n">
        <f aca="false">EDATE(Inputs!$B$5,A29)</f>
        <v>47154</v>
      </c>
      <c r="C29" s="2" t="n">
        <f aca="false">IF(A29=0,Inputs!$E$12,IF(AND(A29&gt;=Inputs!$F$12,A29&lt;=Inputs!$G$12),Inputs!$I$12,0))</f>
        <v>215237.395833333</v>
      </c>
      <c r="D29" s="2" t="n">
        <f aca="false">IF(A29=0,Inputs!$E$13,IF(AND(A29&gt;=Inputs!$F$13,A29&lt;=Inputs!$G$13),Inputs!$I$13,0))</f>
        <v>568942.8125</v>
      </c>
      <c r="E29" s="2" t="n">
        <f aca="false">IF(A29=0,Inputs!$E$14,IF(AND(A29&gt;=Inputs!$F$14,A29&lt;=Inputs!$G$14),Inputs!$I$14,0))</f>
        <v>341365.708333333</v>
      </c>
      <c r="F29" s="2" t="n">
        <f aca="false">IF(A29=0,Inputs!$E$15,IF(AND(A29&gt;=Inputs!$F$15,A29&lt;=Inputs!$G$15),Inputs!$I$15,0))</f>
        <v>227577.145833333</v>
      </c>
      <c r="G29" s="2" t="n">
        <f aca="false">IF(A29=0,Inputs!$E$16,IF(AND(A29&gt;=Inputs!$F$16,A29&lt;=Inputs!$G$16),Inputs!$I$16,0))</f>
        <v>227577.145833333</v>
      </c>
      <c r="H29" s="2" t="n">
        <f aca="false">IF(A29=0,Inputs!$E$17,IF(AND(A29&gt;=Inputs!$F$17,A29&lt;=Inputs!$G$17),Inputs!$I$17,0))</f>
        <v>227577.145833333</v>
      </c>
      <c r="I29" s="2" t="n">
        <f aca="false">IF(A29=0,Inputs!$E$18,IF(AND(A29&gt;=Inputs!$F$18,A29&lt;=Inputs!$G$18),Inputs!$I$18,0))</f>
        <v>227577.145833333</v>
      </c>
      <c r="J29" s="2" t="n">
        <f aca="false">IF(A29=0,Inputs!$E$19,IF(AND(A29&gt;=Inputs!$F$19,A29&lt;=Inputs!$G$19),Inputs!$I$19,0))</f>
        <v>47478.8333333333</v>
      </c>
      <c r="K29" s="2" t="n">
        <f aca="false">IF(A29=0,Inputs!$E$20,IF(AND(A29&gt;=Inputs!$F$20,A29&lt;=Inputs!$G$20),Inputs!$I$20,0))</f>
        <v>7291666.66666667</v>
      </c>
      <c r="L29" s="2" t="n">
        <f aca="false">IF(A29=0,Inputs!$E$21,IF(AND(A29&gt;=Inputs!$F$21,A29&lt;=Inputs!$G$21),Inputs!$I$21,0))</f>
        <v>833333.333333333</v>
      </c>
      <c r="M29" s="2" t="n">
        <f aca="false">IF(A29=0,Inputs!$E$22,IF(AND(A29&gt;=Inputs!$F$22,A29&lt;=Inputs!$G$22),Inputs!$I$22,0))</f>
        <v>0</v>
      </c>
      <c r="N29" s="2" t="n">
        <f aca="false">IF(A29&lt;Inputs!$B$9,0,IF(A29&lt;=12,Inputs!$B$8,Inputs!$B$6*(1-Inputs!$B$7)^(INT((A29-13)/12)+1)/12))</f>
        <v>3400000</v>
      </c>
      <c r="O29" s="2" t="n">
        <f aca="false">IF(A29=0,Inputs!$E$24,IF(AND(A29&gt;=Inputs!$F$24,A29&lt;=Inputs!$G$24),Inputs!$I$24,0))</f>
        <v>500000</v>
      </c>
      <c r="P29" s="2" t="n">
        <f aca="false">IF(A29=0,Inputs!$E$25,IF(AND(A29&gt;=Inputs!$F$25,A29&lt;=Inputs!$G$25),Inputs!$I$25,0))</f>
        <v>1666666.66666667</v>
      </c>
      <c r="Q29" s="2" t="n">
        <f aca="false">IF(A29=0,Inputs!$E$26,IF(AND(A29&gt;=Inputs!$F$26,A29&lt;=Inputs!$G$26),Inputs!$I$26,0))</f>
        <v>1666666.66666667</v>
      </c>
      <c r="R29" s="2" t="n">
        <f aca="false">IF(A29=0,Inputs!$E$27,IF(AND(A29&gt;=Inputs!$F$27,A29&lt;=Inputs!$G$27),Inputs!$I$27,0))</f>
        <v>2000000</v>
      </c>
      <c r="S29" s="2" t="n">
        <f aca="false">IF(A29=0,Inputs!$E$28,IF(AND(A29&gt;=Inputs!$F$28,A29&lt;=Inputs!$G$28),Inputs!$I$28,0))</f>
        <v>0</v>
      </c>
      <c r="T29" s="2" t="n">
        <f aca="false">IF(A29=0,Inputs!$E$29,IF(AND(A29&gt;=Inputs!$F$29,A29&lt;=Inputs!$G$29),Inputs!$I$29,0))</f>
        <v>0</v>
      </c>
      <c r="U29" s="2" t="n">
        <f aca="false">SUM(C29:T29)</f>
        <v>19441666.6666667</v>
      </c>
      <c r="V29" s="2" t="n">
        <f aca="false">V28+U29</f>
        <v>348300000</v>
      </c>
      <c r="W29" s="4" t="n">
        <f aca="false">V29/Inputs!$B$4</f>
        <v>0.3483</v>
      </c>
    </row>
    <row r="30" customFormat="false" ht="15" hidden="false" customHeight="false" outlineLevel="0" collapsed="false">
      <c r="A30" s="0" t="n">
        <v>25</v>
      </c>
      <c r="B30" s="3" t="n">
        <f aca="false">EDATE(Inputs!$B$5,A30)</f>
        <v>47182</v>
      </c>
      <c r="C30" s="2" t="n">
        <f aca="false">IF(A30=0,Inputs!$E$12,IF(AND(A30&gt;=Inputs!$F$12,A30&lt;=Inputs!$G$12),Inputs!$I$12,0))</f>
        <v>215237.395833333</v>
      </c>
      <c r="D30" s="2" t="n">
        <f aca="false">IF(A30=0,Inputs!$E$13,IF(AND(A30&gt;=Inputs!$F$13,A30&lt;=Inputs!$G$13),Inputs!$I$13,0))</f>
        <v>568942.8125</v>
      </c>
      <c r="E30" s="2" t="n">
        <f aca="false">IF(A30=0,Inputs!$E$14,IF(AND(A30&gt;=Inputs!$F$14,A30&lt;=Inputs!$G$14),Inputs!$I$14,0))</f>
        <v>341365.708333333</v>
      </c>
      <c r="F30" s="2" t="n">
        <f aca="false">IF(A30=0,Inputs!$E$15,IF(AND(A30&gt;=Inputs!$F$15,A30&lt;=Inputs!$G$15),Inputs!$I$15,0))</f>
        <v>227577.145833333</v>
      </c>
      <c r="G30" s="2" t="n">
        <f aca="false">IF(A30=0,Inputs!$E$16,IF(AND(A30&gt;=Inputs!$F$16,A30&lt;=Inputs!$G$16),Inputs!$I$16,0))</f>
        <v>227577.145833333</v>
      </c>
      <c r="H30" s="2" t="n">
        <f aca="false">IF(A30=0,Inputs!$E$17,IF(AND(A30&gt;=Inputs!$F$17,A30&lt;=Inputs!$G$17),Inputs!$I$17,0))</f>
        <v>227577.145833333</v>
      </c>
      <c r="I30" s="2" t="n">
        <f aca="false">IF(A30=0,Inputs!$E$18,IF(AND(A30&gt;=Inputs!$F$18,A30&lt;=Inputs!$G$18),Inputs!$I$18,0))</f>
        <v>227577.145833333</v>
      </c>
      <c r="J30" s="2" t="n">
        <f aca="false">IF(A30=0,Inputs!$E$19,IF(AND(A30&gt;=Inputs!$F$19,A30&lt;=Inputs!$G$19),Inputs!$I$19,0))</f>
        <v>47478.8333333333</v>
      </c>
      <c r="K30" s="2" t="n">
        <f aca="false">IF(A30=0,Inputs!$E$20,IF(AND(A30&gt;=Inputs!$F$20,A30&lt;=Inputs!$G$20),Inputs!$I$20,0))</f>
        <v>7291666.66666667</v>
      </c>
      <c r="L30" s="2" t="n">
        <f aca="false">IF(A30=0,Inputs!$E$21,IF(AND(A30&gt;=Inputs!$F$21,A30&lt;=Inputs!$G$21),Inputs!$I$21,0))</f>
        <v>833333.333333333</v>
      </c>
      <c r="M30" s="2" t="n">
        <f aca="false">IF(A30=0,Inputs!$E$22,IF(AND(A30&gt;=Inputs!$F$22,A30&lt;=Inputs!$G$22),Inputs!$I$22,0))</f>
        <v>0</v>
      </c>
      <c r="N30" s="2" t="n">
        <f aca="false">IF(A30&lt;Inputs!$B$9,0,IF(A30&lt;=12,Inputs!$B$8,Inputs!$B$6*(1-Inputs!$B$7)^(INT((A30-13)/12)+1)/12))</f>
        <v>2890000</v>
      </c>
      <c r="O30" s="2" t="n">
        <f aca="false">IF(A30=0,Inputs!$E$24,IF(AND(A30&gt;=Inputs!$F$24,A30&lt;=Inputs!$G$24),Inputs!$I$24,0))</f>
        <v>500000</v>
      </c>
      <c r="P30" s="2" t="n">
        <f aca="false">IF(A30=0,Inputs!$E$25,IF(AND(A30&gt;=Inputs!$F$25,A30&lt;=Inputs!$G$25),Inputs!$I$25,0))</f>
        <v>1666666.66666667</v>
      </c>
      <c r="Q30" s="2" t="n">
        <f aca="false">IF(A30=0,Inputs!$E$26,IF(AND(A30&gt;=Inputs!$F$26,A30&lt;=Inputs!$G$26),Inputs!$I$26,0))</f>
        <v>1666666.66666667</v>
      </c>
      <c r="R30" s="2" t="n">
        <f aca="false">IF(A30=0,Inputs!$E$27,IF(AND(A30&gt;=Inputs!$F$27,A30&lt;=Inputs!$G$27),Inputs!$I$27,0))</f>
        <v>2000000</v>
      </c>
      <c r="S30" s="2" t="n">
        <f aca="false">IF(A30=0,Inputs!$E$28,IF(AND(A30&gt;=Inputs!$F$28,A30&lt;=Inputs!$G$28),Inputs!$I$28,0))</f>
        <v>0</v>
      </c>
      <c r="T30" s="2" t="n">
        <f aca="false">IF(A30=0,Inputs!$E$29,IF(AND(A30&gt;=Inputs!$F$29,A30&lt;=Inputs!$G$29),Inputs!$I$29,0))</f>
        <v>0</v>
      </c>
      <c r="U30" s="2" t="n">
        <f aca="false">SUM(C30:T30)</f>
        <v>18931666.6666667</v>
      </c>
      <c r="V30" s="2" t="n">
        <f aca="false">V29+U30</f>
        <v>367231666.666667</v>
      </c>
      <c r="W30" s="4" t="n">
        <f aca="false">V30/Inputs!$B$4</f>
        <v>0.367231666666667</v>
      </c>
    </row>
    <row r="31" customFormat="false" ht="15" hidden="false" customHeight="false" outlineLevel="0" collapsed="false">
      <c r="A31" s="0" t="n">
        <v>26</v>
      </c>
      <c r="B31" s="3" t="n">
        <f aca="false">EDATE(Inputs!$B$5,A31)</f>
        <v>47213</v>
      </c>
      <c r="C31" s="2" t="n">
        <f aca="false">IF(A31=0,Inputs!$E$12,IF(AND(A31&gt;=Inputs!$F$12,A31&lt;=Inputs!$G$12),Inputs!$I$12,0))</f>
        <v>215237.395833333</v>
      </c>
      <c r="D31" s="2" t="n">
        <f aca="false">IF(A31=0,Inputs!$E$13,IF(AND(A31&gt;=Inputs!$F$13,A31&lt;=Inputs!$G$13),Inputs!$I$13,0))</f>
        <v>568942.8125</v>
      </c>
      <c r="E31" s="2" t="n">
        <f aca="false">IF(A31=0,Inputs!$E$14,IF(AND(A31&gt;=Inputs!$F$14,A31&lt;=Inputs!$G$14),Inputs!$I$14,0))</f>
        <v>341365.708333333</v>
      </c>
      <c r="F31" s="2" t="n">
        <f aca="false">IF(A31=0,Inputs!$E$15,IF(AND(A31&gt;=Inputs!$F$15,A31&lt;=Inputs!$G$15),Inputs!$I$15,0))</f>
        <v>227577.145833333</v>
      </c>
      <c r="G31" s="2" t="n">
        <f aca="false">IF(A31=0,Inputs!$E$16,IF(AND(A31&gt;=Inputs!$F$16,A31&lt;=Inputs!$G$16),Inputs!$I$16,0))</f>
        <v>227577.145833333</v>
      </c>
      <c r="H31" s="2" t="n">
        <f aca="false">IF(A31=0,Inputs!$E$17,IF(AND(A31&gt;=Inputs!$F$17,A31&lt;=Inputs!$G$17),Inputs!$I$17,0))</f>
        <v>227577.145833333</v>
      </c>
      <c r="I31" s="2" t="n">
        <f aca="false">IF(A31=0,Inputs!$E$18,IF(AND(A31&gt;=Inputs!$F$18,A31&lt;=Inputs!$G$18),Inputs!$I$18,0))</f>
        <v>227577.145833333</v>
      </c>
      <c r="J31" s="2" t="n">
        <f aca="false">IF(A31=0,Inputs!$E$19,IF(AND(A31&gt;=Inputs!$F$19,A31&lt;=Inputs!$G$19),Inputs!$I$19,0))</f>
        <v>47478.8333333333</v>
      </c>
      <c r="K31" s="2" t="n">
        <f aca="false">IF(A31=0,Inputs!$E$20,IF(AND(A31&gt;=Inputs!$F$20,A31&lt;=Inputs!$G$20),Inputs!$I$20,0))</f>
        <v>7291666.66666667</v>
      </c>
      <c r="L31" s="2" t="n">
        <f aca="false">IF(A31=0,Inputs!$E$21,IF(AND(A31&gt;=Inputs!$F$21,A31&lt;=Inputs!$G$21),Inputs!$I$21,0))</f>
        <v>833333.333333333</v>
      </c>
      <c r="M31" s="2" t="n">
        <f aca="false">IF(A31=0,Inputs!$E$22,IF(AND(A31&gt;=Inputs!$F$22,A31&lt;=Inputs!$G$22),Inputs!$I$22,0))</f>
        <v>0</v>
      </c>
      <c r="N31" s="2" t="n">
        <f aca="false">IF(A31&lt;Inputs!$B$9,0,IF(A31&lt;=12,Inputs!$B$8,Inputs!$B$6*(1-Inputs!$B$7)^(INT((A31-13)/12)+1)/12))</f>
        <v>2890000</v>
      </c>
      <c r="O31" s="2" t="n">
        <f aca="false">IF(A31=0,Inputs!$E$24,IF(AND(A31&gt;=Inputs!$F$24,A31&lt;=Inputs!$G$24),Inputs!$I$24,0))</f>
        <v>500000</v>
      </c>
      <c r="P31" s="2" t="n">
        <f aca="false">IF(A31=0,Inputs!$E$25,IF(AND(A31&gt;=Inputs!$F$25,A31&lt;=Inputs!$G$25),Inputs!$I$25,0))</f>
        <v>1666666.66666667</v>
      </c>
      <c r="Q31" s="2" t="n">
        <f aca="false">IF(A31=0,Inputs!$E$26,IF(AND(A31&gt;=Inputs!$F$26,A31&lt;=Inputs!$G$26),Inputs!$I$26,0))</f>
        <v>1666666.66666667</v>
      </c>
      <c r="R31" s="2" t="n">
        <f aca="false">IF(A31=0,Inputs!$E$27,IF(AND(A31&gt;=Inputs!$F$27,A31&lt;=Inputs!$G$27),Inputs!$I$27,0))</f>
        <v>2000000</v>
      </c>
      <c r="S31" s="2" t="n">
        <f aca="false">IF(A31=0,Inputs!$E$28,IF(AND(A31&gt;=Inputs!$F$28,A31&lt;=Inputs!$G$28),Inputs!$I$28,0))</f>
        <v>0</v>
      </c>
      <c r="T31" s="2" t="n">
        <f aca="false">IF(A31=0,Inputs!$E$29,IF(AND(A31&gt;=Inputs!$F$29,A31&lt;=Inputs!$G$29),Inputs!$I$29,0))</f>
        <v>0</v>
      </c>
      <c r="U31" s="2" t="n">
        <f aca="false">SUM(C31:T31)</f>
        <v>18931666.6666667</v>
      </c>
      <c r="V31" s="2" t="n">
        <f aca="false">V30+U31</f>
        <v>386163333.333333</v>
      </c>
      <c r="W31" s="4" t="n">
        <f aca="false">V31/Inputs!$B$4</f>
        <v>0.386163333333333</v>
      </c>
    </row>
    <row r="32" customFormat="false" ht="15" hidden="false" customHeight="false" outlineLevel="0" collapsed="false">
      <c r="A32" s="0" t="n">
        <v>27</v>
      </c>
      <c r="B32" s="3" t="n">
        <f aca="false">EDATE(Inputs!$B$5,A32)</f>
        <v>47243</v>
      </c>
      <c r="C32" s="2" t="n">
        <f aca="false">IF(A32=0,Inputs!$E$12,IF(AND(A32&gt;=Inputs!$F$12,A32&lt;=Inputs!$G$12),Inputs!$I$12,0))</f>
        <v>215237.395833333</v>
      </c>
      <c r="D32" s="2" t="n">
        <f aca="false">IF(A32=0,Inputs!$E$13,IF(AND(A32&gt;=Inputs!$F$13,A32&lt;=Inputs!$G$13),Inputs!$I$13,0))</f>
        <v>568942.8125</v>
      </c>
      <c r="E32" s="2" t="n">
        <f aca="false">IF(A32=0,Inputs!$E$14,IF(AND(A32&gt;=Inputs!$F$14,A32&lt;=Inputs!$G$14),Inputs!$I$14,0))</f>
        <v>341365.708333333</v>
      </c>
      <c r="F32" s="2" t="n">
        <f aca="false">IF(A32=0,Inputs!$E$15,IF(AND(A32&gt;=Inputs!$F$15,A32&lt;=Inputs!$G$15),Inputs!$I$15,0))</f>
        <v>227577.145833333</v>
      </c>
      <c r="G32" s="2" t="n">
        <f aca="false">IF(A32=0,Inputs!$E$16,IF(AND(A32&gt;=Inputs!$F$16,A32&lt;=Inputs!$G$16),Inputs!$I$16,0))</f>
        <v>227577.145833333</v>
      </c>
      <c r="H32" s="2" t="n">
        <f aca="false">IF(A32=0,Inputs!$E$17,IF(AND(A32&gt;=Inputs!$F$17,A32&lt;=Inputs!$G$17),Inputs!$I$17,0))</f>
        <v>227577.145833333</v>
      </c>
      <c r="I32" s="2" t="n">
        <f aca="false">IF(A32=0,Inputs!$E$18,IF(AND(A32&gt;=Inputs!$F$18,A32&lt;=Inputs!$G$18),Inputs!$I$18,0))</f>
        <v>227577.145833333</v>
      </c>
      <c r="J32" s="2" t="n">
        <f aca="false">IF(A32=0,Inputs!$E$19,IF(AND(A32&gt;=Inputs!$F$19,A32&lt;=Inputs!$G$19),Inputs!$I$19,0))</f>
        <v>47478.8333333333</v>
      </c>
      <c r="K32" s="2" t="n">
        <f aca="false">IF(A32=0,Inputs!$E$20,IF(AND(A32&gt;=Inputs!$F$20,A32&lt;=Inputs!$G$20),Inputs!$I$20,0))</f>
        <v>7291666.66666667</v>
      </c>
      <c r="L32" s="2" t="n">
        <f aca="false">IF(A32=0,Inputs!$E$21,IF(AND(A32&gt;=Inputs!$F$21,A32&lt;=Inputs!$G$21),Inputs!$I$21,0))</f>
        <v>833333.333333333</v>
      </c>
      <c r="M32" s="2" t="n">
        <f aca="false">IF(A32=0,Inputs!$E$22,IF(AND(A32&gt;=Inputs!$F$22,A32&lt;=Inputs!$G$22),Inputs!$I$22,0))</f>
        <v>0</v>
      </c>
      <c r="N32" s="2" t="n">
        <f aca="false">IF(A32&lt;Inputs!$B$9,0,IF(A32&lt;=12,Inputs!$B$8,Inputs!$B$6*(1-Inputs!$B$7)^(INT((A32-13)/12)+1)/12))</f>
        <v>2890000</v>
      </c>
      <c r="O32" s="2" t="n">
        <f aca="false">IF(A32=0,Inputs!$E$24,IF(AND(A32&gt;=Inputs!$F$24,A32&lt;=Inputs!$G$24),Inputs!$I$24,0))</f>
        <v>500000</v>
      </c>
      <c r="P32" s="2" t="n">
        <f aca="false">IF(A32=0,Inputs!$E$25,IF(AND(A32&gt;=Inputs!$F$25,A32&lt;=Inputs!$G$25),Inputs!$I$25,0))</f>
        <v>1666666.66666667</v>
      </c>
      <c r="Q32" s="2" t="n">
        <f aca="false">IF(A32=0,Inputs!$E$26,IF(AND(A32&gt;=Inputs!$F$26,A32&lt;=Inputs!$G$26),Inputs!$I$26,0))</f>
        <v>1666666.66666667</v>
      </c>
      <c r="R32" s="2" t="n">
        <f aca="false">IF(A32=0,Inputs!$E$27,IF(AND(A32&gt;=Inputs!$F$27,A32&lt;=Inputs!$G$27),Inputs!$I$27,0))</f>
        <v>2000000</v>
      </c>
      <c r="S32" s="2" t="n">
        <f aca="false">IF(A32=0,Inputs!$E$28,IF(AND(A32&gt;=Inputs!$F$28,A32&lt;=Inputs!$G$28),Inputs!$I$28,0))</f>
        <v>0</v>
      </c>
      <c r="T32" s="2" t="n">
        <f aca="false">IF(A32=0,Inputs!$E$29,IF(AND(A32&gt;=Inputs!$F$29,A32&lt;=Inputs!$G$29),Inputs!$I$29,0))</f>
        <v>0</v>
      </c>
      <c r="U32" s="2" t="n">
        <f aca="false">SUM(C32:T32)</f>
        <v>18931666.6666667</v>
      </c>
      <c r="V32" s="2" t="n">
        <f aca="false">V31+U32</f>
        <v>405095000</v>
      </c>
      <c r="W32" s="4" t="n">
        <f aca="false">V32/Inputs!$B$4</f>
        <v>0.405095</v>
      </c>
    </row>
    <row r="33" customFormat="false" ht="15" hidden="false" customHeight="false" outlineLevel="0" collapsed="false">
      <c r="A33" s="0" t="n">
        <v>28</v>
      </c>
      <c r="B33" s="3" t="n">
        <f aca="false">EDATE(Inputs!$B$5,A33)</f>
        <v>47274</v>
      </c>
      <c r="C33" s="2" t="n">
        <f aca="false">IF(A33=0,Inputs!$E$12,IF(AND(A33&gt;=Inputs!$F$12,A33&lt;=Inputs!$G$12),Inputs!$I$12,0))</f>
        <v>215237.395833333</v>
      </c>
      <c r="D33" s="2" t="n">
        <f aca="false">IF(A33=0,Inputs!$E$13,IF(AND(A33&gt;=Inputs!$F$13,A33&lt;=Inputs!$G$13),Inputs!$I$13,0))</f>
        <v>568942.8125</v>
      </c>
      <c r="E33" s="2" t="n">
        <f aca="false">IF(A33=0,Inputs!$E$14,IF(AND(A33&gt;=Inputs!$F$14,A33&lt;=Inputs!$G$14),Inputs!$I$14,0))</f>
        <v>341365.708333333</v>
      </c>
      <c r="F33" s="2" t="n">
        <f aca="false">IF(A33=0,Inputs!$E$15,IF(AND(A33&gt;=Inputs!$F$15,A33&lt;=Inputs!$G$15),Inputs!$I$15,0))</f>
        <v>227577.145833333</v>
      </c>
      <c r="G33" s="2" t="n">
        <f aca="false">IF(A33=0,Inputs!$E$16,IF(AND(A33&gt;=Inputs!$F$16,A33&lt;=Inputs!$G$16),Inputs!$I$16,0))</f>
        <v>227577.145833333</v>
      </c>
      <c r="H33" s="2" t="n">
        <f aca="false">IF(A33=0,Inputs!$E$17,IF(AND(A33&gt;=Inputs!$F$17,A33&lt;=Inputs!$G$17),Inputs!$I$17,0))</f>
        <v>227577.145833333</v>
      </c>
      <c r="I33" s="2" t="n">
        <f aca="false">IF(A33=0,Inputs!$E$18,IF(AND(A33&gt;=Inputs!$F$18,A33&lt;=Inputs!$G$18),Inputs!$I$18,0))</f>
        <v>227577.145833333</v>
      </c>
      <c r="J33" s="2" t="n">
        <f aca="false">IF(A33=0,Inputs!$E$19,IF(AND(A33&gt;=Inputs!$F$19,A33&lt;=Inputs!$G$19),Inputs!$I$19,0))</f>
        <v>47478.8333333333</v>
      </c>
      <c r="K33" s="2" t="n">
        <f aca="false">IF(A33=0,Inputs!$E$20,IF(AND(A33&gt;=Inputs!$F$20,A33&lt;=Inputs!$G$20),Inputs!$I$20,0))</f>
        <v>7291666.66666667</v>
      </c>
      <c r="L33" s="2" t="n">
        <f aca="false">IF(A33=0,Inputs!$E$21,IF(AND(A33&gt;=Inputs!$F$21,A33&lt;=Inputs!$G$21),Inputs!$I$21,0))</f>
        <v>833333.333333333</v>
      </c>
      <c r="M33" s="2" t="n">
        <f aca="false">IF(A33=0,Inputs!$E$22,IF(AND(A33&gt;=Inputs!$F$22,A33&lt;=Inputs!$G$22),Inputs!$I$22,0))</f>
        <v>0</v>
      </c>
      <c r="N33" s="2" t="n">
        <f aca="false">IF(A33&lt;Inputs!$B$9,0,IF(A33&lt;=12,Inputs!$B$8,Inputs!$B$6*(1-Inputs!$B$7)^(INT((A33-13)/12)+1)/12))</f>
        <v>2890000</v>
      </c>
      <c r="O33" s="2" t="n">
        <f aca="false">IF(A33=0,Inputs!$E$24,IF(AND(A33&gt;=Inputs!$F$24,A33&lt;=Inputs!$G$24),Inputs!$I$24,0))</f>
        <v>500000</v>
      </c>
      <c r="P33" s="2" t="n">
        <f aca="false">IF(A33=0,Inputs!$E$25,IF(AND(A33&gt;=Inputs!$F$25,A33&lt;=Inputs!$G$25),Inputs!$I$25,0))</f>
        <v>1666666.66666667</v>
      </c>
      <c r="Q33" s="2" t="n">
        <f aca="false">IF(A33=0,Inputs!$E$26,IF(AND(A33&gt;=Inputs!$F$26,A33&lt;=Inputs!$G$26),Inputs!$I$26,0))</f>
        <v>1666666.66666667</v>
      </c>
      <c r="R33" s="2" t="n">
        <f aca="false">IF(A33=0,Inputs!$E$27,IF(AND(A33&gt;=Inputs!$F$27,A33&lt;=Inputs!$G$27),Inputs!$I$27,0))</f>
        <v>2000000</v>
      </c>
      <c r="S33" s="2" t="n">
        <f aca="false">IF(A33=0,Inputs!$E$28,IF(AND(A33&gt;=Inputs!$F$28,A33&lt;=Inputs!$G$28),Inputs!$I$28,0))</f>
        <v>0</v>
      </c>
      <c r="T33" s="2" t="n">
        <f aca="false">IF(A33=0,Inputs!$E$29,IF(AND(A33&gt;=Inputs!$F$29,A33&lt;=Inputs!$G$29),Inputs!$I$29,0))</f>
        <v>0</v>
      </c>
      <c r="U33" s="2" t="n">
        <f aca="false">SUM(C33:T33)</f>
        <v>18931666.6666667</v>
      </c>
      <c r="V33" s="2" t="n">
        <f aca="false">V32+U33</f>
        <v>424026666.666667</v>
      </c>
      <c r="W33" s="4" t="n">
        <f aca="false">V33/Inputs!$B$4</f>
        <v>0.424026666666667</v>
      </c>
    </row>
    <row r="34" customFormat="false" ht="15" hidden="false" customHeight="false" outlineLevel="0" collapsed="false">
      <c r="A34" s="0" t="n">
        <v>29</v>
      </c>
      <c r="B34" s="3" t="n">
        <f aca="false">EDATE(Inputs!$B$5,A34)</f>
        <v>47304</v>
      </c>
      <c r="C34" s="2" t="n">
        <f aca="false">IF(A34=0,Inputs!$E$12,IF(AND(A34&gt;=Inputs!$F$12,A34&lt;=Inputs!$G$12),Inputs!$I$12,0))</f>
        <v>215237.395833333</v>
      </c>
      <c r="D34" s="2" t="n">
        <f aca="false">IF(A34=0,Inputs!$E$13,IF(AND(A34&gt;=Inputs!$F$13,A34&lt;=Inputs!$G$13),Inputs!$I$13,0))</f>
        <v>568942.8125</v>
      </c>
      <c r="E34" s="2" t="n">
        <f aca="false">IF(A34=0,Inputs!$E$14,IF(AND(A34&gt;=Inputs!$F$14,A34&lt;=Inputs!$G$14),Inputs!$I$14,0))</f>
        <v>341365.708333333</v>
      </c>
      <c r="F34" s="2" t="n">
        <f aca="false">IF(A34=0,Inputs!$E$15,IF(AND(A34&gt;=Inputs!$F$15,A34&lt;=Inputs!$G$15),Inputs!$I$15,0))</f>
        <v>227577.145833333</v>
      </c>
      <c r="G34" s="2" t="n">
        <f aca="false">IF(A34=0,Inputs!$E$16,IF(AND(A34&gt;=Inputs!$F$16,A34&lt;=Inputs!$G$16),Inputs!$I$16,0))</f>
        <v>227577.145833333</v>
      </c>
      <c r="H34" s="2" t="n">
        <f aca="false">IF(A34=0,Inputs!$E$17,IF(AND(A34&gt;=Inputs!$F$17,A34&lt;=Inputs!$G$17),Inputs!$I$17,0))</f>
        <v>227577.145833333</v>
      </c>
      <c r="I34" s="2" t="n">
        <f aca="false">IF(A34=0,Inputs!$E$18,IF(AND(A34&gt;=Inputs!$F$18,A34&lt;=Inputs!$G$18),Inputs!$I$18,0))</f>
        <v>227577.145833333</v>
      </c>
      <c r="J34" s="2" t="n">
        <f aca="false">IF(A34=0,Inputs!$E$19,IF(AND(A34&gt;=Inputs!$F$19,A34&lt;=Inputs!$G$19),Inputs!$I$19,0))</f>
        <v>47478.8333333333</v>
      </c>
      <c r="K34" s="2" t="n">
        <f aca="false">IF(A34=0,Inputs!$E$20,IF(AND(A34&gt;=Inputs!$F$20,A34&lt;=Inputs!$G$20),Inputs!$I$20,0))</f>
        <v>7291666.66666667</v>
      </c>
      <c r="L34" s="2" t="n">
        <f aca="false">IF(A34=0,Inputs!$E$21,IF(AND(A34&gt;=Inputs!$F$21,A34&lt;=Inputs!$G$21),Inputs!$I$21,0))</f>
        <v>833333.333333333</v>
      </c>
      <c r="M34" s="2" t="n">
        <f aca="false">IF(A34=0,Inputs!$E$22,IF(AND(A34&gt;=Inputs!$F$22,A34&lt;=Inputs!$G$22),Inputs!$I$22,0))</f>
        <v>0</v>
      </c>
      <c r="N34" s="2" t="n">
        <f aca="false">IF(A34&lt;Inputs!$B$9,0,IF(A34&lt;=12,Inputs!$B$8,Inputs!$B$6*(1-Inputs!$B$7)^(INT((A34-13)/12)+1)/12))</f>
        <v>2890000</v>
      </c>
      <c r="O34" s="2" t="n">
        <f aca="false">IF(A34=0,Inputs!$E$24,IF(AND(A34&gt;=Inputs!$F$24,A34&lt;=Inputs!$G$24),Inputs!$I$24,0))</f>
        <v>500000</v>
      </c>
      <c r="P34" s="2" t="n">
        <f aca="false">IF(A34=0,Inputs!$E$25,IF(AND(A34&gt;=Inputs!$F$25,A34&lt;=Inputs!$G$25),Inputs!$I$25,0))</f>
        <v>1666666.66666667</v>
      </c>
      <c r="Q34" s="2" t="n">
        <f aca="false">IF(A34=0,Inputs!$E$26,IF(AND(A34&gt;=Inputs!$F$26,A34&lt;=Inputs!$G$26),Inputs!$I$26,0))</f>
        <v>1666666.66666667</v>
      </c>
      <c r="R34" s="2" t="n">
        <f aca="false">IF(A34=0,Inputs!$E$27,IF(AND(A34&gt;=Inputs!$F$27,A34&lt;=Inputs!$G$27),Inputs!$I$27,0))</f>
        <v>2000000</v>
      </c>
      <c r="S34" s="2" t="n">
        <f aca="false">IF(A34=0,Inputs!$E$28,IF(AND(A34&gt;=Inputs!$F$28,A34&lt;=Inputs!$G$28),Inputs!$I$28,0))</f>
        <v>0</v>
      </c>
      <c r="T34" s="2" t="n">
        <f aca="false">IF(A34=0,Inputs!$E$29,IF(AND(A34&gt;=Inputs!$F$29,A34&lt;=Inputs!$G$29),Inputs!$I$29,0))</f>
        <v>0</v>
      </c>
      <c r="U34" s="2" t="n">
        <f aca="false">SUM(C34:T34)</f>
        <v>18931666.6666667</v>
      </c>
      <c r="V34" s="2" t="n">
        <f aca="false">V33+U34</f>
        <v>442958333.333334</v>
      </c>
      <c r="W34" s="4" t="n">
        <f aca="false">V34/Inputs!$B$4</f>
        <v>0.442958333333334</v>
      </c>
    </row>
    <row r="35" customFormat="false" ht="15" hidden="false" customHeight="false" outlineLevel="0" collapsed="false">
      <c r="A35" s="0" t="n">
        <v>30</v>
      </c>
      <c r="B35" s="3" t="n">
        <f aca="false">EDATE(Inputs!$B$5,A35)</f>
        <v>47335</v>
      </c>
      <c r="C35" s="2" t="n">
        <f aca="false">IF(A35=0,Inputs!$E$12,IF(AND(A35&gt;=Inputs!$F$12,A35&lt;=Inputs!$G$12),Inputs!$I$12,0))</f>
        <v>215237.395833333</v>
      </c>
      <c r="D35" s="2" t="n">
        <f aca="false">IF(A35=0,Inputs!$E$13,IF(AND(A35&gt;=Inputs!$F$13,A35&lt;=Inputs!$G$13),Inputs!$I$13,0))</f>
        <v>568942.8125</v>
      </c>
      <c r="E35" s="2" t="n">
        <f aca="false">IF(A35=0,Inputs!$E$14,IF(AND(A35&gt;=Inputs!$F$14,A35&lt;=Inputs!$G$14),Inputs!$I$14,0))</f>
        <v>341365.708333333</v>
      </c>
      <c r="F35" s="2" t="n">
        <f aca="false">IF(A35=0,Inputs!$E$15,IF(AND(A35&gt;=Inputs!$F$15,A35&lt;=Inputs!$G$15),Inputs!$I$15,0))</f>
        <v>227577.145833333</v>
      </c>
      <c r="G35" s="2" t="n">
        <f aca="false">IF(A35=0,Inputs!$E$16,IF(AND(A35&gt;=Inputs!$F$16,A35&lt;=Inputs!$G$16),Inputs!$I$16,0))</f>
        <v>227577.145833333</v>
      </c>
      <c r="H35" s="2" t="n">
        <f aca="false">IF(A35=0,Inputs!$E$17,IF(AND(A35&gt;=Inputs!$F$17,A35&lt;=Inputs!$G$17),Inputs!$I$17,0))</f>
        <v>227577.145833333</v>
      </c>
      <c r="I35" s="2" t="n">
        <f aca="false">IF(A35=0,Inputs!$E$18,IF(AND(A35&gt;=Inputs!$F$18,A35&lt;=Inputs!$G$18),Inputs!$I$18,0))</f>
        <v>227577.145833333</v>
      </c>
      <c r="J35" s="2" t="n">
        <f aca="false">IF(A35=0,Inputs!$E$19,IF(AND(A35&gt;=Inputs!$F$19,A35&lt;=Inputs!$G$19),Inputs!$I$19,0))</f>
        <v>47478.8333333333</v>
      </c>
      <c r="K35" s="2" t="n">
        <f aca="false">IF(A35=0,Inputs!$E$20,IF(AND(A35&gt;=Inputs!$F$20,A35&lt;=Inputs!$G$20),Inputs!$I$20,0))</f>
        <v>7291666.66666667</v>
      </c>
      <c r="L35" s="2" t="n">
        <f aca="false">IF(A35=0,Inputs!$E$21,IF(AND(A35&gt;=Inputs!$F$21,A35&lt;=Inputs!$G$21),Inputs!$I$21,0))</f>
        <v>833333.333333333</v>
      </c>
      <c r="M35" s="2" t="n">
        <f aca="false">IF(A35=0,Inputs!$E$22,IF(AND(A35&gt;=Inputs!$F$22,A35&lt;=Inputs!$G$22),Inputs!$I$22,0))</f>
        <v>0</v>
      </c>
      <c r="N35" s="2" t="n">
        <f aca="false">IF(A35&lt;Inputs!$B$9,0,IF(A35&lt;=12,Inputs!$B$8,Inputs!$B$6*(1-Inputs!$B$7)^(INT((A35-13)/12)+1)/12))</f>
        <v>2890000</v>
      </c>
      <c r="O35" s="2" t="n">
        <f aca="false">IF(A35=0,Inputs!$E$24,IF(AND(A35&gt;=Inputs!$F$24,A35&lt;=Inputs!$G$24),Inputs!$I$24,0))</f>
        <v>500000</v>
      </c>
      <c r="P35" s="2" t="n">
        <f aca="false">IF(A35=0,Inputs!$E$25,IF(AND(A35&gt;=Inputs!$F$25,A35&lt;=Inputs!$G$25),Inputs!$I$25,0))</f>
        <v>1666666.66666667</v>
      </c>
      <c r="Q35" s="2" t="n">
        <f aca="false">IF(A35=0,Inputs!$E$26,IF(AND(A35&gt;=Inputs!$F$26,A35&lt;=Inputs!$G$26),Inputs!$I$26,0))</f>
        <v>1666666.66666667</v>
      </c>
      <c r="R35" s="2" t="n">
        <f aca="false">IF(A35=0,Inputs!$E$27,IF(AND(A35&gt;=Inputs!$F$27,A35&lt;=Inputs!$G$27),Inputs!$I$27,0))</f>
        <v>2000000</v>
      </c>
      <c r="S35" s="2" t="n">
        <f aca="false">IF(A35=0,Inputs!$E$28,IF(AND(A35&gt;=Inputs!$F$28,A35&lt;=Inputs!$G$28),Inputs!$I$28,0))</f>
        <v>0</v>
      </c>
      <c r="T35" s="2" t="n">
        <f aca="false">IF(A35=0,Inputs!$E$29,IF(AND(A35&gt;=Inputs!$F$29,A35&lt;=Inputs!$G$29),Inputs!$I$29,0))</f>
        <v>0</v>
      </c>
      <c r="U35" s="2" t="n">
        <f aca="false">SUM(C35:T35)</f>
        <v>18931666.6666667</v>
      </c>
      <c r="V35" s="2" t="n">
        <f aca="false">V34+U35</f>
        <v>461890000</v>
      </c>
      <c r="W35" s="4" t="n">
        <f aca="false">V35/Inputs!$B$4</f>
        <v>0.46189</v>
      </c>
    </row>
    <row r="36" customFormat="false" ht="15" hidden="false" customHeight="false" outlineLevel="0" collapsed="false">
      <c r="A36" s="0" t="n">
        <v>31</v>
      </c>
      <c r="B36" s="3" t="n">
        <f aca="false">EDATE(Inputs!$B$5,A36)</f>
        <v>47366</v>
      </c>
      <c r="C36" s="2" t="n">
        <f aca="false">IF(A36=0,Inputs!$E$12,IF(AND(A36&gt;=Inputs!$F$12,A36&lt;=Inputs!$G$12),Inputs!$I$12,0))</f>
        <v>215237.395833333</v>
      </c>
      <c r="D36" s="2" t="n">
        <f aca="false">IF(A36=0,Inputs!$E$13,IF(AND(A36&gt;=Inputs!$F$13,A36&lt;=Inputs!$G$13),Inputs!$I$13,0))</f>
        <v>568942.8125</v>
      </c>
      <c r="E36" s="2" t="n">
        <f aca="false">IF(A36=0,Inputs!$E$14,IF(AND(A36&gt;=Inputs!$F$14,A36&lt;=Inputs!$G$14),Inputs!$I$14,0))</f>
        <v>341365.708333333</v>
      </c>
      <c r="F36" s="2" t="n">
        <f aca="false">IF(A36=0,Inputs!$E$15,IF(AND(A36&gt;=Inputs!$F$15,A36&lt;=Inputs!$G$15),Inputs!$I$15,0))</f>
        <v>227577.145833333</v>
      </c>
      <c r="G36" s="2" t="n">
        <f aca="false">IF(A36=0,Inputs!$E$16,IF(AND(A36&gt;=Inputs!$F$16,A36&lt;=Inputs!$G$16),Inputs!$I$16,0))</f>
        <v>227577.145833333</v>
      </c>
      <c r="H36" s="2" t="n">
        <f aca="false">IF(A36=0,Inputs!$E$17,IF(AND(A36&gt;=Inputs!$F$17,A36&lt;=Inputs!$G$17),Inputs!$I$17,0))</f>
        <v>227577.145833333</v>
      </c>
      <c r="I36" s="2" t="n">
        <f aca="false">IF(A36=0,Inputs!$E$18,IF(AND(A36&gt;=Inputs!$F$18,A36&lt;=Inputs!$G$18),Inputs!$I$18,0))</f>
        <v>227577.145833333</v>
      </c>
      <c r="J36" s="2" t="n">
        <f aca="false">IF(A36=0,Inputs!$E$19,IF(AND(A36&gt;=Inputs!$F$19,A36&lt;=Inputs!$G$19),Inputs!$I$19,0))</f>
        <v>47478.8333333333</v>
      </c>
      <c r="K36" s="2" t="n">
        <f aca="false">IF(A36=0,Inputs!$E$20,IF(AND(A36&gt;=Inputs!$F$20,A36&lt;=Inputs!$G$20),Inputs!$I$20,0))</f>
        <v>7291666.66666667</v>
      </c>
      <c r="L36" s="2" t="n">
        <f aca="false">IF(A36=0,Inputs!$E$21,IF(AND(A36&gt;=Inputs!$F$21,A36&lt;=Inputs!$G$21),Inputs!$I$21,0))</f>
        <v>833333.333333333</v>
      </c>
      <c r="M36" s="2" t="n">
        <f aca="false">IF(A36=0,Inputs!$E$22,IF(AND(A36&gt;=Inputs!$F$22,A36&lt;=Inputs!$G$22),Inputs!$I$22,0))</f>
        <v>0</v>
      </c>
      <c r="N36" s="2" t="n">
        <f aca="false">IF(A36&lt;Inputs!$B$9,0,IF(A36&lt;=12,Inputs!$B$8,Inputs!$B$6*(1-Inputs!$B$7)^(INT((A36-13)/12)+1)/12))</f>
        <v>2890000</v>
      </c>
      <c r="O36" s="2" t="n">
        <f aca="false">IF(A36=0,Inputs!$E$24,IF(AND(A36&gt;=Inputs!$F$24,A36&lt;=Inputs!$G$24),Inputs!$I$24,0))</f>
        <v>0</v>
      </c>
      <c r="P36" s="2" t="n">
        <f aca="false">IF(A36=0,Inputs!$E$25,IF(AND(A36&gt;=Inputs!$F$25,A36&lt;=Inputs!$G$25),Inputs!$I$25,0))</f>
        <v>1666666.66666667</v>
      </c>
      <c r="Q36" s="2" t="n">
        <f aca="false">IF(A36=0,Inputs!$E$26,IF(AND(A36&gt;=Inputs!$F$26,A36&lt;=Inputs!$G$26),Inputs!$I$26,0))</f>
        <v>1666666.66666667</v>
      </c>
      <c r="R36" s="2" t="n">
        <f aca="false">IF(A36=0,Inputs!$E$27,IF(AND(A36&gt;=Inputs!$F$27,A36&lt;=Inputs!$G$27),Inputs!$I$27,0))</f>
        <v>2000000</v>
      </c>
      <c r="S36" s="2" t="n">
        <f aca="false">IF(A36=0,Inputs!$E$28,IF(AND(A36&gt;=Inputs!$F$28,A36&lt;=Inputs!$G$28),Inputs!$I$28,0))</f>
        <v>0</v>
      </c>
      <c r="T36" s="2" t="n">
        <f aca="false">IF(A36=0,Inputs!$E$29,IF(AND(A36&gt;=Inputs!$F$29,A36&lt;=Inputs!$G$29),Inputs!$I$29,0))</f>
        <v>0</v>
      </c>
      <c r="U36" s="2" t="n">
        <f aca="false">SUM(C36:T36)</f>
        <v>18431666.6666667</v>
      </c>
      <c r="V36" s="2" t="n">
        <f aca="false">V35+U36</f>
        <v>480321666.666667</v>
      </c>
      <c r="W36" s="4" t="n">
        <f aca="false">V36/Inputs!$B$4</f>
        <v>0.480321666666667</v>
      </c>
    </row>
    <row r="37" customFormat="false" ht="15" hidden="false" customHeight="false" outlineLevel="0" collapsed="false">
      <c r="A37" s="0" t="n">
        <v>32</v>
      </c>
      <c r="B37" s="3" t="n">
        <f aca="false">EDATE(Inputs!$B$5,A37)</f>
        <v>47396</v>
      </c>
      <c r="C37" s="2" t="n">
        <f aca="false">IF(A37=0,Inputs!$E$12,IF(AND(A37&gt;=Inputs!$F$12,A37&lt;=Inputs!$G$12),Inputs!$I$12,0))</f>
        <v>215237.395833333</v>
      </c>
      <c r="D37" s="2" t="n">
        <f aca="false">IF(A37=0,Inputs!$E$13,IF(AND(A37&gt;=Inputs!$F$13,A37&lt;=Inputs!$G$13),Inputs!$I$13,0))</f>
        <v>568942.8125</v>
      </c>
      <c r="E37" s="2" t="n">
        <f aca="false">IF(A37=0,Inputs!$E$14,IF(AND(A37&gt;=Inputs!$F$14,A37&lt;=Inputs!$G$14),Inputs!$I$14,0))</f>
        <v>341365.708333333</v>
      </c>
      <c r="F37" s="2" t="n">
        <f aca="false">IF(A37=0,Inputs!$E$15,IF(AND(A37&gt;=Inputs!$F$15,A37&lt;=Inputs!$G$15),Inputs!$I$15,0))</f>
        <v>227577.145833333</v>
      </c>
      <c r="G37" s="2" t="n">
        <f aca="false">IF(A37=0,Inputs!$E$16,IF(AND(A37&gt;=Inputs!$F$16,A37&lt;=Inputs!$G$16),Inputs!$I$16,0))</f>
        <v>227577.145833333</v>
      </c>
      <c r="H37" s="2" t="n">
        <f aca="false">IF(A37=0,Inputs!$E$17,IF(AND(A37&gt;=Inputs!$F$17,A37&lt;=Inputs!$G$17),Inputs!$I$17,0))</f>
        <v>227577.145833333</v>
      </c>
      <c r="I37" s="2" t="n">
        <f aca="false">IF(A37=0,Inputs!$E$18,IF(AND(A37&gt;=Inputs!$F$18,A37&lt;=Inputs!$G$18),Inputs!$I$18,0))</f>
        <v>227577.145833333</v>
      </c>
      <c r="J37" s="2" t="n">
        <f aca="false">IF(A37=0,Inputs!$E$19,IF(AND(A37&gt;=Inputs!$F$19,A37&lt;=Inputs!$G$19),Inputs!$I$19,0))</f>
        <v>47478.8333333333</v>
      </c>
      <c r="K37" s="2" t="n">
        <f aca="false">IF(A37=0,Inputs!$E$20,IF(AND(A37&gt;=Inputs!$F$20,A37&lt;=Inputs!$G$20),Inputs!$I$20,0))</f>
        <v>7291666.66666667</v>
      </c>
      <c r="L37" s="2" t="n">
        <f aca="false">IF(A37=0,Inputs!$E$21,IF(AND(A37&gt;=Inputs!$F$21,A37&lt;=Inputs!$G$21),Inputs!$I$21,0))</f>
        <v>833333.333333333</v>
      </c>
      <c r="M37" s="2" t="n">
        <f aca="false">IF(A37=0,Inputs!$E$22,IF(AND(A37&gt;=Inputs!$F$22,A37&lt;=Inputs!$G$22),Inputs!$I$22,0))</f>
        <v>0</v>
      </c>
      <c r="N37" s="2" t="n">
        <f aca="false">IF(A37&lt;Inputs!$B$9,0,IF(A37&lt;=12,Inputs!$B$8,Inputs!$B$6*(1-Inputs!$B$7)^(INT((A37-13)/12)+1)/12))</f>
        <v>2890000</v>
      </c>
      <c r="O37" s="2" t="n">
        <f aca="false">IF(A37=0,Inputs!$E$24,IF(AND(A37&gt;=Inputs!$F$24,A37&lt;=Inputs!$G$24),Inputs!$I$24,0))</f>
        <v>0</v>
      </c>
      <c r="P37" s="2" t="n">
        <f aca="false">IF(A37=0,Inputs!$E$25,IF(AND(A37&gt;=Inputs!$F$25,A37&lt;=Inputs!$G$25),Inputs!$I$25,0))</f>
        <v>1666666.66666667</v>
      </c>
      <c r="Q37" s="2" t="n">
        <f aca="false">IF(A37=0,Inputs!$E$26,IF(AND(A37&gt;=Inputs!$F$26,A37&lt;=Inputs!$G$26),Inputs!$I$26,0))</f>
        <v>1666666.66666667</v>
      </c>
      <c r="R37" s="2" t="n">
        <f aca="false">IF(A37=0,Inputs!$E$27,IF(AND(A37&gt;=Inputs!$F$27,A37&lt;=Inputs!$G$27),Inputs!$I$27,0))</f>
        <v>2000000</v>
      </c>
      <c r="S37" s="2" t="n">
        <f aca="false">IF(A37=0,Inputs!$E$28,IF(AND(A37&gt;=Inputs!$F$28,A37&lt;=Inputs!$G$28),Inputs!$I$28,0))</f>
        <v>0</v>
      </c>
      <c r="T37" s="2" t="n">
        <f aca="false">IF(A37=0,Inputs!$E$29,IF(AND(A37&gt;=Inputs!$F$29,A37&lt;=Inputs!$G$29),Inputs!$I$29,0))</f>
        <v>0</v>
      </c>
      <c r="U37" s="2" t="n">
        <f aca="false">SUM(C37:T37)</f>
        <v>18431666.6666667</v>
      </c>
      <c r="V37" s="2" t="n">
        <f aca="false">V36+U37</f>
        <v>498753333.333334</v>
      </c>
      <c r="W37" s="4" t="n">
        <f aca="false">V37/Inputs!$B$4</f>
        <v>0.498753333333334</v>
      </c>
    </row>
    <row r="38" customFormat="false" ht="15" hidden="false" customHeight="false" outlineLevel="0" collapsed="false">
      <c r="A38" s="0" t="n">
        <v>33</v>
      </c>
      <c r="B38" s="3" t="n">
        <f aca="false">EDATE(Inputs!$B$5,A38)</f>
        <v>47427</v>
      </c>
      <c r="C38" s="2" t="n">
        <f aca="false">IF(A38=0,Inputs!$E$12,IF(AND(A38&gt;=Inputs!$F$12,A38&lt;=Inputs!$G$12),Inputs!$I$12,0))</f>
        <v>215237.395833333</v>
      </c>
      <c r="D38" s="2" t="n">
        <f aca="false">IF(A38=0,Inputs!$E$13,IF(AND(A38&gt;=Inputs!$F$13,A38&lt;=Inputs!$G$13),Inputs!$I$13,0))</f>
        <v>568942.8125</v>
      </c>
      <c r="E38" s="2" t="n">
        <f aca="false">IF(A38=0,Inputs!$E$14,IF(AND(A38&gt;=Inputs!$F$14,A38&lt;=Inputs!$G$14),Inputs!$I$14,0))</f>
        <v>341365.708333333</v>
      </c>
      <c r="F38" s="2" t="n">
        <f aca="false">IF(A38=0,Inputs!$E$15,IF(AND(A38&gt;=Inputs!$F$15,A38&lt;=Inputs!$G$15),Inputs!$I$15,0))</f>
        <v>227577.145833333</v>
      </c>
      <c r="G38" s="2" t="n">
        <f aca="false">IF(A38=0,Inputs!$E$16,IF(AND(A38&gt;=Inputs!$F$16,A38&lt;=Inputs!$G$16),Inputs!$I$16,0))</f>
        <v>227577.145833333</v>
      </c>
      <c r="H38" s="2" t="n">
        <f aca="false">IF(A38=0,Inputs!$E$17,IF(AND(A38&gt;=Inputs!$F$17,A38&lt;=Inputs!$G$17),Inputs!$I$17,0))</f>
        <v>227577.145833333</v>
      </c>
      <c r="I38" s="2" t="n">
        <f aca="false">IF(A38=0,Inputs!$E$18,IF(AND(A38&gt;=Inputs!$F$18,A38&lt;=Inputs!$G$18),Inputs!$I$18,0))</f>
        <v>227577.145833333</v>
      </c>
      <c r="J38" s="2" t="n">
        <f aca="false">IF(A38=0,Inputs!$E$19,IF(AND(A38&gt;=Inputs!$F$19,A38&lt;=Inputs!$G$19),Inputs!$I$19,0))</f>
        <v>47478.8333333333</v>
      </c>
      <c r="K38" s="2" t="n">
        <f aca="false">IF(A38=0,Inputs!$E$20,IF(AND(A38&gt;=Inputs!$F$20,A38&lt;=Inputs!$G$20),Inputs!$I$20,0))</f>
        <v>7291666.66666667</v>
      </c>
      <c r="L38" s="2" t="n">
        <f aca="false">IF(A38=0,Inputs!$E$21,IF(AND(A38&gt;=Inputs!$F$21,A38&lt;=Inputs!$G$21),Inputs!$I$21,0))</f>
        <v>833333.333333333</v>
      </c>
      <c r="M38" s="2" t="n">
        <f aca="false">IF(A38=0,Inputs!$E$22,IF(AND(A38&gt;=Inputs!$F$22,A38&lt;=Inputs!$G$22),Inputs!$I$22,0))</f>
        <v>0</v>
      </c>
      <c r="N38" s="2" t="n">
        <f aca="false">IF(A38&lt;Inputs!$B$9,0,IF(A38&lt;=12,Inputs!$B$8,Inputs!$B$6*(1-Inputs!$B$7)^(INT((A38-13)/12)+1)/12))</f>
        <v>2890000</v>
      </c>
      <c r="O38" s="2" t="n">
        <f aca="false">IF(A38=0,Inputs!$E$24,IF(AND(A38&gt;=Inputs!$F$24,A38&lt;=Inputs!$G$24),Inputs!$I$24,0))</f>
        <v>0</v>
      </c>
      <c r="P38" s="2" t="n">
        <f aca="false">IF(A38=0,Inputs!$E$25,IF(AND(A38&gt;=Inputs!$F$25,A38&lt;=Inputs!$G$25),Inputs!$I$25,0))</f>
        <v>1666666.66666667</v>
      </c>
      <c r="Q38" s="2" t="n">
        <f aca="false">IF(A38=0,Inputs!$E$26,IF(AND(A38&gt;=Inputs!$F$26,A38&lt;=Inputs!$G$26),Inputs!$I$26,0))</f>
        <v>1666666.66666667</v>
      </c>
      <c r="R38" s="2" t="n">
        <f aca="false">IF(A38=0,Inputs!$E$27,IF(AND(A38&gt;=Inputs!$F$27,A38&lt;=Inputs!$G$27),Inputs!$I$27,0))</f>
        <v>2000000</v>
      </c>
      <c r="S38" s="2" t="n">
        <f aca="false">IF(A38=0,Inputs!$E$28,IF(AND(A38&gt;=Inputs!$F$28,A38&lt;=Inputs!$G$28),Inputs!$I$28,0))</f>
        <v>0</v>
      </c>
      <c r="T38" s="2" t="n">
        <f aca="false">IF(A38=0,Inputs!$E$29,IF(AND(A38&gt;=Inputs!$F$29,A38&lt;=Inputs!$G$29),Inputs!$I$29,0))</f>
        <v>0</v>
      </c>
      <c r="U38" s="2" t="n">
        <f aca="false">SUM(C38:T38)</f>
        <v>18431666.6666667</v>
      </c>
      <c r="V38" s="2" t="n">
        <f aca="false">V37+U38</f>
        <v>517185000</v>
      </c>
      <c r="W38" s="4" t="n">
        <f aca="false">V38/Inputs!$B$4</f>
        <v>0.517185</v>
      </c>
    </row>
    <row r="39" customFormat="false" ht="15" hidden="false" customHeight="false" outlineLevel="0" collapsed="false">
      <c r="A39" s="0" t="n">
        <v>34</v>
      </c>
      <c r="B39" s="3" t="n">
        <f aca="false">EDATE(Inputs!$B$5,A39)</f>
        <v>47457</v>
      </c>
      <c r="C39" s="2" t="n">
        <f aca="false">IF(A39=0,Inputs!$E$12,IF(AND(A39&gt;=Inputs!$F$12,A39&lt;=Inputs!$G$12),Inputs!$I$12,0))</f>
        <v>215237.395833333</v>
      </c>
      <c r="D39" s="2" t="n">
        <f aca="false">IF(A39=0,Inputs!$E$13,IF(AND(A39&gt;=Inputs!$F$13,A39&lt;=Inputs!$G$13),Inputs!$I$13,0))</f>
        <v>568942.8125</v>
      </c>
      <c r="E39" s="2" t="n">
        <f aca="false">IF(A39=0,Inputs!$E$14,IF(AND(A39&gt;=Inputs!$F$14,A39&lt;=Inputs!$G$14),Inputs!$I$14,0))</f>
        <v>341365.708333333</v>
      </c>
      <c r="F39" s="2" t="n">
        <f aca="false">IF(A39=0,Inputs!$E$15,IF(AND(A39&gt;=Inputs!$F$15,A39&lt;=Inputs!$G$15),Inputs!$I$15,0))</f>
        <v>227577.145833333</v>
      </c>
      <c r="G39" s="2" t="n">
        <f aca="false">IF(A39=0,Inputs!$E$16,IF(AND(A39&gt;=Inputs!$F$16,A39&lt;=Inputs!$G$16),Inputs!$I$16,0))</f>
        <v>227577.145833333</v>
      </c>
      <c r="H39" s="2" t="n">
        <f aca="false">IF(A39=0,Inputs!$E$17,IF(AND(A39&gt;=Inputs!$F$17,A39&lt;=Inputs!$G$17),Inputs!$I$17,0))</f>
        <v>227577.145833333</v>
      </c>
      <c r="I39" s="2" t="n">
        <f aca="false">IF(A39=0,Inputs!$E$18,IF(AND(A39&gt;=Inputs!$F$18,A39&lt;=Inputs!$G$18),Inputs!$I$18,0))</f>
        <v>227577.145833333</v>
      </c>
      <c r="J39" s="2" t="n">
        <f aca="false">IF(A39=0,Inputs!$E$19,IF(AND(A39&gt;=Inputs!$F$19,A39&lt;=Inputs!$G$19),Inputs!$I$19,0))</f>
        <v>47478.8333333333</v>
      </c>
      <c r="K39" s="2" t="n">
        <f aca="false">IF(A39=0,Inputs!$E$20,IF(AND(A39&gt;=Inputs!$F$20,A39&lt;=Inputs!$G$20),Inputs!$I$20,0))</f>
        <v>7291666.66666667</v>
      </c>
      <c r="L39" s="2" t="n">
        <f aca="false">IF(A39=0,Inputs!$E$21,IF(AND(A39&gt;=Inputs!$F$21,A39&lt;=Inputs!$G$21),Inputs!$I$21,0))</f>
        <v>833333.333333333</v>
      </c>
      <c r="M39" s="2" t="n">
        <f aca="false">IF(A39=0,Inputs!$E$22,IF(AND(A39&gt;=Inputs!$F$22,A39&lt;=Inputs!$G$22),Inputs!$I$22,0))</f>
        <v>0</v>
      </c>
      <c r="N39" s="2" t="n">
        <f aca="false">IF(A39&lt;Inputs!$B$9,0,IF(A39&lt;=12,Inputs!$B$8,Inputs!$B$6*(1-Inputs!$B$7)^(INT((A39-13)/12)+1)/12))</f>
        <v>2890000</v>
      </c>
      <c r="O39" s="2" t="n">
        <f aca="false">IF(A39=0,Inputs!$E$24,IF(AND(A39&gt;=Inputs!$F$24,A39&lt;=Inputs!$G$24),Inputs!$I$24,0))</f>
        <v>0</v>
      </c>
      <c r="P39" s="2" t="n">
        <f aca="false">IF(A39=0,Inputs!$E$25,IF(AND(A39&gt;=Inputs!$F$25,A39&lt;=Inputs!$G$25),Inputs!$I$25,0))</f>
        <v>1666666.66666667</v>
      </c>
      <c r="Q39" s="2" t="n">
        <f aca="false">IF(A39=0,Inputs!$E$26,IF(AND(A39&gt;=Inputs!$F$26,A39&lt;=Inputs!$G$26),Inputs!$I$26,0))</f>
        <v>1666666.66666667</v>
      </c>
      <c r="R39" s="2" t="n">
        <f aca="false">IF(A39=0,Inputs!$E$27,IF(AND(A39&gt;=Inputs!$F$27,A39&lt;=Inputs!$G$27),Inputs!$I$27,0))</f>
        <v>2000000</v>
      </c>
      <c r="S39" s="2" t="n">
        <f aca="false">IF(A39=0,Inputs!$E$28,IF(AND(A39&gt;=Inputs!$F$28,A39&lt;=Inputs!$G$28),Inputs!$I$28,0))</f>
        <v>0</v>
      </c>
      <c r="T39" s="2" t="n">
        <f aca="false">IF(A39=0,Inputs!$E$29,IF(AND(A39&gt;=Inputs!$F$29,A39&lt;=Inputs!$G$29),Inputs!$I$29,0))</f>
        <v>0</v>
      </c>
      <c r="U39" s="2" t="n">
        <f aca="false">SUM(C39:T39)</f>
        <v>18431666.6666667</v>
      </c>
      <c r="V39" s="2" t="n">
        <f aca="false">V38+U39</f>
        <v>535616666.666667</v>
      </c>
      <c r="W39" s="4" t="n">
        <f aca="false">V39/Inputs!$B$4</f>
        <v>0.535616666666667</v>
      </c>
    </row>
    <row r="40" customFormat="false" ht="15" hidden="false" customHeight="false" outlineLevel="0" collapsed="false">
      <c r="A40" s="0" t="n">
        <v>35</v>
      </c>
      <c r="B40" s="3" t="n">
        <f aca="false">EDATE(Inputs!$B$5,A40)</f>
        <v>47488</v>
      </c>
      <c r="C40" s="2" t="n">
        <f aca="false">IF(A40=0,Inputs!$E$12,IF(AND(A40&gt;=Inputs!$F$12,A40&lt;=Inputs!$G$12),Inputs!$I$12,0))</f>
        <v>215237.395833333</v>
      </c>
      <c r="D40" s="2" t="n">
        <f aca="false">IF(A40=0,Inputs!$E$13,IF(AND(A40&gt;=Inputs!$F$13,A40&lt;=Inputs!$G$13),Inputs!$I$13,0))</f>
        <v>568942.8125</v>
      </c>
      <c r="E40" s="2" t="n">
        <f aca="false">IF(A40=0,Inputs!$E$14,IF(AND(A40&gt;=Inputs!$F$14,A40&lt;=Inputs!$G$14),Inputs!$I$14,0))</f>
        <v>341365.708333333</v>
      </c>
      <c r="F40" s="2" t="n">
        <f aca="false">IF(A40=0,Inputs!$E$15,IF(AND(A40&gt;=Inputs!$F$15,A40&lt;=Inputs!$G$15),Inputs!$I$15,0))</f>
        <v>227577.145833333</v>
      </c>
      <c r="G40" s="2" t="n">
        <f aca="false">IF(A40=0,Inputs!$E$16,IF(AND(A40&gt;=Inputs!$F$16,A40&lt;=Inputs!$G$16),Inputs!$I$16,0))</f>
        <v>227577.145833333</v>
      </c>
      <c r="H40" s="2" t="n">
        <f aca="false">IF(A40=0,Inputs!$E$17,IF(AND(A40&gt;=Inputs!$F$17,A40&lt;=Inputs!$G$17),Inputs!$I$17,0))</f>
        <v>227577.145833333</v>
      </c>
      <c r="I40" s="2" t="n">
        <f aca="false">IF(A40=0,Inputs!$E$18,IF(AND(A40&gt;=Inputs!$F$18,A40&lt;=Inputs!$G$18),Inputs!$I$18,0))</f>
        <v>227577.145833333</v>
      </c>
      <c r="J40" s="2" t="n">
        <f aca="false">IF(A40=0,Inputs!$E$19,IF(AND(A40&gt;=Inputs!$F$19,A40&lt;=Inputs!$G$19),Inputs!$I$19,0))</f>
        <v>47478.8333333333</v>
      </c>
      <c r="K40" s="2" t="n">
        <f aca="false">IF(A40=0,Inputs!$E$20,IF(AND(A40&gt;=Inputs!$F$20,A40&lt;=Inputs!$G$20),Inputs!$I$20,0))</f>
        <v>7291666.66666667</v>
      </c>
      <c r="L40" s="2" t="n">
        <f aca="false">IF(A40=0,Inputs!$E$21,IF(AND(A40&gt;=Inputs!$F$21,A40&lt;=Inputs!$G$21),Inputs!$I$21,0))</f>
        <v>833333.333333333</v>
      </c>
      <c r="M40" s="2" t="n">
        <f aca="false">IF(A40=0,Inputs!$E$22,IF(AND(A40&gt;=Inputs!$F$22,A40&lt;=Inputs!$G$22),Inputs!$I$22,0))</f>
        <v>0</v>
      </c>
      <c r="N40" s="2" t="n">
        <f aca="false">IF(A40&lt;Inputs!$B$9,0,IF(A40&lt;=12,Inputs!$B$8,Inputs!$B$6*(1-Inputs!$B$7)^(INT((A40-13)/12)+1)/12))</f>
        <v>2890000</v>
      </c>
      <c r="O40" s="2" t="n">
        <f aca="false">IF(A40=0,Inputs!$E$24,IF(AND(A40&gt;=Inputs!$F$24,A40&lt;=Inputs!$G$24),Inputs!$I$24,0))</f>
        <v>0</v>
      </c>
      <c r="P40" s="2" t="n">
        <f aca="false">IF(A40=0,Inputs!$E$25,IF(AND(A40&gt;=Inputs!$F$25,A40&lt;=Inputs!$G$25),Inputs!$I$25,0))</f>
        <v>1666666.66666667</v>
      </c>
      <c r="Q40" s="2" t="n">
        <f aca="false">IF(A40=0,Inputs!$E$26,IF(AND(A40&gt;=Inputs!$F$26,A40&lt;=Inputs!$G$26),Inputs!$I$26,0))</f>
        <v>1666666.66666667</v>
      </c>
      <c r="R40" s="2" t="n">
        <f aca="false">IF(A40=0,Inputs!$E$27,IF(AND(A40&gt;=Inputs!$F$27,A40&lt;=Inputs!$G$27),Inputs!$I$27,0))</f>
        <v>2000000</v>
      </c>
      <c r="S40" s="2" t="n">
        <f aca="false">IF(A40=0,Inputs!$E$28,IF(AND(A40&gt;=Inputs!$F$28,A40&lt;=Inputs!$G$28),Inputs!$I$28,0))</f>
        <v>0</v>
      </c>
      <c r="T40" s="2" t="n">
        <f aca="false">IF(A40=0,Inputs!$E$29,IF(AND(A40&gt;=Inputs!$F$29,A40&lt;=Inputs!$G$29),Inputs!$I$29,0))</f>
        <v>0</v>
      </c>
      <c r="U40" s="2" t="n">
        <f aca="false">SUM(C40:T40)</f>
        <v>18431666.6666667</v>
      </c>
      <c r="V40" s="2" t="n">
        <f aca="false">V39+U40</f>
        <v>554048333.333334</v>
      </c>
      <c r="W40" s="4" t="n">
        <f aca="false">V40/Inputs!$B$4</f>
        <v>0.554048333333334</v>
      </c>
    </row>
    <row r="41" customFormat="false" ht="15" hidden="false" customHeight="false" outlineLevel="0" collapsed="false">
      <c r="A41" s="0" t="n">
        <v>36</v>
      </c>
      <c r="B41" s="3" t="n">
        <f aca="false">EDATE(Inputs!$B$5,A41)</f>
        <v>47519</v>
      </c>
      <c r="C41" s="2" t="n">
        <f aca="false">IF(A41=0,Inputs!$E$12,IF(AND(A41&gt;=Inputs!$F$12,A41&lt;=Inputs!$G$12),Inputs!$I$12,0))</f>
        <v>215237.395833333</v>
      </c>
      <c r="D41" s="2" t="n">
        <f aca="false">IF(A41=0,Inputs!$E$13,IF(AND(A41&gt;=Inputs!$F$13,A41&lt;=Inputs!$G$13),Inputs!$I$13,0))</f>
        <v>568942.8125</v>
      </c>
      <c r="E41" s="2" t="n">
        <f aca="false">IF(A41=0,Inputs!$E$14,IF(AND(A41&gt;=Inputs!$F$14,A41&lt;=Inputs!$G$14),Inputs!$I$14,0))</f>
        <v>341365.708333333</v>
      </c>
      <c r="F41" s="2" t="n">
        <f aca="false">IF(A41=0,Inputs!$E$15,IF(AND(A41&gt;=Inputs!$F$15,A41&lt;=Inputs!$G$15),Inputs!$I$15,0))</f>
        <v>227577.145833333</v>
      </c>
      <c r="G41" s="2" t="n">
        <f aca="false">IF(A41=0,Inputs!$E$16,IF(AND(A41&gt;=Inputs!$F$16,A41&lt;=Inputs!$G$16),Inputs!$I$16,0))</f>
        <v>227577.145833333</v>
      </c>
      <c r="H41" s="2" t="n">
        <f aca="false">IF(A41=0,Inputs!$E$17,IF(AND(A41&gt;=Inputs!$F$17,A41&lt;=Inputs!$G$17),Inputs!$I$17,0))</f>
        <v>227577.145833333</v>
      </c>
      <c r="I41" s="2" t="n">
        <f aca="false">IF(A41=0,Inputs!$E$18,IF(AND(A41&gt;=Inputs!$F$18,A41&lt;=Inputs!$G$18),Inputs!$I$18,0))</f>
        <v>227577.145833333</v>
      </c>
      <c r="J41" s="2" t="n">
        <f aca="false">IF(A41=0,Inputs!$E$19,IF(AND(A41&gt;=Inputs!$F$19,A41&lt;=Inputs!$G$19),Inputs!$I$19,0))</f>
        <v>47478.8333333333</v>
      </c>
      <c r="K41" s="2" t="n">
        <f aca="false">IF(A41=0,Inputs!$E$20,IF(AND(A41&gt;=Inputs!$F$20,A41&lt;=Inputs!$G$20),Inputs!$I$20,0))</f>
        <v>7291666.66666667</v>
      </c>
      <c r="L41" s="2" t="n">
        <f aca="false">IF(A41=0,Inputs!$E$21,IF(AND(A41&gt;=Inputs!$F$21,A41&lt;=Inputs!$G$21),Inputs!$I$21,0))</f>
        <v>833333.333333333</v>
      </c>
      <c r="M41" s="2" t="n">
        <f aca="false">IF(A41=0,Inputs!$E$22,IF(AND(A41&gt;=Inputs!$F$22,A41&lt;=Inputs!$G$22),Inputs!$I$22,0))</f>
        <v>0</v>
      </c>
      <c r="N41" s="2" t="n">
        <f aca="false">IF(A41&lt;Inputs!$B$9,0,IF(A41&lt;=12,Inputs!$B$8,Inputs!$B$6*(1-Inputs!$B$7)^(INT((A41-13)/12)+1)/12))</f>
        <v>2890000</v>
      </c>
      <c r="O41" s="2" t="n">
        <f aca="false">IF(A41=0,Inputs!$E$24,IF(AND(A41&gt;=Inputs!$F$24,A41&lt;=Inputs!$G$24),Inputs!$I$24,0))</f>
        <v>0</v>
      </c>
      <c r="P41" s="2" t="n">
        <f aca="false">IF(A41=0,Inputs!$E$25,IF(AND(A41&gt;=Inputs!$F$25,A41&lt;=Inputs!$G$25),Inputs!$I$25,0))</f>
        <v>1666666.66666667</v>
      </c>
      <c r="Q41" s="2" t="n">
        <f aca="false">IF(A41=0,Inputs!$E$26,IF(AND(A41&gt;=Inputs!$F$26,A41&lt;=Inputs!$G$26),Inputs!$I$26,0))</f>
        <v>1666666.66666667</v>
      </c>
      <c r="R41" s="2" t="n">
        <f aca="false">IF(A41=0,Inputs!$E$27,IF(AND(A41&gt;=Inputs!$F$27,A41&lt;=Inputs!$G$27),Inputs!$I$27,0))</f>
        <v>2000000</v>
      </c>
      <c r="S41" s="2" t="n">
        <f aca="false">IF(A41=0,Inputs!$E$28,IF(AND(A41&gt;=Inputs!$F$28,A41&lt;=Inputs!$G$28),Inputs!$I$28,0))</f>
        <v>0</v>
      </c>
      <c r="T41" s="2" t="n">
        <f aca="false">IF(A41=0,Inputs!$E$29,IF(AND(A41&gt;=Inputs!$F$29,A41&lt;=Inputs!$G$29),Inputs!$I$29,0))</f>
        <v>0</v>
      </c>
      <c r="U41" s="2" t="n">
        <f aca="false">SUM(C41:T41)</f>
        <v>18431666.6666667</v>
      </c>
      <c r="V41" s="2" t="n">
        <f aca="false">V40+U41</f>
        <v>572480000</v>
      </c>
      <c r="W41" s="4" t="n">
        <f aca="false">V41/Inputs!$B$4</f>
        <v>0.57248</v>
      </c>
    </row>
    <row r="42" customFormat="false" ht="15" hidden="false" customHeight="false" outlineLevel="0" collapsed="false">
      <c r="A42" s="0" t="n">
        <v>37</v>
      </c>
      <c r="B42" s="3" t="n">
        <f aca="false">EDATE(Inputs!$B$5,A42)</f>
        <v>47547</v>
      </c>
      <c r="C42" s="2" t="n">
        <f aca="false">IF(A42=0,Inputs!$E$12,IF(AND(A42&gt;=Inputs!$F$12,A42&lt;=Inputs!$G$12),Inputs!$I$12,0))</f>
        <v>215237.395833333</v>
      </c>
      <c r="D42" s="2" t="n">
        <f aca="false">IF(A42=0,Inputs!$E$13,IF(AND(A42&gt;=Inputs!$F$13,A42&lt;=Inputs!$G$13),Inputs!$I$13,0))</f>
        <v>568942.8125</v>
      </c>
      <c r="E42" s="2" t="n">
        <f aca="false">IF(A42=0,Inputs!$E$14,IF(AND(A42&gt;=Inputs!$F$14,A42&lt;=Inputs!$G$14),Inputs!$I$14,0))</f>
        <v>341365.708333333</v>
      </c>
      <c r="F42" s="2" t="n">
        <f aca="false">IF(A42=0,Inputs!$E$15,IF(AND(A42&gt;=Inputs!$F$15,A42&lt;=Inputs!$G$15),Inputs!$I$15,0))</f>
        <v>227577.145833333</v>
      </c>
      <c r="G42" s="2" t="n">
        <f aca="false">IF(A42=0,Inputs!$E$16,IF(AND(A42&gt;=Inputs!$F$16,A42&lt;=Inputs!$G$16),Inputs!$I$16,0))</f>
        <v>227577.145833333</v>
      </c>
      <c r="H42" s="2" t="n">
        <f aca="false">IF(A42=0,Inputs!$E$17,IF(AND(A42&gt;=Inputs!$F$17,A42&lt;=Inputs!$G$17),Inputs!$I$17,0))</f>
        <v>227577.145833333</v>
      </c>
      <c r="I42" s="2" t="n">
        <f aca="false">IF(A42=0,Inputs!$E$18,IF(AND(A42&gt;=Inputs!$F$18,A42&lt;=Inputs!$G$18),Inputs!$I$18,0))</f>
        <v>227577.145833333</v>
      </c>
      <c r="J42" s="2" t="n">
        <f aca="false">IF(A42=0,Inputs!$E$19,IF(AND(A42&gt;=Inputs!$F$19,A42&lt;=Inputs!$G$19),Inputs!$I$19,0))</f>
        <v>47478.8333333333</v>
      </c>
      <c r="K42" s="2" t="n">
        <f aca="false">IF(A42=0,Inputs!$E$20,IF(AND(A42&gt;=Inputs!$F$20,A42&lt;=Inputs!$G$20),Inputs!$I$20,0))</f>
        <v>0</v>
      </c>
      <c r="L42" s="2" t="n">
        <f aca="false">IF(A42=0,Inputs!$E$21,IF(AND(A42&gt;=Inputs!$F$21,A42&lt;=Inputs!$G$21),Inputs!$I$21,0))</f>
        <v>0</v>
      </c>
      <c r="M42" s="2" t="n">
        <f aca="false">IF(A42=0,Inputs!$E$22,IF(AND(A42&gt;=Inputs!$F$22,A42&lt;=Inputs!$G$22),Inputs!$I$22,0))</f>
        <v>0</v>
      </c>
      <c r="N42" s="2" t="n">
        <f aca="false">IF(A42&lt;Inputs!$B$9,0,IF(A42&lt;=12,Inputs!$B$8,Inputs!$B$6*(1-Inputs!$B$7)^(INT((A42-13)/12)+1)/12))</f>
        <v>2456500</v>
      </c>
      <c r="O42" s="2" t="n">
        <f aca="false">IF(A42=0,Inputs!$E$24,IF(AND(A42&gt;=Inputs!$F$24,A42&lt;=Inputs!$G$24),Inputs!$I$24,0))</f>
        <v>0</v>
      </c>
      <c r="P42" s="2" t="n">
        <f aca="false">IF(A42=0,Inputs!$E$25,IF(AND(A42&gt;=Inputs!$F$25,A42&lt;=Inputs!$G$25),Inputs!$I$25,0))</f>
        <v>0</v>
      </c>
      <c r="Q42" s="2" t="n">
        <f aca="false">IF(A42=0,Inputs!$E$26,IF(AND(A42&gt;=Inputs!$F$26,A42&lt;=Inputs!$G$26),Inputs!$I$26,0))</f>
        <v>0</v>
      </c>
      <c r="R42" s="2" t="n">
        <f aca="false">IF(A42=0,Inputs!$E$27,IF(AND(A42&gt;=Inputs!$F$27,A42&lt;=Inputs!$G$27),Inputs!$I$27,0))</f>
        <v>2000000</v>
      </c>
      <c r="S42" s="2" t="n">
        <f aca="false">IF(A42=0,Inputs!$E$28,IF(AND(A42&gt;=Inputs!$F$28,A42&lt;=Inputs!$G$28),Inputs!$I$28,0))</f>
        <v>0</v>
      </c>
      <c r="T42" s="2" t="n">
        <f aca="false">IF(A42=0,Inputs!$E$29,IF(AND(A42&gt;=Inputs!$F$29,A42&lt;=Inputs!$G$29),Inputs!$I$29,0))</f>
        <v>0</v>
      </c>
      <c r="U42" s="2" t="n">
        <f aca="false">SUM(C42:T42)</f>
        <v>6539833.33333333</v>
      </c>
      <c r="V42" s="2" t="n">
        <f aca="false">V41+U42</f>
        <v>579019833.333334</v>
      </c>
      <c r="W42" s="4" t="n">
        <f aca="false">V42/Inputs!$B$4</f>
        <v>0.579019833333334</v>
      </c>
    </row>
    <row r="43" customFormat="false" ht="15" hidden="false" customHeight="false" outlineLevel="0" collapsed="false">
      <c r="A43" s="0" t="n">
        <v>38</v>
      </c>
      <c r="B43" s="3" t="n">
        <f aca="false">EDATE(Inputs!$B$5,A43)</f>
        <v>47578</v>
      </c>
      <c r="C43" s="2" t="n">
        <f aca="false">IF(A43=0,Inputs!$E$12,IF(AND(A43&gt;=Inputs!$F$12,A43&lt;=Inputs!$G$12),Inputs!$I$12,0))</f>
        <v>215237.395833333</v>
      </c>
      <c r="D43" s="2" t="n">
        <f aca="false">IF(A43=0,Inputs!$E$13,IF(AND(A43&gt;=Inputs!$F$13,A43&lt;=Inputs!$G$13),Inputs!$I$13,0))</f>
        <v>568942.8125</v>
      </c>
      <c r="E43" s="2" t="n">
        <f aca="false">IF(A43=0,Inputs!$E$14,IF(AND(A43&gt;=Inputs!$F$14,A43&lt;=Inputs!$G$14),Inputs!$I$14,0))</f>
        <v>341365.708333333</v>
      </c>
      <c r="F43" s="2" t="n">
        <f aca="false">IF(A43=0,Inputs!$E$15,IF(AND(A43&gt;=Inputs!$F$15,A43&lt;=Inputs!$G$15),Inputs!$I$15,0))</f>
        <v>227577.145833333</v>
      </c>
      <c r="G43" s="2" t="n">
        <f aca="false">IF(A43=0,Inputs!$E$16,IF(AND(A43&gt;=Inputs!$F$16,A43&lt;=Inputs!$G$16),Inputs!$I$16,0))</f>
        <v>227577.145833333</v>
      </c>
      <c r="H43" s="2" t="n">
        <f aca="false">IF(A43=0,Inputs!$E$17,IF(AND(A43&gt;=Inputs!$F$17,A43&lt;=Inputs!$G$17),Inputs!$I$17,0))</f>
        <v>227577.145833333</v>
      </c>
      <c r="I43" s="2" t="n">
        <f aca="false">IF(A43=0,Inputs!$E$18,IF(AND(A43&gt;=Inputs!$F$18,A43&lt;=Inputs!$G$18),Inputs!$I$18,0))</f>
        <v>227577.145833333</v>
      </c>
      <c r="J43" s="2" t="n">
        <f aca="false">IF(A43=0,Inputs!$E$19,IF(AND(A43&gt;=Inputs!$F$19,A43&lt;=Inputs!$G$19),Inputs!$I$19,0))</f>
        <v>47478.8333333333</v>
      </c>
      <c r="K43" s="2" t="n">
        <f aca="false">IF(A43=0,Inputs!$E$20,IF(AND(A43&gt;=Inputs!$F$20,A43&lt;=Inputs!$G$20),Inputs!$I$20,0))</f>
        <v>0</v>
      </c>
      <c r="L43" s="2" t="n">
        <f aca="false">IF(A43=0,Inputs!$E$21,IF(AND(A43&gt;=Inputs!$F$21,A43&lt;=Inputs!$G$21),Inputs!$I$21,0))</f>
        <v>0</v>
      </c>
      <c r="M43" s="2" t="n">
        <f aca="false">IF(A43=0,Inputs!$E$22,IF(AND(A43&gt;=Inputs!$F$22,A43&lt;=Inputs!$G$22),Inputs!$I$22,0))</f>
        <v>0</v>
      </c>
      <c r="N43" s="2" t="n">
        <f aca="false">IF(A43&lt;Inputs!$B$9,0,IF(A43&lt;=12,Inputs!$B$8,Inputs!$B$6*(1-Inputs!$B$7)^(INT((A43-13)/12)+1)/12))</f>
        <v>2456500</v>
      </c>
      <c r="O43" s="2" t="n">
        <f aca="false">IF(A43=0,Inputs!$E$24,IF(AND(A43&gt;=Inputs!$F$24,A43&lt;=Inputs!$G$24),Inputs!$I$24,0))</f>
        <v>0</v>
      </c>
      <c r="P43" s="2" t="n">
        <f aca="false">IF(A43=0,Inputs!$E$25,IF(AND(A43&gt;=Inputs!$F$25,A43&lt;=Inputs!$G$25),Inputs!$I$25,0))</f>
        <v>0</v>
      </c>
      <c r="Q43" s="2" t="n">
        <f aca="false">IF(A43=0,Inputs!$E$26,IF(AND(A43&gt;=Inputs!$F$26,A43&lt;=Inputs!$G$26),Inputs!$I$26,0))</f>
        <v>0</v>
      </c>
      <c r="R43" s="2" t="n">
        <f aca="false">IF(A43=0,Inputs!$E$27,IF(AND(A43&gt;=Inputs!$F$27,A43&lt;=Inputs!$G$27),Inputs!$I$27,0))</f>
        <v>2000000</v>
      </c>
      <c r="S43" s="2" t="n">
        <f aca="false">IF(A43=0,Inputs!$E$28,IF(AND(A43&gt;=Inputs!$F$28,A43&lt;=Inputs!$G$28),Inputs!$I$28,0))</f>
        <v>0</v>
      </c>
      <c r="T43" s="2" t="n">
        <f aca="false">IF(A43=0,Inputs!$E$29,IF(AND(A43&gt;=Inputs!$F$29,A43&lt;=Inputs!$G$29),Inputs!$I$29,0))</f>
        <v>0</v>
      </c>
      <c r="U43" s="2" t="n">
        <f aca="false">SUM(C43:T43)</f>
        <v>6539833.33333333</v>
      </c>
      <c r="V43" s="2" t="n">
        <f aca="false">V42+U43</f>
        <v>585559666.666667</v>
      </c>
      <c r="W43" s="4" t="n">
        <f aca="false">V43/Inputs!$B$4</f>
        <v>0.585559666666667</v>
      </c>
    </row>
    <row r="44" customFormat="false" ht="15" hidden="false" customHeight="false" outlineLevel="0" collapsed="false">
      <c r="A44" s="0" t="n">
        <v>39</v>
      </c>
      <c r="B44" s="3" t="n">
        <f aca="false">EDATE(Inputs!$B$5,A44)</f>
        <v>47608</v>
      </c>
      <c r="C44" s="2" t="n">
        <f aca="false">IF(A44=0,Inputs!$E$12,IF(AND(A44&gt;=Inputs!$F$12,A44&lt;=Inputs!$G$12),Inputs!$I$12,0))</f>
        <v>215237.395833333</v>
      </c>
      <c r="D44" s="2" t="n">
        <f aca="false">IF(A44=0,Inputs!$E$13,IF(AND(A44&gt;=Inputs!$F$13,A44&lt;=Inputs!$G$13),Inputs!$I$13,0))</f>
        <v>568942.8125</v>
      </c>
      <c r="E44" s="2" t="n">
        <f aca="false">IF(A44=0,Inputs!$E$14,IF(AND(A44&gt;=Inputs!$F$14,A44&lt;=Inputs!$G$14),Inputs!$I$14,0))</f>
        <v>341365.708333333</v>
      </c>
      <c r="F44" s="2" t="n">
        <f aca="false">IF(A44=0,Inputs!$E$15,IF(AND(A44&gt;=Inputs!$F$15,A44&lt;=Inputs!$G$15),Inputs!$I$15,0))</f>
        <v>227577.145833333</v>
      </c>
      <c r="G44" s="2" t="n">
        <f aca="false">IF(A44=0,Inputs!$E$16,IF(AND(A44&gt;=Inputs!$F$16,A44&lt;=Inputs!$G$16),Inputs!$I$16,0))</f>
        <v>227577.145833333</v>
      </c>
      <c r="H44" s="2" t="n">
        <f aca="false">IF(A44=0,Inputs!$E$17,IF(AND(A44&gt;=Inputs!$F$17,A44&lt;=Inputs!$G$17),Inputs!$I$17,0))</f>
        <v>227577.145833333</v>
      </c>
      <c r="I44" s="2" t="n">
        <f aca="false">IF(A44=0,Inputs!$E$18,IF(AND(A44&gt;=Inputs!$F$18,A44&lt;=Inputs!$G$18),Inputs!$I$18,0))</f>
        <v>227577.145833333</v>
      </c>
      <c r="J44" s="2" t="n">
        <f aca="false">IF(A44=0,Inputs!$E$19,IF(AND(A44&gt;=Inputs!$F$19,A44&lt;=Inputs!$G$19),Inputs!$I$19,0))</f>
        <v>47478.8333333333</v>
      </c>
      <c r="K44" s="2" t="n">
        <f aca="false">IF(A44=0,Inputs!$E$20,IF(AND(A44&gt;=Inputs!$F$20,A44&lt;=Inputs!$G$20),Inputs!$I$20,0))</f>
        <v>0</v>
      </c>
      <c r="L44" s="2" t="n">
        <f aca="false">IF(A44=0,Inputs!$E$21,IF(AND(A44&gt;=Inputs!$F$21,A44&lt;=Inputs!$G$21),Inputs!$I$21,0))</f>
        <v>0</v>
      </c>
      <c r="M44" s="2" t="n">
        <f aca="false">IF(A44=0,Inputs!$E$22,IF(AND(A44&gt;=Inputs!$F$22,A44&lt;=Inputs!$G$22),Inputs!$I$22,0))</f>
        <v>0</v>
      </c>
      <c r="N44" s="2" t="n">
        <f aca="false">IF(A44&lt;Inputs!$B$9,0,IF(A44&lt;=12,Inputs!$B$8,Inputs!$B$6*(1-Inputs!$B$7)^(INT((A44-13)/12)+1)/12))</f>
        <v>2456500</v>
      </c>
      <c r="O44" s="2" t="n">
        <f aca="false">IF(A44=0,Inputs!$E$24,IF(AND(A44&gt;=Inputs!$F$24,A44&lt;=Inputs!$G$24),Inputs!$I$24,0))</f>
        <v>0</v>
      </c>
      <c r="P44" s="2" t="n">
        <f aca="false">IF(A44=0,Inputs!$E$25,IF(AND(A44&gt;=Inputs!$F$25,A44&lt;=Inputs!$G$25),Inputs!$I$25,0))</f>
        <v>0</v>
      </c>
      <c r="Q44" s="2" t="n">
        <f aca="false">IF(A44=0,Inputs!$E$26,IF(AND(A44&gt;=Inputs!$F$26,A44&lt;=Inputs!$G$26),Inputs!$I$26,0))</f>
        <v>0</v>
      </c>
      <c r="R44" s="2" t="n">
        <f aca="false">IF(A44=0,Inputs!$E$27,IF(AND(A44&gt;=Inputs!$F$27,A44&lt;=Inputs!$G$27),Inputs!$I$27,0))</f>
        <v>0</v>
      </c>
      <c r="S44" s="2" t="n">
        <f aca="false">IF(A44=0,Inputs!$E$28,IF(AND(A44&gt;=Inputs!$F$28,A44&lt;=Inputs!$G$28),Inputs!$I$28,0))</f>
        <v>0</v>
      </c>
      <c r="T44" s="2" t="n">
        <f aca="false">IF(A44=0,Inputs!$E$29,IF(AND(A44&gt;=Inputs!$F$29,A44&lt;=Inputs!$G$29),Inputs!$I$29,0))</f>
        <v>0</v>
      </c>
      <c r="U44" s="2" t="n">
        <f aca="false">SUM(C44:T44)</f>
        <v>4539833.33333333</v>
      </c>
      <c r="V44" s="2" t="n">
        <f aca="false">V43+U44</f>
        <v>590099500</v>
      </c>
      <c r="W44" s="4" t="n">
        <f aca="false">V44/Inputs!$B$4</f>
        <v>0.5900995</v>
      </c>
    </row>
    <row r="45" customFormat="false" ht="15" hidden="false" customHeight="false" outlineLevel="0" collapsed="false">
      <c r="A45" s="0" t="n">
        <v>40</v>
      </c>
      <c r="B45" s="3" t="n">
        <f aca="false">EDATE(Inputs!$B$5,A45)</f>
        <v>47639</v>
      </c>
      <c r="C45" s="2" t="n">
        <f aca="false">IF(A45=0,Inputs!$E$12,IF(AND(A45&gt;=Inputs!$F$12,A45&lt;=Inputs!$G$12),Inputs!$I$12,0))</f>
        <v>215237.395833333</v>
      </c>
      <c r="D45" s="2" t="n">
        <f aca="false">IF(A45=0,Inputs!$E$13,IF(AND(A45&gt;=Inputs!$F$13,A45&lt;=Inputs!$G$13),Inputs!$I$13,0))</f>
        <v>568942.8125</v>
      </c>
      <c r="E45" s="2" t="n">
        <f aca="false">IF(A45=0,Inputs!$E$14,IF(AND(A45&gt;=Inputs!$F$14,A45&lt;=Inputs!$G$14),Inputs!$I$14,0))</f>
        <v>341365.708333333</v>
      </c>
      <c r="F45" s="2" t="n">
        <f aca="false">IF(A45=0,Inputs!$E$15,IF(AND(A45&gt;=Inputs!$F$15,A45&lt;=Inputs!$G$15),Inputs!$I$15,0))</f>
        <v>227577.145833333</v>
      </c>
      <c r="G45" s="2" t="n">
        <f aca="false">IF(A45=0,Inputs!$E$16,IF(AND(A45&gt;=Inputs!$F$16,A45&lt;=Inputs!$G$16),Inputs!$I$16,0))</f>
        <v>227577.145833333</v>
      </c>
      <c r="H45" s="2" t="n">
        <f aca="false">IF(A45=0,Inputs!$E$17,IF(AND(A45&gt;=Inputs!$F$17,A45&lt;=Inputs!$G$17),Inputs!$I$17,0))</f>
        <v>227577.145833333</v>
      </c>
      <c r="I45" s="2" t="n">
        <f aca="false">IF(A45=0,Inputs!$E$18,IF(AND(A45&gt;=Inputs!$F$18,A45&lt;=Inputs!$G$18),Inputs!$I$18,0))</f>
        <v>227577.145833333</v>
      </c>
      <c r="J45" s="2" t="n">
        <f aca="false">IF(A45=0,Inputs!$E$19,IF(AND(A45&gt;=Inputs!$F$19,A45&lt;=Inputs!$G$19),Inputs!$I$19,0))</f>
        <v>47478.8333333333</v>
      </c>
      <c r="K45" s="2" t="n">
        <f aca="false">IF(A45=0,Inputs!$E$20,IF(AND(A45&gt;=Inputs!$F$20,A45&lt;=Inputs!$G$20),Inputs!$I$20,0))</f>
        <v>0</v>
      </c>
      <c r="L45" s="2" t="n">
        <f aca="false">IF(A45=0,Inputs!$E$21,IF(AND(A45&gt;=Inputs!$F$21,A45&lt;=Inputs!$G$21),Inputs!$I$21,0))</f>
        <v>0</v>
      </c>
      <c r="M45" s="2" t="n">
        <f aca="false">IF(A45=0,Inputs!$E$22,IF(AND(A45&gt;=Inputs!$F$22,A45&lt;=Inputs!$G$22),Inputs!$I$22,0))</f>
        <v>0</v>
      </c>
      <c r="N45" s="2" t="n">
        <f aca="false">IF(A45&lt;Inputs!$B$9,0,IF(A45&lt;=12,Inputs!$B$8,Inputs!$B$6*(1-Inputs!$B$7)^(INT((A45-13)/12)+1)/12))</f>
        <v>2456500</v>
      </c>
      <c r="O45" s="2" t="n">
        <f aca="false">IF(A45=0,Inputs!$E$24,IF(AND(A45&gt;=Inputs!$F$24,A45&lt;=Inputs!$G$24),Inputs!$I$24,0))</f>
        <v>0</v>
      </c>
      <c r="P45" s="2" t="n">
        <f aca="false">IF(A45=0,Inputs!$E$25,IF(AND(A45&gt;=Inputs!$F$25,A45&lt;=Inputs!$G$25),Inputs!$I$25,0))</f>
        <v>0</v>
      </c>
      <c r="Q45" s="2" t="n">
        <f aca="false">IF(A45=0,Inputs!$E$26,IF(AND(A45&gt;=Inputs!$F$26,A45&lt;=Inputs!$G$26),Inputs!$I$26,0))</f>
        <v>0</v>
      </c>
      <c r="R45" s="2" t="n">
        <f aca="false">IF(A45=0,Inputs!$E$27,IF(AND(A45&gt;=Inputs!$F$27,A45&lt;=Inputs!$G$27),Inputs!$I$27,0))</f>
        <v>0</v>
      </c>
      <c r="S45" s="2" t="n">
        <f aca="false">IF(A45=0,Inputs!$E$28,IF(AND(A45&gt;=Inputs!$F$28,A45&lt;=Inputs!$G$28),Inputs!$I$28,0))</f>
        <v>0</v>
      </c>
      <c r="T45" s="2" t="n">
        <f aca="false">IF(A45=0,Inputs!$E$29,IF(AND(A45&gt;=Inputs!$F$29,A45&lt;=Inputs!$G$29),Inputs!$I$29,0))</f>
        <v>0</v>
      </c>
      <c r="U45" s="2" t="n">
        <f aca="false">SUM(C45:T45)</f>
        <v>4539833.33333333</v>
      </c>
      <c r="V45" s="2" t="n">
        <f aca="false">V44+U45</f>
        <v>594639333.333334</v>
      </c>
      <c r="W45" s="4" t="n">
        <f aca="false">V45/Inputs!$B$4</f>
        <v>0.594639333333334</v>
      </c>
    </row>
    <row r="46" customFormat="false" ht="15" hidden="false" customHeight="false" outlineLevel="0" collapsed="false">
      <c r="A46" s="0" t="n">
        <v>41</v>
      </c>
      <c r="B46" s="3" t="n">
        <f aca="false">EDATE(Inputs!$B$5,A46)</f>
        <v>47669</v>
      </c>
      <c r="C46" s="2" t="n">
        <f aca="false">IF(A46=0,Inputs!$E$12,IF(AND(A46&gt;=Inputs!$F$12,A46&lt;=Inputs!$G$12),Inputs!$I$12,0))</f>
        <v>215237.395833333</v>
      </c>
      <c r="D46" s="2" t="n">
        <f aca="false">IF(A46=0,Inputs!$E$13,IF(AND(A46&gt;=Inputs!$F$13,A46&lt;=Inputs!$G$13),Inputs!$I$13,0))</f>
        <v>568942.8125</v>
      </c>
      <c r="E46" s="2" t="n">
        <f aca="false">IF(A46=0,Inputs!$E$14,IF(AND(A46&gt;=Inputs!$F$14,A46&lt;=Inputs!$G$14),Inputs!$I$14,0))</f>
        <v>341365.708333333</v>
      </c>
      <c r="F46" s="2" t="n">
        <f aca="false">IF(A46=0,Inputs!$E$15,IF(AND(A46&gt;=Inputs!$F$15,A46&lt;=Inputs!$G$15),Inputs!$I$15,0))</f>
        <v>227577.145833333</v>
      </c>
      <c r="G46" s="2" t="n">
        <f aca="false">IF(A46=0,Inputs!$E$16,IF(AND(A46&gt;=Inputs!$F$16,A46&lt;=Inputs!$G$16),Inputs!$I$16,0))</f>
        <v>227577.145833333</v>
      </c>
      <c r="H46" s="2" t="n">
        <f aca="false">IF(A46=0,Inputs!$E$17,IF(AND(A46&gt;=Inputs!$F$17,A46&lt;=Inputs!$G$17),Inputs!$I$17,0))</f>
        <v>227577.145833333</v>
      </c>
      <c r="I46" s="2" t="n">
        <f aca="false">IF(A46=0,Inputs!$E$18,IF(AND(A46&gt;=Inputs!$F$18,A46&lt;=Inputs!$G$18),Inputs!$I$18,0))</f>
        <v>227577.145833333</v>
      </c>
      <c r="J46" s="2" t="n">
        <f aca="false">IF(A46=0,Inputs!$E$19,IF(AND(A46&gt;=Inputs!$F$19,A46&lt;=Inputs!$G$19),Inputs!$I$19,0))</f>
        <v>47478.8333333333</v>
      </c>
      <c r="K46" s="2" t="n">
        <f aca="false">IF(A46=0,Inputs!$E$20,IF(AND(A46&gt;=Inputs!$F$20,A46&lt;=Inputs!$G$20),Inputs!$I$20,0))</f>
        <v>0</v>
      </c>
      <c r="L46" s="2" t="n">
        <f aca="false">IF(A46=0,Inputs!$E$21,IF(AND(A46&gt;=Inputs!$F$21,A46&lt;=Inputs!$G$21),Inputs!$I$21,0))</f>
        <v>0</v>
      </c>
      <c r="M46" s="2" t="n">
        <f aca="false">IF(A46=0,Inputs!$E$22,IF(AND(A46&gt;=Inputs!$F$22,A46&lt;=Inputs!$G$22),Inputs!$I$22,0))</f>
        <v>0</v>
      </c>
      <c r="N46" s="2" t="n">
        <f aca="false">IF(A46&lt;Inputs!$B$9,0,IF(A46&lt;=12,Inputs!$B$8,Inputs!$B$6*(1-Inputs!$B$7)^(INT((A46-13)/12)+1)/12))</f>
        <v>2456500</v>
      </c>
      <c r="O46" s="2" t="n">
        <f aca="false">IF(A46=0,Inputs!$E$24,IF(AND(A46&gt;=Inputs!$F$24,A46&lt;=Inputs!$G$24),Inputs!$I$24,0))</f>
        <v>0</v>
      </c>
      <c r="P46" s="2" t="n">
        <f aca="false">IF(A46=0,Inputs!$E$25,IF(AND(A46&gt;=Inputs!$F$25,A46&lt;=Inputs!$G$25),Inputs!$I$25,0))</f>
        <v>0</v>
      </c>
      <c r="Q46" s="2" t="n">
        <f aca="false">IF(A46=0,Inputs!$E$26,IF(AND(A46&gt;=Inputs!$F$26,A46&lt;=Inputs!$G$26),Inputs!$I$26,0))</f>
        <v>0</v>
      </c>
      <c r="R46" s="2" t="n">
        <f aca="false">IF(A46=0,Inputs!$E$27,IF(AND(A46&gt;=Inputs!$F$27,A46&lt;=Inputs!$G$27),Inputs!$I$27,0))</f>
        <v>0</v>
      </c>
      <c r="S46" s="2" t="n">
        <f aca="false">IF(A46=0,Inputs!$E$28,IF(AND(A46&gt;=Inputs!$F$28,A46&lt;=Inputs!$G$28),Inputs!$I$28,0))</f>
        <v>0</v>
      </c>
      <c r="T46" s="2" t="n">
        <f aca="false">IF(A46=0,Inputs!$E$29,IF(AND(A46&gt;=Inputs!$F$29,A46&lt;=Inputs!$G$29),Inputs!$I$29,0))</f>
        <v>0</v>
      </c>
      <c r="U46" s="2" t="n">
        <f aca="false">SUM(C46:T46)</f>
        <v>4539833.33333333</v>
      </c>
      <c r="V46" s="2" t="n">
        <f aca="false">V45+U46</f>
        <v>599179166.666667</v>
      </c>
      <c r="W46" s="4" t="n">
        <f aca="false">V46/Inputs!$B$4</f>
        <v>0.599179166666667</v>
      </c>
    </row>
    <row r="47" customFormat="false" ht="15" hidden="false" customHeight="false" outlineLevel="0" collapsed="false">
      <c r="A47" s="0" t="n">
        <v>42</v>
      </c>
      <c r="B47" s="3" t="n">
        <f aca="false">EDATE(Inputs!$B$5,A47)</f>
        <v>47700</v>
      </c>
      <c r="C47" s="2" t="n">
        <f aca="false">IF(A47=0,Inputs!$E$12,IF(AND(A47&gt;=Inputs!$F$12,A47&lt;=Inputs!$G$12),Inputs!$I$12,0))</f>
        <v>215237.395833333</v>
      </c>
      <c r="D47" s="2" t="n">
        <f aca="false">IF(A47=0,Inputs!$E$13,IF(AND(A47&gt;=Inputs!$F$13,A47&lt;=Inputs!$G$13),Inputs!$I$13,0))</f>
        <v>568942.8125</v>
      </c>
      <c r="E47" s="2" t="n">
        <f aca="false">IF(A47=0,Inputs!$E$14,IF(AND(A47&gt;=Inputs!$F$14,A47&lt;=Inputs!$G$14),Inputs!$I$14,0))</f>
        <v>341365.708333333</v>
      </c>
      <c r="F47" s="2" t="n">
        <f aca="false">IF(A47=0,Inputs!$E$15,IF(AND(A47&gt;=Inputs!$F$15,A47&lt;=Inputs!$G$15),Inputs!$I$15,0))</f>
        <v>227577.145833333</v>
      </c>
      <c r="G47" s="2" t="n">
        <f aca="false">IF(A47=0,Inputs!$E$16,IF(AND(A47&gt;=Inputs!$F$16,A47&lt;=Inputs!$G$16),Inputs!$I$16,0))</f>
        <v>227577.145833333</v>
      </c>
      <c r="H47" s="2" t="n">
        <f aca="false">IF(A47=0,Inputs!$E$17,IF(AND(A47&gt;=Inputs!$F$17,A47&lt;=Inputs!$G$17),Inputs!$I$17,0))</f>
        <v>227577.145833333</v>
      </c>
      <c r="I47" s="2" t="n">
        <f aca="false">IF(A47=0,Inputs!$E$18,IF(AND(A47&gt;=Inputs!$F$18,A47&lt;=Inputs!$G$18),Inputs!$I$18,0))</f>
        <v>227577.145833333</v>
      </c>
      <c r="J47" s="2" t="n">
        <f aca="false">IF(A47=0,Inputs!$E$19,IF(AND(A47&gt;=Inputs!$F$19,A47&lt;=Inputs!$G$19),Inputs!$I$19,0))</f>
        <v>47478.8333333333</v>
      </c>
      <c r="K47" s="2" t="n">
        <f aca="false">IF(A47=0,Inputs!$E$20,IF(AND(A47&gt;=Inputs!$F$20,A47&lt;=Inputs!$G$20),Inputs!$I$20,0))</f>
        <v>0</v>
      </c>
      <c r="L47" s="2" t="n">
        <f aca="false">IF(A47=0,Inputs!$E$21,IF(AND(A47&gt;=Inputs!$F$21,A47&lt;=Inputs!$G$21),Inputs!$I$21,0))</f>
        <v>0</v>
      </c>
      <c r="M47" s="2" t="n">
        <f aca="false">IF(A47=0,Inputs!$E$22,IF(AND(A47&gt;=Inputs!$F$22,A47&lt;=Inputs!$G$22),Inputs!$I$22,0))</f>
        <v>0</v>
      </c>
      <c r="N47" s="2" t="n">
        <f aca="false">IF(A47&lt;Inputs!$B$9,0,IF(A47&lt;=12,Inputs!$B$8,Inputs!$B$6*(1-Inputs!$B$7)^(INT((A47-13)/12)+1)/12))</f>
        <v>2456500</v>
      </c>
      <c r="O47" s="2" t="n">
        <f aca="false">IF(A47=0,Inputs!$E$24,IF(AND(A47&gt;=Inputs!$F$24,A47&lt;=Inputs!$G$24),Inputs!$I$24,0))</f>
        <v>0</v>
      </c>
      <c r="P47" s="2" t="n">
        <f aca="false">IF(A47=0,Inputs!$E$25,IF(AND(A47&gt;=Inputs!$F$25,A47&lt;=Inputs!$G$25),Inputs!$I$25,0))</f>
        <v>0</v>
      </c>
      <c r="Q47" s="2" t="n">
        <f aca="false">IF(A47=0,Inputs!$E$26,IF(AND(A47&gt;=Inputs!$F$26,A47&lt;=Inputs!$G$26),Inputs!$I$26,0))</f>
        <v>0</v>
      </c>
      <c r="R47" s="2" t="n">
        <f aca="false">IF(A47=0,Inputs!$E$27,IF(AND(A47&gt;=Inputs!$F$27,A47&lt;=Inputs!$G$27),Inputs!$I$27,0))</f>
        <v>0</v>
      </c>
      <c r="S47" s="2" t="n">
        <f aca="false">IF(A47=0,Inputs!$E$28,IF(AND(A47&gt;=Inputs!$F$28,A47&lt;=Inputs!$G$28),Inputs!$I$28,0))</f>
        <v>0</v>
      </c>
      <c r="T47" s="2" t="n">
        <f aca="false">IF(A47=0,Inputs!$E$29,IF(AND(A47&gt;=Inputs!$F$29,A47&lt;=Inputs!$G$29),Inputs!$I$29,0))</f>
        <v>0</v>
      </c>
      <c r="U47" s="2" t="n">
        <f aca="false">SUM(C47:T47)</f>
        <v>4539833.33333333</v>
      </c>
      <c r="V47" s="2" t="n">
        <f aca="false">V46+U47</f>
        <v>603719000.000001</v>
      </c>
      <c r="W47" s="4" t="n">
        <f aca="false">V47/Inputs!$B$4</f>
        <v>0.603719</v>
      </c>
    </row>
    <row r="48" customFormat="false" ht="15" hidden="false" customHeight="false" outlineLevel="0" collapsed="false">
      <c r="A48" s="0" t="n">
        <v>43</v>
      </c>
      <c r="B48" s="3" t="n">
        <f aca="false">EDATE(Inputs!$B$5,A48)</f>
        <v>47731</v>
      </c>
      <c r="C48" s="2" t="n">
        <f aca="false">IF(A48=0,Inputs!$E$12,IF(AND(A48&gt;=Inputs!$F$12,A48&lt;=Inputs!$G$12),Inputs!$I$12,0))</f>
        <v>215237.395833333</v>
      </c>
      <c r="D48" s="2" t="n">
        <f aca="false">IF(A48=0,Inputs!$E$13,IF(AND(A48&gt;=Inputs!$F$13,A48&lt;=Inputs!$G$13),Inputs!$I$13,0))</f>
        <v>568942.8125</v>
      </c>
      <c r="E48" s="2" t="n">
        <f aca="false">IF(A48=0,Inputs!$E$14,IF(AND(A48&gt;=Inputs!$F$14,A48&lt;=Inputs!$G$14),Inputs!$I$14,0))</f>
        <v>341365.708333333</v>
      </c>
      <c r="F48" s="2" t="n">
        <f aca="false">IF(A48=0,Inputs!$E$15,IF(AND(A48&gt;=Inputs!$F$15,A48&lt;=Inputs!$G$15),Inputs!$I$15,0))</f>
        <v>227577.145833333</v>
      </c>
      <c r="G48" s="2" t="n">
        <f aca="false">IF(A48=0,Inputs!$E$16,IF(AND(A48&gt;=Inputs!$F$16,A48&lt;=Inputs!$G$16),Inputs!$I$16,0))</f>
        <v>227577.145833333</v>
      </c>
      <c r="H48" s="2" t="n">
        <f aca="false">IF(A48=0,Inputs!$E$17,IF(AND(A48&gt;=Inputs!$F$17,A48&lt;=Inputs!$G$17),Inputs!$I$17,0))</f>
        <v>227577.145833333</v>
      </c>
      <c r="I48" s="2" t="n">
        <f aca="false">IF(A48=0,Inputs!$E$18,IF(AND(A48&gt;=Inputs!$F$18,A48&lt;=Inputs!$G$18),Inputs!$I$18,0))</f>
        <v>227577.145833333</v>
      </c>
      <c r="J48" s="2" t="n">
        <f aca="false">IF(A48=0,Inputs!$E$19,IF(AND(A48&gt;=Inputs!$F$19,A48&lt;=Inputs!$G$19),Inputs!$I$19,0))</f>
        <v>47478.8333333333</v>
      </c>
      <c r="K48" s="2" t="n">
        <f aca="false">IF(A48=0,Inputs!$E$20,IF(AND(A48&gt;=Inputs!$F$20,A48&lt;=Inputs!$G$20),Inputs!$I$20,0))</f>
        <v>0</v>
      </c>
      <c r="L48" s="2" t="n">
        <f aca="false">IF(A48=0,Inputs!$E$21,IF(AND(A48&gt;=Inputs!$F$21,A48&lt;=Inputs!$G$21),Inputs!$I$21,0))</f>
        <v>0</v>
      </c>
      <c r="M48" s="2" t="n">
        <f aca="false">IF(A48=0,Inputs!$E$22,IF(AND(A48&gt;=Inputs!$F$22,A48&lt;=Inputs!$G$22),Inputs!$I$22,0))</f>
        <v>0</v>
      </c>
      <c r="N48" s="2" t="n">
        <f aca="false">IF(A48&lt;Inputs!$B$9,0,IF(A48&lt;=12,Inputs!$B$8,Inputs!$B$6*(1-Inputs!$B$7)^(INT((A48-13)/12)+1)/12))</f>
        <v>2456500</v>
      </c>
      <c r="O48" s="2" t="n">
        <f aca="false">IF(A48=0,Inputs!$E$24,IF(AND(A48&gt;=Inputs!$F$24,A48&lt;=Inputs!$G$24),Inputs!$I$24,0))</f>
        <v>0</v>
      </c>
      <c r="P48" s="2" t="n">
        <f aca="false">IF(A48=0,Inputs!$E$25,IF(AND(A48&gt;=Inputs!$F$25,A48&lt;=Inputs!$G$25),Inputs!$I$25,0))</f>
        <v>0</v>
      </c>
      <c r="Q48" s="2" t="n">
        <f aca="false">IF(A48=0,Inputs!$E$26,IF(AND(A48&gt;=Inputs!$F$26,A48&lt;=Inputs!$G$26),Inputs!$I$26,0))</f>
        <v>0</v>
      </c>
      <c r="R48" s="2" t="n">
        <f aca="false">IF(A48=0,Inputs!$E$27,IF(AND(A48&gt;=Inputs!$F$27,A48&lt;=Inputs!$G$27),Inputs!$I$27,0))</f>
        <v>0</v>
      </c>
      <c r="S48" s="2" t="n">
        <f aca="false">IF(A48=0,Inputs!$E$28,IF(AND(A48&gt;=Inputs!$F$28,A48&lt;=Inputs!$G$28),Inputs!$I$28,0))</f>
        <v>0</v>
      </c>
      <c r="T48" s="2" t="n">
        <f aca="false">IF(A48=0,Inputs!$E$29,IF(AND(A48&gt;=Inputs!$F$29,A48&lt;=Inputs!$G$29),Inputs!$I$29,0))</f>
        <v>0</v>
      </c>
      <c r="U48" s="2" t="n">
        <f aca="false">SUM(C48:T48)</f>
        <v>4539833.33333333</v>
      </c>
      <c r="V48" s="2" t="n">
        <f aca="false">V47+U48</f>
        <v>608258833.333334</v>
      </c>
      <c r="W48" s="4" t="n">
        <f aca="false">V48/Inputs!$B$4</f>
        <v>0.608258833333334</v>
      </c>
    </row>
    <row r="49" customFormat="false" ht="15" hidden="false" customHeight="false" outlineLevel="0" collapsed="false">
      <c r="A49" s="0" t="n">
        <v>44</v>
      </c>
      <c r="B49" s="3" t="n">
        <f aca="false">EDATE(Inputs!$B$5,A49)</f>
        <v>47761</v>
      </c>
      <c r="C49" s="2" t="n">
        <f aca="false">IF(A49=0,Inputs!$E$12,IF(AND(A49&gt;=Inputs!$F$12,A49&lt;=Inputs!$G$12),Inputs!$I$12,0))</f>
        <v>215237.395833333</v>
      </c>
      <c r="D49" s="2" t="n">
        <f aca="false">IF(A49=0,Inputs!$E$13,IF(AND(A49&gt;=Inputs!$F$13,A49&lt;=Inputs!$G$13),Inputs!$I$13,0))</f>
        <v>568942.8125</v>
      </c>
      <c r="E49" s="2" t="n">
        <f aca="false">IF(A49=0,Inputs!$E$14,IF(AND(A49&gt;=Inputs!$F$14,A49&lt;=Inputs!$G$14),Inputs!$I$14,0))</f>
        <v>341365.708333333</v>
      </c>
      <c r="F49" s="2" t="n">
        <f aca="false">IF(A49=0,Inputs!$E$15,IF(AND(A49&gt;=Inputs!$F$15,A49&lt;=Inputs!$G$15),Inputs!$I$15,0))</f>
        <v>227577.145833333</v>
      </c>
      <c r="G49" s="2" t="n">
        <f aca="false">IF(A49=0,Inputs!$E$16,IF(AND(A49&gt;=Inputs!$F$16,A49&lt;=Inputs!$G$16),Inputs!$I$16,0))</f>
        <v>227577.145833333</v>
      </c>
      <c r="H49" s="2" t="n">
        <f aca="false">IF(A49=0,Inputs!$E$17,IF(AND(A49&gt;=Inputs!$F$17,A49&lt;=Inputs!$G$17),Inputs!$I$17,0))</f>
        <v>227577.145833333</v>
      </c>
      <c r="I49" s="2" t="n">
        <f aca="false">IF(A49=0,Inputs!$E$18,IF(AND(A49&gt;=Inputs!$F$18,A49&lt;=Inputs!$G$18),Inputs!$I$18,0))</f>
        <v>227577.145833333</v>
      </c>
      <c r="J49" s="2" t="n">
        <f aca="false">IF(A49=0,Inputs!$E$19,IF(AND(A49&gt;=Inputs!$F$19,A49&lt;=Inputs!$G$19),Inputs!$I$19,0))</f>
        <v>47478.8333333333</v>
      </c>
      <c r="K49" s="2" t="n">
        <f aca="false">IF(A49=0,Inputs!$E$20,IF(AND(A49&gt;=Inputs!$F$20,A49&lt;=Inputs!$G$20),Inputs!$I$20,0))</f>
        <v>0</v>
      </c>
      <c r="L49" s="2" t="n">
        <f aca="false">IF(A49=0,Inputs!$E$21,IF(AND(A49&gt;=Inputs!$F$21,A49&lt;=Inputs!$G$21),Inputs!$I$21,0))</f>
        <v>0</v>
      </c>
      <c r="M49" s="2" t="n">
        <f aca="false">IF(A49=0,Inputs!$E$22,IF(AND(A49&gt;=Inputs!$F$22,A49&lt;=Inputs!$G$22),Inputs!$I$22,0))</f>
        <v>0</v>
      </c>
      <c r="N49" s="2" t="n">
        <f aca="false">IF(A49&lt;Inputs!$B$9,0,IF(A49&lt;=12,Inputs!$B$8,Inputs!$B$6*(1-Inputs!$B$7)^(INT((A49-13)/12)+1)/12))</f>
        <v>2456500</v>
      </c>
      <c r="O49" s="2" t="n">
        <f aca="false">IF(A49=0,Inputs!$E$24,IF(AND(A49&gt;=Inputs!$F$24,A49&lt;=Inputs!$G$24),Inputs!$I$24,0))</f>
        <v>0</v>
      </c>
      <c r="P49" s="2" t="n">
        <f aca="false">IF(A49=0,Inputs!$E$25,IF(AND(A49&gt;=Inputs!$F$25,A49&lt;=Inputs!$G$25),Inputs!$I$25,0))</f>
        <v>0</v>
      </c>
      <c r="Q49" s="2" t="n">
        <f aca="false">IF(A49=0,Inputs!$E$26,IF(AND(A49&gt;=Inputs!$F$26,A49&lt;=Inputs!$G$26),Inputs!$I$26,0))</f>
        <v>0</v>
      </c>
      <c r="R49" s="2" t="n">
        <f aca="false">IF(A49=0,Inputs!$E$27,IF(AND(A49&gt;=Inputs!$F$27,A49&lt;=Inputs!$G$27),Inputs!$I$27,0))</f>
        <v>0</v>
      </c>
      <c r="S49" s="2" t="n">
        <f aca="false">IF(A49=0,Inputs!$E$28,IF(AND(A49&gt;=Inputs!$F$28,A49&lt;=Inputs!$G$28),Inputs!$I$28,0))</f>
        <v>0</v>
      </c>
      <c r="T49" s="2" t="n">
        <f aca="false">IF(A49=0,Inputs!$E$29,IF(AND(A49&gt;=Inputs!$F$29,A49&lt;=Inputs!$G$29),Inputs!$I$29,0))</f>
        <v>0</v>
      </c>
      <c r="U49" s="2" t="n">
        <f aca="false">SUM(C49:T49)</f>
        <v>4539833.33333333</v>
      </c>
      <c r="V49" s="2" t="n">
        <f aca="false">V48+U49</f>
        <v>612798666.666667</v>
      </c>
      <c r="W49" s="4" t="n">
        <f aca="false">V49/Inputs!$B$4</f>
        <v>0.612798666666667</v>
      </c>
    </row>
    <row r="50" customFormat="false" ht="15" hidden="false" customHeight="false" outlineLevel="0" collapsed="false">
      <c r="A50" s="0" t="n">
        <v>45</v>
      </c>
      <c r="B50" s="3" t="n">
        <f aca="false">EDATE(Inputs!$B$5,A50)</f>
        <v>47792</v>
      </c>
      <c r="C50" s="2" t="n">
        <f aca="false">IF(A50=0,Inputs!$E$12,IF(AND(A50&gt;=Inputs!$F$12,A50&lt;=Inputs!$G$12),Inputs!$I$12,0))</f>
        <v>215237.395833333</v>
      </c>
      <c r="D50" s="2" t="n">
        <f aca="false">IF(A50=0,Inputs!$E$13,IF(AND(A50&gt;=Inputs!$F$13,A50&lt;=Inputs!$G$13),Inputs!$I$13,0))</f>
        <v>568942.8125</v>
      </c>
      <c r="E50" s="2" t="n">
        <f aca="false">IF(A50=0,Inputs!$E$14,IF(AND(A50&gt;=Inputs!$F$14,A50&lt;=Inputs!$G$14),Inputs!$I$14,0))</f>
        <v>341365.708333333</v>
      </c>
      <c r="F50" s="2" t="n">
        <f aca="false">IF(A50=0,Inputs!$E$15,IF(AND(A50&gt;=Inputs!$F$15,A50&lt;=Inputs!$G$15),Inputs!$I$15,0))</f>
        <v>227577.145833333</v>
      </c>
      <c r="G50" s="2" t="n">
        <f aca="false">IF(A50=0,Inputs!$E$16,IF(AND(A50&gt;=Inputs!$F$16,A50&lt;=Inputs!$G$16),Inputs!$I$16,0))</f>
        <v>227577.145833333</v>
      </c>
      <c r="H50" s="2" t="n">
        <f aca="false">IF(A50=0,Inputs!$E$17,IF(AND(A50&gt;=Inputs!$F$17,A50&lt;=Inputs!$G$17),Inputs!$I$17,0))</f>
        <v>227577.145833333</v>
      </c>
      <c r="I50" s="2" t="n">
        <f aca="false">IF(A50=0,Inputs!$E$18,IF(AND(A50&gt;=Inputs!$F$18,A50&lt;=Inputs!$G$18),Inputs!$I$18,0))</f>
        <v>227577.145833333</v>
      </c>
      <c r="J50" s="2" t="n">
        <f aca="false">IF(A50=0,Inputs!$E$19,IF(AND(A50&gt;=Inputs!$F$19,A50&lt;=Inputs!$G$19),Inputs!$I$19,0))</f>
        <v>47478.8333333333</v>
      </c>
      <c r="K50" s="2" t="n">
        <f aca="false">IF(A50=0,Inputs!$E$20,IF(AND(A50&gt;=Inputs!$F$20,A50&lt;=Inputs!$G$20),Inputs!$I$20,0))</f>
        <v>0</v>
      </c>
      <c r="L50" s="2" t="n">
        <f aca="false">IF(A50=0,Inputs!$E$21,IF(AND(A50&gt;=Inputs!$F$21,A50&lt;=Inputs!$G$21),Inputs!$I$21,0))</f>
        <v>0</v>
      </c>
      <c r="M50" s="2" t="n">
        <f aca="false">IF(A50=0,Inputs!$E$22,IF(AND(A50&gt;=Inputs!$F$22,A50&lt;=Inputs!$G$22),Inputs!$I$22,0))</f>
        <v>0</v>
      </c>
      <c r="N50" s="2" t="n">
        <f aca="false">IF(A50&lt;Inputs!$B$9,0,IF(A50&lt;=12,Inputs!$B$8,Inputs!$B$6*(1-Inputs!$B$7)^(INT((A50-13)/12)+1)/12))</f>
        <v>2456500</v>
      </c>
      <c r="O50" s="2" t="n">
        <f aca="false">IF(A50=0,Inputs!$E$24,IF(AND(A50&gt;=Inputs!$F$24,A50&lt;=Inputs!$G$24),Inputs!$I$24,0))</f>
        <v>0</v>
      </c>
      <c r="P50" s="2" t="n">
        <f aca="false">IF(A50=0,Inputs!$E$25,IF(AND(A50&gt;=Inputs!$F$25,A50&lt;=Inputs!$G$25),Inputs!$I$25,0))</f>
        <v>0</v>
      </c>
      <c r="Q50" s="2" t="n">
        <f aca="false">IF(A50=0,Inputs!$E$26,IF(AND(A50&gt;=Inputs!$F$26,A50&lt;=Inputs!$G$26),Inputs!$I$26,0))</f>
        <v>0</v>
      </c>
      <c r="R50" s="2" t="n">
        <f aca="false">IF(A50=0,Inputs!$E$27,IF(AND(A50&gt;=Inputs!$F$27,A50&lt;=Inputs!$G$27),Inputs!$I$27,0))</f>
        <v>0</v>
      </c>
      <c r="S50" s="2" t="n">
        <f aca="false">IF(A50=0,Inputs!$E$28,IF(AND(A50&gt;=Inputs!$F$28,A50&lt;=Inputs!$G$28),Inputs!$I$28,0))</f>
        <v>0</v>
      </c>
      <c r="T50" s="2" t="n">
        <f aca="false">IF(A50=0,Inputs!$E$29,IF(AND(A50&gt;=Inputs!$F$29,A50&lt;=Inputs!$G$29),Inputs!$I$29,0))</f>
        <v>0</v>
      </c>
      <c r="U50" s="2" t="n">
        <f aca="false">SUM(C50:T50)</f>
        <v>4539833.33333333</v>
      </c>
      <c r="V50" s="2" t="n">
        <f aca="false">V49+U50</f>
        <v>617338500.000001</v>
      </c>
      <c r="W50" s="4" t="n">
        <f aca="false">V50/Inputs!$B$4</f>
        <v>0.617338500000001</v>
      </c>
    </row>
    <row r="51" customFormat="false" ht="15" hidden="false" customHeight="false" outlineLevel="0" collapsed="false">
      <c r="A51" s="0" t="n">
        <v>46</v>
      </c>
      <c r="B51" s="3" t="n">
        <f aca="false">EDATE(Inputs!$B$5,A51)</f>
        <v>47822</v>
      </c>
      <c r="C51" s="2" t="n">
        <f aca="false">IF(A51=0,Inputs!$E$12,IF(AND(A51&gt;=Inputs!$F$12,A51&lt;=Inputs!$G$12),Inputs!$I$12,0))</f>
        <v>215237.395833333</v>
      </c>
      <c r="D51" s="2" t="n">
        <f aca="false">IF(A51=0,Inputs!$E$13,IF(AND(A51&gt;=Inputs!$F$13,A51&lt;=Inputs!$G$13),Inputs!$I$13,0))</f>
        <v>568942.8125</v>
      </c>
      <c r="E51" s="2" t="n">
        <f aca="false">IF(A51=0,Inputs!$E$14,IF(AND(A51&gt;=Inputs!$F$14,A51&lt;=Inputs!$G$14),Inputs!$I$14,0))</f>
        <v>341365.708333333</v>
      </c>
      <c r="F51" s="2" t="n">
        <f aca="false">IF(A51=0,Inputs!$E$15,IF(AND(A51&gt;=Inputs!$F$15,A51&lt;=Inputs!$G$15),Inputs!$I$15,0))</f>
        <v>227577.145833333</v>
      </c>
      <c r="G51" s="2" t="n">
        <f aca="false">IF(A51=0,Inputs!$E$16,IF(AND(A51&gt;=Inputs!$F$16,A51&lt;=Inputs!$G$16),Inputs!$I$16,0))</f>
        <v>227577.145833333</v>
      </c>
      <c r="H51" s="2" t="n">
        <f aca="false">IF(A51=0,Inputs!$E$17,IF(AND(A51&gt;=Inputs!$F$17,A51&lt;=Inputs!$G$17),Inputs!$I$17,0))</f>
        <v>227577.145833333</v>
      </c>
      <c r="I51" s="2" t="n">
        <f aca="false">IF(A51=0,Inputs!$E$18,IF(AND(A51&gt;=Inputs!$F$18,A51&lt;=Inputs!$G$18),Inputs!$I$18,0))</f>
        <v>227577.145833333</v>
      </c>
      <c r="J51" s="2" t="n">
        <f aca="false">IF(A51=0,Inputs!$E$19,IF(AND(A51&gt;=Inputs!$F$19,A51&lt;=Inputs!$G$19),Inputs!$I$19,0))</f>
        <v>47478.8333333333</v>
      </c>
      <c r="K51" s="2" t="n">
        <f aca="false">IF(A51=0,Inputs!$E$20,IF(AND(A51&gt;=Inputs!$F$20,A51&lt;=Inputs!$G$20),Inputs!$I$20,0))</f>
        <v>0</v>
      </c>
      <c r="L51" s="2" t="n">
        <f aca="false">IF(A51=0,Inputs!$E$21,IF(AND(A51&gt;=Inputs!$F$21,A51&lt;=Inputs!$G$21),Inputs!$I$21,0))</f>
        <v>0</v>
      </c>
      <c r="M51" s="2" t="n">
        <f aca="false">IF(A51=0,Inputs!$E$22,IF(AND(A51&gt;=Inputs!$F$22,A51&lt;=Inputs!$G$22),Inputs!$I$22,0))</f>
        <v>0</v>
      </c>
      <c r="N51" s="2" t="n">
        <f aca="false">IF(A51&lt;Inputs!$B$9,0,IF(A51&lt;=12,Inputs!$B$8,Inputs!$B$6*(1-Inputs!$B$7)^(INT((A51-13)/12)+1)/12))</f>
        <v>2456500</v>
      </c>
      <c r="O51" s="2" t="n">
        <f aca="false">IF(A51=0,Inputs!$E$24,IF(AND(A51&gt;=Inputs!$F$24,A51&lt;=Inputs!$G$24),Inputs!$I$24,0))</f>
        <v>0</v>
      </c>
      <c r="P51" s="2" t="n">
        <f aca="false">IF(A51=0,Inputs!$E$25,IF(AND(A51&gt;=Inputs!$F$25,A51&lt;=Inputs!$G$25),Inputs!$I$25,0))</f>
        <v>0</v>
      </c>
      <c r="Q51" s="2" t="n">
        <f aca="false">IF(A51=0,Inputs!$E$26,IF(AND(A51&gt;=Inputs!$F$26,A51&lt;=Inputs!$G$26),Inputs!$I$26,0))</f>
        <v>0</v>
      </c>
      <c r="R51" s="2" t="n">
        <f aca="false">IF(A51=0,Inputs!$E$27,IF(AND(A51&gt;=Inputs!$F$27,A51&lt;=Inputs!$G$27),Inputs!$I$27,0))</f>
        <v>0</v>
      </c>
      <c r="S51" s="2" t="n">
        <f aca="false">IF(A51=0,Inputs!$E$28,IF(AND(A51&gt;=Inputs!$F$28,A51&lt;=Inputs!$G$28),Inputs!$I$28,0))</f>
        <v>0</v>
      </c>
      <c r="T51" s="2" t="n">
        <f aca="false">IF(A51=0,Inputs!$E$29,IF(AND(A51&gt;=Inputs!$F$29,A51&lt;=Inputs!$G$29),Inputs!$I$29,0))</f>
        <v>0</v>
      </c>
      <c r="U51" s="2" t="n">
        <f aca="false">SUM(C51:T51)</f>
        <v>4539833.33333333</v>
      </c>
      <c r="V51" s="2" t="n">
        <f aca="false">V50+U51</f>
        <v>621878333.333334</v>
      </c>
      <c r="W51" s="4" t="n">
        <f aca="false">V51/Inputs!$B$4</f>
        <v>0.621878333333334</v>
      </c>
    </row>
    <row r="52" customFormat="false" ht="15" hidden="false" customHeight="false" outlineLevel="0" collapsed="false">
      <c r="A52" s="0" t="n">
        <v>47</v>
      </c>
      <c r="B52" s="3" t="n">
        <f aca="false">EDATE(Inputs!$B$5,A52)</f>
        <v>47853</v>
      </c>
      <c r="C52" s="2" t="n">
        <f aca="false">IF(A52=0,Inputs!$E$12,IF(AND(A52&gt;=Inputs!$F$12,A52&lt;=Inputs!$G$12),Inputs!$I$12,0))</f>
        <v>215237.395833333</v>
      </c>
      <c r="D52" s="2" t="n">
        <f aca="false">IF(A52=0,Inputs!$E$13,IF(AND(A52&gt;=Inputs!$F$13,A52&lt;=Inputs!$G$13),Inputs!$I$13,0))</f>
        <v>568942.8125</v>
      </c>
      <c r="E52" s="2" t="n">
        <f aca="false">IF(A52=0,Inputs!$E$14,IF(AND(A52&gt;=Inputs!$F$14,A52&lt;=Inputs!$G$14),Inputs!$I$14,0))</f>
        <v>341365.708333333</v>
      </c>
      <c r="F52" s="2" t="n">
        <f aca="false">IF(A52=0,Inputs!$E$15,IF(AND(A52&gt;=Inputs!$F$15,A52&lt;=Inputs!$G$15),Inputs!$I$15,0))</f>
        <v>227577.145833333</v>
      </c>
      <c r="G52" s="2" t="n">
        <f aca="false">IF(A52=0,Inputs!$E$16,IF(AND(A52&gt;=Inputs!$F$16,A52&lt;=Inputs!$G$16),Inputs!$I$16,0))</f>
        <v>227577.145833333</v>
      </c>
      <c r="H52" s="2" t="n">
        <f aca="false">IF(A52=0,Inputs!$E$17,IF(AND(A52&gt;=Inputs!$F$17,A52&lt;=Inputs!$G$17),Inputs!$I$17,0))</f>
        <v>227577.145833333</v>
      </c>
      <c r="I52" s="2" t="n">
        <f aca="false">IF(A52=0,Inputs!$E$18,IF(AND(A52&gt;=Inputs!$F$18,A52&lt;=Inputs!$G$18),Inputs!$I$18,0))</f>
        <v>227577.145833333</v>
      </c>
      <c r="J52" s="2" t="n">
        <f aca="false">IF(A52=0,Inputs!$E$19,IF(AND(A52&gt;=Inputs!$F$19,A52&lt;=Inputs!$G$19),Inputs!$I$19,0))</f>
        <v>47478.8333333333</v>
      </c>
      <c r="K52" s="2" t="n">
        <f aca="false">IF(A52=0,Inputs!$E$20,IF(AND(A52&gt;=Inputs!$F$20,A52&lt;=Inputs!$G$20),Inputs!$I$20,0))</f>
        <v>0</v>
      </c>
      <c r="L52" s="2" t="n">
        <f aca="false">IF(A52=0,Inputs!$E$21,IF(AND(A52&gt;=Inputs!$F$21,A52&lt;=Inputs!$G$21),Inputs!$I$21,0))</f>
        <v>0</v>
      </c>
      <c r="M52" s="2" t="n">
        <f aca="false">IF(A52=0,Inputs!$E$22,IF(AND(A52&gt;=Inputs!$F$22,A52&lt;=Inputs!$G$22),Inputs!$I$22,0))</f>
        <v>0</v>
      </c>
      <c r="N52" s="2" t="n">
        <f aca="false">IF(A52&lt;Inputs!$B$9,0,IF(A52&lt;=12,Inputs!$B$8,Inputs!$B$6*(1-Inputs!$B$7)^(INT((A52-13)/12)+1)/12))</f>
        <v>2456500</v>
      </c>
      <c r="O52" s="2" t="n">
        <f aca="false">IF(A52=0,Inputs!$E$24,IF(AND(A52&gt;=Inputs!$F$24,A52&lt;=Inputs!$G$24),Inputs!$I$24,0))</f>
        <v>0</v>
      </c>
      <c r="P52" s="2" t="n">
        <f aca="false">IF(A52=0,Inputs!$E$25,IF(AND(A52&gt;=Inputs!$F$25,A52&lt;=Inputs!$G$25),Inputs!$I$25,0))</f>
        <v>0</v>
      </c>
      <c r="Q52" s="2" t="n">
        <f aca="false">IF(A52=0,Inputs!$E$26,IF(AND(A52&gt;=Inputs!$F$26,A52&lt;=Inputs!$G$26),Inputs!$I$26,0))</f>
        <v>0</v>
      </c>
      <c r="R52" s="2" t="n">
        <f aca="false">IF(A52=0,Inputs!$E$27,IF(AND(A52&gt;=Inputs!$F$27,A52&lt;=Inputs!$G$27),Inputs!$I$27,0))</f>
        <v>0</v>
      </c>
      <c r="S52" s="2" t="n">
        <f aca="false">IF(A52=0,Inputs!$E$28,IF(AND(A52&gt;=Inputs!$F$28,A52&lt;=Inputs!$G$28),Inputs!$I$28,0))</f>
        <v>0</v>
      </c>
      <c r="T52" s="2" t="n">
        <f aca="false">IF(A52=0,Inputs!$E$29,IF(AND(A52&gt;=Inputs!$F$29,A52&lt;=Inputs!$G$29),Inputs!$I$29,0))</f>
        <v>0</v>
      </c>
      <c r="U52" s="2" t="n">
        <f aca="false">SUM(C52:T52)</f>
        <v>4539833.33333333</v>
      </c>
      <c r="V52" s="2" t="n">
        <f aca="false">V51+U52</f>
        <v>626418166.666667</v>
      </c>
      <c r="W52" s="4" t="n">
        <f aca="false">V52/Inputs!$B$4</f>
        <v>0.626418166666667</v>
      </c>
    </row>
    <row r="53" customFormat="false" ht="15" hidden="false" customHeight="false" outlineLevel="0" collapsed="false">
      <c r="A53" s="0" t="n">
        <v>48</v>
      </c>
      <c r="B53" s="3" t="n">
        <f aca="false">EDATE(Inputs!$B$5,A53)</f>
        <v>47884</v>
      </c>
      <c r="C53" s="2" t="n">
        <f aca="false">IF(A53=0,Inputs!$E$12,IF(AND(A53&gt;=Inputs!$F$12,A53&lt;=Inputs!$G$12),Inputs!$I$12,0))</f>
        <v>215237.395833333</v>
      </c>
      <c r="D53" s="2" t="n">
        <f aca="false">IF(A53=0,Inputs!$E$13,IF(AND(A53&gt;=Inputs!$F$13,A53&lt;=Inputs!$G$13),Inputs!$I$13,0))</f>
        <v>568942.8125</v>
      </c>
      <c r="E53" s="2" t="n">
        <f aca="false">IF(A53=0,Inputs!$E$14,IF(AND(A53&gt;=Inputs!$F$14,A53&lt;=Inputs!$G$14),Inputs!$I$14,0))</f>
        <v>341365.708333333</v>
      </c>
      <c r="F53" s="2" t="n">
        <f aca="false">IF(A53=0,Inputs!$E$15,IF(AND(A53&gt;=Inputs!$F$15,A53&lt;=Inputs!$G$15),Inputs!$I$15,0))</f>
        <v>227577.145833333</v>
      </c>
      <c r="G53" s="2" t="n">
        <f aca="false">IF(A53=0,Inputs!$E$16,IF(AND(A53&gt;=Inputs!$F$16,A53&lt;=Inputs!$G$16),Inputs!$I$16,0))</f>
        <v>227577.145833333</v>
      </c>
      <c r="H53" s="2" t="n">
        <f aca="false">IF(A53=0,Inputs!$E$17,IF(AND(A53&gt;=Inputs!$F$17,A53&lt;=Inputs!$G$17),Inputs!$I$17,0))</f>
        <v>227577.145833333</v>
      </c>
      <c r="I53" s="2" t="n">
        <f aca="false">IF(A53=0,Inputs!$E$18,IF(AND(A53&gt;=Inputs!$F$18,A53&lt;=Inputs!$G$18),Inputs!$I$18,0))</f>
        <v>227577.145833333</v>
      </c>
      <c r="J53" s="2" t="n">
        <f aca="false">IF(A53=0,Inputs!$E$19,IF(AND(A53&gt;=Inputs!$F$19,A53&lt;=Inputs!$G$19),Inputs!$I$19,0))</f>
        <v>47478.8333333333</v>
      </c>
      <c r="K53" s="2" t="n">
        <f aca="false">IF(A53=0,Inputs!$E$20,IF(AND(A53&gt;=Inputs!$F$20,A53&lt;=Inputs!$G$20),Inputs!$I$20,0))</f>
        <v>0</v>
      </c>
      <c r="L53" s="2" t="n">
        <f aca="false">IF(A53=0,Inputs!$E$21,IF(AND(A53&gt;=Inputs!$F$21,A53&lt;=Inputs!$G$21),Inputs!$I$21,0))</f>
        <v>0</v>
      </c>
      <c r="M53" s="2" t="n">
        <f aca="false">IF(A53=0,Inputs!$E$22,IF(AND(A53&gt;=Inputs!$F$22,A53&lt;=Inputs!$G$22),Inputs!$I$22,0))</f>
        <v>0</v>
      </c>
      <c r="N53" s="2" t="n">
        <f aca="false">IF(A53&lt;Inputs!$B$9,0,IF(A53&lt;=12,Inputs!$B$8,Inputs!$B$6*(1-Inputs!$B$7)^(INT((A53-13)/12)+1)/12))</f>
        <v>2456500</v>
      </c>
      <c r="O53" s="2" t="n">
        <f aca="false">IF(A53=0,Inputs!$E$24,IF(AND(A53&gt;=Inputs!$F$24,A53&lt;=Inputs!$G$24),Inputs!$I$24,0))</f>
        <v>0</v>
      </c>
      <c r="P53" s="2" t="n">
        <f aca="false">IF(A53=0,Inputs!$E$25,IF(AND(A53&gt;=Inputs!$F$25,A53&lt;=Inputs!$G$25),Inputs!$I$25,0))</f>
        <v>0</v>
      </c>
      <c r="Q53" s="2" t="n">
        <f aca="false">IF(A53=0,Inputs!$E$26,IF(AND(A53&gt;=Inputs!$F$26,A53&lt;=Inputs!$G$26),Inputs!$I$26,0))</f>
        <v>0</v>
      </c>
      <c r="R53" s="2" t="n">
        <f aca="false">IF(A53=0,Inputs!$E$27,IF(AND(A53&gt;=Inputs!$F$27,A53&lt;=Inputs!$G$27),Inputs!$I$27,0))</f>
        <v>0</v>
      </c>
      <c r="S53" s="2" t="n">
        <f aca="false">IF(A53=0,Inputs!$E$28,IF(AND(A53&gt;=Inputs!$F$28,A53&lt;=Inputs!$G$28),Inputs!$I$28,0))</f>
        <v>0</v>
      </c>
      <c r="T53" s="2" t="n">
        <f aca="false">IF(A53=0,Inputs!$E$29,IF(AND(A53&gt;=Inputs!$F$29,A53&lt;=Inputs!$G$29),Inputs!$I$29,0))</f>
        <v>0</v>
      </c>
      <c r="U53" s="2" t="n">
        <f aca="false">SUM(C53:T53)</f>
        <v>4539833.33333333</v>
      </c>
      <c r="V53" s="2" t="n">
        <f aca="false">V52+U53</f>
        <v>630958000.000001</v>
      </c>
      <c r="W53" s="4" t="n">
        <f aca="false">V53/Inputs!$B$4</f>
        <v>0.630958000000001</v>
      </c>
    </row>
    <row r="54" customFormat="false" ht="15" hidden="false" customHeight="false" outlineLevel="0" collapsed="false">
      <c r="A54" s="0" t="n">
        <v>49</v>
      </c>
      <c r="B54" s="3" t="n">
        <f aca="false">EDATE(Inputs!$B$5,A54)</f>
        <v>47912</v>
      </c>
      <c r="C54" s="2" t="n">
        <f aca="false">IF(A54=0,Inputs!$E$12,IF(AND(A54&gt;=Inputs!$F$12,A54&lt;=Inputs!$G$12),Inputs!$I$12,0))</f>
        <v>215237.395833333</v>
      </c>
      <c r="D54" s="2" t="n">
        <f aca="false">IF(A54=0,Inputs!$E$13,IF(AND(A54&gt;=Inputs!$F$13,A54&lt;=Inputs!$G$13),Inputs!$I$13,0))</f>
        <v>568942.8125</v>
      </c>
      <c r="E54" s="2" t="n">
        <f aca="false">IF(A54=0,Inputs!$E$14,IF(AND(A54&gt;=Inputs!$F$14,A54&lt;=Inputs!$G$14),Inputs!$I$14,0))</f>
        <v>341365.708333333</v>
      </c>
      <c r="F54" s="2" t="n">
        <f aca="false">IF(A54=0,Inputs!$E$15,IF(AND(A54&gt;=Inputs!$F$15,A54&lt;=Inputs!$G$15),Inputs!$I$15,0))</f>
        <v>227577.145833333</v>
      </c>
      <c r="G54" s="2" t="n">
        <f aca="false">IF(A54=0,Inputs!$E$16,IF(AND(A54&gt;=Inputs!$F$16,A54&lt;=Inputs!$G$16),Inputs!$I$16,0))</f>
        <v>227577.145833333</v>
      </c>
      <c r="H54" s="2" t="n">
        <f aca="false">IF(A54=0,Inputs!$E$17,IF(AND(A54&gt;=Inputs!$F$17,A54&lt;=Inputs!$G$17),Inputs!$I$17,0))</f>
        <v>227577.145833333</v>
      </c>
      <c r="I54" s="2" t="n">
        <f aca="false">IF(A54=0,Inputs!$E$18,IF(AND(A54&gt;=Inputs!$F$18,A54&lt;=Inputs!$G$18),Inputs!$I$18,0))</f>
        <v>227577.145833333</v>
      </c>
      <c r="J54" s="2" t="n">
        <f aca="false">IF(A54=0,Inputs!$E$19,IF(AND(A54&gt;=Inputs!$F$19,A54&lt;=Inputs!$G$19),Inputs!$I$19,0))</f>
        <v>47478.8333333333</v>
      </c>
      <c r="K54" s="2" t="n">
        <f aca="false">IF(A54=0,Inputs!$E$20,IF(AND(A54&gt;=Inputs!$F$20,A54&lt;=Inputs!$G$20),Inputs!$I$20,0))</f>
        <v>0</v>
      </c>
      <c r="L54" s="2" t="n">
        <f aca="false">IF(A54=0,Inputs!$E$21,IF(AND(A54&gt;=Inputs!$F$21,A54&lt;=Inputs!$G$21),Inputs!$I$21,0))</f>
        <v>0</v>
      </c>
      <c r="M54" s="2" t="n">
        <f aca="false">IF(A54=0,Inputs!$E$22,IF(AND(A54&gt;=Inputs!$F$22,A54&lt;=Inputs!$G$22),Inputs!$I$22,0))</f>
        <v>0</v>
      </c>
      <c r="N54" s="2" t="n">
        <f aca="false">IF(A54&lt;Inputs!$B$9,0,IF(A54&lt;=12,Inputs!$B$8,Inputs!$B$6*(1-Inputs!$B$7)^(INT((A54-13)/12)+1)/12))</f>
        <v>2088025</v>
      </c>
      <c r="O54" s="2" t="n">
        <f aca="false">IF(A54=0,Inputs!$E$24,IF(AND(A54&gt;=Inputs!$F$24,A54&lt;=Inputs!$G$24),Inputs!$I$24,0))</f>
        <v>0</v>
      </c>
      <c r="P54" s="2" t="n">
        <f aca="false">IF(A54=0,Inputs!$E$25,IF(AND(A54&gt;=Inputs!$F$25,A54&lt;=Inputs!$G$25),Inputs!$I$25,0))</f>
        <v>0</v>
      </c>
      <c r="Q54" s="2" t="n">
        <f aca="false">IF(A54=0,Inputs!$E$26,IF(AND(A54&gt;=Inputs!$F$26,A54&lt;=Inputs!$G$26),Inputs!$I$26,0))</f>
        <v>0</v>
      </c>
      <c r="R54" s="2" t="n">
        <f aca="false">IF(A54=0,Inputs!$E$27,IF(AND(A54&gt;=Inputs!$F$27,A54&lt;=Inputs!$G$27),Inputs!$I$27,0))</f>
        <v>0</v>
      </c>
      <c r="S54" s="2" t="n">
        <f aca="false">IF(A54=0,Inputs!$E$28,IF(AND(A54&gt;=Inputs!$F$28,A54&lt;=Inputs!$G$28),Inputs!$I$28,0))</f>
        <v>0</v>
      </c>
      <c r="T54" s="2" t="n">
        <f aca="false">IF(A54=0,Inputs!$E$29,IF(AND(A54&gt;=Inputs!$F$29,A54&lt;=Inputs!$G$29),Inputs!$I$29,0))</f>
        <v>0</v>
      </c>
      <c r="U54" s="2" t="n">
        <f aca="false">SUM(C54:T54)</f>
        <v>4171358.33333333</v>
      </c>
      <c r="V54" s="2" t="n">
        <f aca="false">V53+U54</f>
        <v>635129358.333334</v>
      </c>
      <c r="W54" s="4" t="n">
        <f aca="false">V54/Inputs!$B$4</f>
        <v>0.635129358333334</v>
      </c>
    </row>
    <row r="55" customFormat="false" ht="15" hidden="false" customHeight="false" outlineLevel="0" collapsed="false">
      <c r="A55" s="0" t="n">
        <v>50</v>
      </c>
      <c r="B55" s="3" t="n">
        <f aca="false">EDATE(Inputs!$B$5,A55)</f>
        <v>47943</v>
      </c>
      <c r="C55" s="2" t="n">
        <f aca="false">IF(A55=0,Inputs!$E$12,IF(AND(A55&gt;=Inputs!$F$12,A55&lt;=Inputs!$G$12),Inputs!$I$12,0))</f>
        <v>215237.395833333</v>
      </c>
      <c r="D55" s="2" t="n">
        <f aca="false">IF(A55=0,Inputs!$E$13,IF(AND(A55&gt;=Inputs!$F$13,A55&lt;=Inputs!$G$13),Inputs!$I$13,0))</f>
        <v>568942.8125</v>
      </c>
      <c r="E55" s="2" t="n">
        <f aca="false">IF(A55=0,Inputs!$E$14,IF(AND(A55&gt;=Inputs!$F$14,A55&lt;=Inputs!$G$14),Inputs!$I$14,0))</f>
        <v>341365.708333333</v>
      </c>
      <c r="F55" s="2" t="n">
        <f aca="false">IF(A55=0,Inputs!$E$15,IF(AND(A55&gt;=Inputs!$F$15,A55&lt;=Inputs!$G$15),Inputs!$I$15,0))</f>
        <v>227577.145833333</v>
      </c>
      <c r="G55" s="2" t="n">
        <f aca="false">IF(A55=0,Inputs!$E$16,IF(AND(A55&gt;=Inputs!$F$16,A55&lt;=Inputs!$G$16),Inputs!$I$16,0))</f>
        <v>227577.145833333</v>
      </c>
      <c r="H55" s="2" t="n">
        <f aca="false">IF(A55=0,Inputs!$E$17,IF(AND(A55&gt;=Inputs!$F$17,A55&lt;=Inputs!$G$17),Inputs!$I$17,0))</f>
        <v>227577.145833333</v>
      </c>
      <c r="I55" s="2" t="n">
        <f aca="false">IF(A55=0,Inputs!$E$18,IF(AND(A55&gt;=Inputs!$F$18,A55&lt;=Inputs!$G$18),Inputs!$I$18,0))</f>
        <v>227577.145833333</v>
      </c>
      <c r="J55" s="2" t="n">
        <f aca="false">IF(A55=0,Inputs!$E$19,IF(AND(A55&gt;=Inputs!$F$19,A55&lt;=Inputs!$G$19),Inputs!$I$19,0))</f>
        <v>47478.8333333333</v>
      </c>
      <c r="K55" s="2" t="n">
        <f aca="false">IF(A55=0,Inputs!$E$20,IF(AND(A55&gt;=Inputs!$F$20,A55&lt;=Inputs!$G$20),Inputs!$I$20,0))</f>
        <v>0</v>
      </c>
      <c r="L55" s="2" t="n">
        <f aca="false">IF(A55=0,Inputs!$E$21,IF(AND(A55&gt;=Inputs!$F$21,A55&lt;=Inputs!$G$21),Inputs!$I$21,0))</f>
        <v>0</v>
      </c>
      <c r="M55" s="2" t="n">
        <f aca="false">IF(A55=0,Inputs!$E$22,IF(AND(A55&gt;=Inputs!$F$22,A55&lt;=Inputs!$G$22),Inputs!$I$22,0))</f>
        <v>0</v>
      </c>
      <c r="N55" s="2" t="n">
        <f aca="false">IF(A55&lt;Inputs!$B$9,0,IF(A55&lt;=12,Inputs!$B$8,Inputs!$B$6*(1-Inputs!$B$7)^(INT((A55-13)/12)+1)/12))</f>
        <v>2088025</v>
      </c>
      <c r="O55" s="2" t="n">
        <f aca="false">IF(A55=0,Inputs!$E$24,IF(AND(A55&gt;=Inputs!$F$24,A55&lt;=Inputs!$G$24),Inputs!$I$24,0))</f>
        <v>0</v>
      </c>
      <c r="P55" s="2" t="n">
        <f aca="false">IF(A55=0,Inputs!$E$25,IF(AND(A55&gt;=Inputs!$F$25,A55&lt;=Inputs!$G$25),Inputs!$I$25,0))</f>
        <v>0</v>
      </c>
      <c r="Q55" s="2" t="n">
        <f aca="false">IF(A55=0,Inputs!$E$26,IF(AND(A55&gt;=Inputs!$F$26,A55&lt;=Inputs!$G$26),Inputs!$I$26,0))</f>
        <v>0</v>
      </c>
      <c r="R55" s="2" t="n">
        <f aca="false">IF(A55=0,Inputs!$E$27,IF(AND(A55&gt;=Inputs!$F$27,A55&lt;=Inputs!$G$27),Inputs!$I$27,0))</f>
        <v>0</v>
      </c>
      <c r="S55" s="2" t="n">
        <f aca="false">IF(A55=0,Inputs!$E$28,IF(AND(A55&gt;=Inputs!$F$28,A55&lt;=Inputs!$G$28),Inputs!$I$28,0))</f>
        <v>0</v>
      </c>
      <c r="T55" s="2" t="n">
        <f aca="false">IF(A55=0,Inputs!$E$29,IF(AND(A55&gt;=Inputs!$F$29,A55&lt;=Inputs!$G$29),Inputs!$I$29,0))</f>
        <v>0</v>
      </c>
      <c r="U55" s="2" t="n">
        <f aca="false">SUM(C55:T55)</f>
        <v>4171358.33333333</v>
      </c>
      <c r="V55" s="2" t="n">
        <f aca="false">V54+U55</f>
        <v>639300716.666668</v>
      </c>
      <c r="W55" s="4" t="n">
        <f aca="false">V55/Inputs!$B$4</f>
        <v>0.639300716666667</v>
      </c>
    </row>
    <row r="56" customFormat="false" ht="15" hidden="false" customHeight="false" outlineLevel="0" collapsed="false">
      <c r="A56" s="0" t="n">
        <v>51</v>
      </c>
      <c r="B56" s="3" t="n">
        <f aca="false">EDATE(Inputs!$B$5,A56)</f>
        <v>47973</v>
      </c>
      <c r="C56" s="2" t="n">
        <f aca="false">IF(A56=0,Inputs!$E$12,IF(AND(A56&gt;=Inputs!$F$12,A56&lt;=Inputs!$G$12),Inputs!$I$12,0))</f>
        <v>215237.395833333</v>
      </c>
      <c r="D56" s="2" t="n">
        <f aca="false">IF(A56=0,Inputs!$E$13,IF(AND(A56&gt;=Inputs!$F$13,A56&lt;=Inputs!$G$13),Inputs!$I$13,0))</f>
        <v>568942.8125</v>
      </c>
      <c r="E56" s="2" t="n">
        <f aca="false">IF(A56=0,Inputs!$E$14,IF(AND(A56&gt;=Inputs!$F$14,A56&lt;=Inputs!$G$14),Inputs!$I$14,0))</f>
        <v>341365.708333333</v>
      </c>
      <c r="F56" s="2" t="n">
        <f aca="false">IF(A56=0,Inputs!$E$15,IF(AND(A56&gt;=Inputs!$F$15,A56&lt;=Inputs!$G$15),Inputs!$I$15,0))</f>
        <v>227577.145833333</v>
      </c>
      <c r="G56" s="2" t="n">
        <f aca="false">IF(A56=0,Inputs!$E$16,IF(AND(A56&gt;=Inputs!$F$16,A56&lt;=Inputs!$G$16),Inputs!$I$16,0))</f>
        <v>227577.145833333</v>
      </c>
      <c r="H56" s="2" t="n">
        <f aca="false">IF(A56=0,Inputs!$E$17,IF(AND(A56&gt;=Inputs!$F$17,A56&lt;=Inputs!$G$17),Inputs!$I$17,0))</f>
        <v>227577.145833333</v>
      </c>
      <c r="I56" s="2" t="n">
        <f aca="false">IF(A56=0,Inputs!$E$18,IF(AND(A56&gt;=Inputs!$F$18,A56&lt;=Inputs!$G$18),Inputs!$I$18,0))</f>
        <v>227577.145833333</v>
      </c>
      <c r="J56" s="2" t="n">
        <f aca="false">IF(A56=0,Inputs!$E$19,IF(AND(A56&gt;=Inputs!$F$19,A56&lt;=Inputs!$G$19),Inputs!$I$19,0))</f>
        <v>47478.8333333333</v>
      </c>
      <c r="K56" s="2" t="n">
        <f aca="false">IF(A56=0,Inputs!$E$20,IF(AND(A56&gt;=Inputs!$F$20,A56&lt;=Inputs!$G$20),Inputs!$I$20,0))</f>
        <v>0</v>
      </c>
      <c r="L56" s="2" t="n">
        <f aca="false">IF(A56=0,Inputs!$E$21,IF(AND(A56&gt;=Inputs!$F$21,A56&lt;=Inputs!$G$21),Inputs!$I$21,0))</f>
        <v>0</v>
      </c>
      <c r="M56" s="2" t="n">
        <f aca="false">IF(A56=0,Inputs!$E$22,IF(AND(A56&gt;=Inputs!$F$22,A56&lt;=Inputs!$G$22),Inputs!$I$22,0))</f>
        <v>0</v>
      </c>
      <c r="N56" s="2" t="n">
        <f aca="false">IF(A56&lt;Inputs!$B$9,0,IF(A56&lt;=12,Inputs!$B$8,Inputs!$B$6*(1-Inputs!$B$7)^(INT((A56-13)/12)+1)/12))</f>
        <v>2088025</v>
      </c>
      <c r="O56" s="2" t="n">
        <f aca="false">IF(A56=0,Inputs!$E$24,IF(AND(A56&gt;=Inputs!$F$24,A56&lt;=Inputs!$G$24),Inputs!$I$24,0))</f>
        <v>0</v>
      </c>
      <c r="P56" s="2" t="n">
        <f aca="false">IF(A56=0,Inputs!$E$25,IF(AND(A56&gt;=Inputs!$F$25,A56&lt;=Inputs!$G$25),Inputs!$I$25,0))</f>
        <v>0</v>
      </c>
      <c r="Q56" s="2" t="n">
        <f aca="false">IF(A56=0,Inputs!$E$26,IF(AND(A56&gt;=Inputs!$F$26,A56&lt;=Inputs!$G$26),Inputs!$I$26,0))</f>
        <v>0</v>
      </c>
      <c r="R56" s="2" t="n">
        <f aca="false">IF(A56=0,Inputs!$E$27,IF(AND(A56&gt;=Inputs!$F$27,A56&lt;=Inputs!$G$27),Inputs!$I$27,0))</f>
        <v>0</v>
      </c>
      <c r="S56" s="2" t="n">
        <f aca="false">IF(A56=0,Inputs!$E$28,IF(AND(A56&gt;=Inputs!$F$28,A56&lt;=Inputs!$G$28),Inputs!$I$28,0))</f>
        <v>0</v>
      </c>
      <c r="T56" s="2" t="n">
        <f aca="false">IF(A56=0,Inputs!$E$29,IF(AND(A56&gt;=Inputs!$F$29,A56&lt;=Inputs!$G$29),Inputs!$I$29,0))</f>
        <v>0</v>
      </c>
      <c r="U56" s="2" t="n">
        <f aca="false">SUM(C56:T56)</f>
        <v>4171358.33333333</v>
      </c>
      <c r="V56" s="2" t="n">
        <f aca="false">V55+U56</f>
        <v>643472075.000001</v>
      </c>
      <c r="W56" s="4" t="n">
        <f aca="false">V56/Inputs!$B$4</f>
        <v>0.643472075000001</v>
      </c>
    </row>
    <row r="57" customFormat="false" ht="15" hidden="false" customHeight="false" outlineLevel="0" collapsed="false">
      <c r="A57" s="0" t="n">
        <v>52</v>
      </c>
      <c r="B57" s="3" t="n">
        <f aca="false">EDATE(Inputs!$B$5,A57)</f>
        <v>48004</v>
      </c>
      <c r="C57" s="2" t="n">
        <f aca="false">IF(A57=0,Inputs!$E$12,IF(AND(A57&gt;=Inputs!$F$12,A57&lt;=Inputs!$G$12),Inputs!$I$12,0))</f>
        <v>215237.395833333</v>
      </c>
      <c r="D57" s="2" t="n">
        <f aca="false">IF(A57=0,Inputs!$E$13,IF(AND(A57&gt;=Inputs!$F$13,A57&lt;=Inputs!$G$13),Inputs!$I$13,0))</f>
        <v>568942.8125</v>
      </c>
      <c r="E57" s="2" t="n">
        <f aca="false">IF(A57=0,Inputs!$E$14,IF(AND(A57&gt;=Inputs!$F$14,A57&lt;=Inputs!$G$14),Inputs!$I$14,0))</f>
        <v>341365.708333333</v>
      </c>
      <c r="F57" s="2" t="n">
        <f aca="false">IF(A57=0,Inputs!$E$15,IF(AND(A57&gt;=Inputs!$F$15,A57&lt;=Inputs!$G$15),Inputs!$I$15,0))</f>
        <v>227577.145833333</v>
      </c>
      <c r="G57" s="2" t="n">
        <f aca="false">IF(A57=0,Inputs!$E$16,IF(AND(A57&gt;=Inputs!$F$16,A57&lt;=Inputs!$G$16),Inputs!$I$16,0))</f>
        <v>227577.145833333</v>
      </c>
      <c r="H57" s="2" t="n">
        <f aca="false">IF(A57=0,Inputs!$E$17,IF(AND(A57&gt;=Inputs!$F$17,A57&lt;=Inputs!$G$17),Inputs!$I$17,0))</f>
        <v>227577.145833333</v>
      </c>
      <c r="I57" s="2" t="n">
        <f aca="false">IF(A57=0,Inputs!$E$18,IF(AND(A57&gt;=Inputs!$F$18,A57&lt;=Inputs!$G$18),Inputs!$I$18,0))</f>
        <v>227577.145833333</v>
      </c>
      <c r="J57" s="2" t="n">
        <f aca="false">IF(A57=0,Inputs!$E$19,IF(AND(A57&gt;=Inputs!$F$19,A57&lt;=Inputs!$G$19),Inputs!$I$19,0))</f>
        <v>47478.8333333333</v>
      </c>
      <c r="K57" s="2" t="n">
        <f aca="false">IF(A57=0,Inputs!$E$20,IF(AND(A57&gt;=Inputs!$F$20,A57&lt;=Inputs!$G$20),Inputs!$I$20,0))</f>
        <v>0</v>
      </c>
      <c r="L57" s="2" t="n">
        <f aca="false">IF(A57=0,Inputs!$E$21,IF(AND(A57&gt;=Inputs!$F$21,A57&lt;=Inputs!$G$21),Inputs!$I$21,0))</f>
        <v>0</v>
      </c>
      <c r="M57" s="2" t="n">
        <f aca="false">IF(A57=0,Inputs!$E$22,IF(AND(A57&gt;=Inputs!$F$22,A57&lt;=Inputs!$G$22),Inputs!$I$22,0))</f>
        <v>0</v>
      </c>
      <c r="N57" s="2" t="n">
        <f aca="false">IF(A57&lt;Inputs!$B$9,0,IF(A57&lt;=12,Inputs!$B$8,Inputs!$B$6*(1-Inputs!$B$7)^(INT((A57-13)/12)+1)/12))</f>
        <v>2088025</v>
      </c>
      <c r="O57" s="2" t="n">
        <f aca="false">IF(A57=0,Inputs!$E$24,IF(AND(A57&gt;=Inputs!$F$24,A57&lt;=Inputs!$G$24),Inputs!$I$24,0))</f>
        <v>0</v>
      </c>
      <c r="P57" s="2" t="n">
        <f aca="false">IF(A57=0,Inputs!$E$25,IF(AND(A57&gt;=Inputs!$F$25,A57&lt;=Inputs!$G$25),Inputs!$I$25,0))</f>
        <v>0</v>
      </c>
      <c r="Q57" s="2" t="n">
        <f aca="false">IF(A57=0,Inputs!$E$26,IF(AND(A57&gt;=Inputs!$F$26,A57&lt;=Inputs!$G$26),Inputs!$I$26,0))</f>
        <v>0</v>
      </c>
      <c r="R57" s="2" t="n">
        <f aca="false">IF(A57=0,Inputs!$E$27,IF(AND(A57&gt;=Inputs!$F$27,A57&lt;=Inputs!$G$27),Inputs!$I$27,0))</f>
        <v>0</v>
      </c>
      <c r="S57" s="2" t="n">
        <f aca="false">IF(A57=0,Inputs!$E$28,IF(AND(A57&gt;=Inputs!$F$28,A57&lt;=Inputs!$G$28),Inputs!$I$28,0))</f>
        <v>0</v>
      </c>
      <c r="T57" s="2" t="n">
        <f aca="false">IF(A57=0,Inputs!$E$29,IF(AND(A57&gt;=Inputs!$F$29,A57&lt;=Inputs!$G$29),Inputs!$I$29,0))</f>
        <v>0</v>
      </c>
      <c r="U57" s="2" t="n">
        <f aca="false">SUM(C57:T57)</f>
        <v>4171358.33333333</v>
      </c>
      <c r="V57" s="2" t="n">
        <f aca="false">V56+U57</f>
        <v>647643433.333334</v>
      </c>
      <c r="W57" s="4" t="n">
        <f aca="false">V57/Inputs!$B$4</f>
        <v>0.647643433333334</v>
      </c>
    </row>
    <row r="58" customFormat="false" ht="15" hidden="false" customHeight="false" outlineLevel="0" collapsed="false">
      <c r="A58" s="0" t="n">
        <v>53</v>
      </c>
      <c r="B58" s="3" t="n">
        <f aca="false">EDATE(Inputs!$B$5,A58)</f>
        <v>48034</v>
      </c>
      <c r="C58" s="2" t="n">
        <f aca="false">IF(A58=0,Inputs!$E$12,IF(AND(A58&gt;=Inputs!$F$12,A58&lt;=Inputs!$G$12),Inputs!$I$12,0))</f>
        <v>215237.395833333</v>
      </c>
      <c r="D58" s="2" t="n">
        <f aca="false">IF(A58=0,Inputs!$E$13,IF(AND(A58&gt;=Inputs!$F$13,A58&lt;=Inputs!$G$13),Inputs!$I$13,0))</f>
        <v>568942.8125</v>
      </c>
      <c r="E58" s="2" t="n">
        <f aca="false">IF(A58=0,Inputs!$E$14,IF(AND(A58&gt;=Inputs!$F$14,A58&lt;=Inputs!$G$14),Inputs!$I$14,0))</f>
        <v>341365.708333333</v>
      </c>
      <c r="F58" s="2" t="n">
        <f aca="false">IF(A58=0,Inputs!$E$15,IF(AND(A58&gt;=Inputs!$F$15,A58&lt;=Inputs!$G$15),Inputs!$I$15,0))</f>
        <v>227577.145833333</v>
      </c>
      <c r="G58" s="2" t="n">
        <f aca="false">IF(A58=0,Inputs!$E$16,IF(AND(A58&gt;=Inputs!$F$16,A58&lt;=Inputs!$G$16),Inputs!$I$16,0))</f>
        <v>227577.145833333</v>
      </c>
      <c r="H58" s="2" t="n">
        <f aca="false">IF(A58=0,Inputs!$E$17,IF(AND(A58&gt;=Inputs!$F$17,A58&lt;=Inputs!$G$17),Inputs!$I$17,0))</f>
        <v>227577.145833333</v>
      </c>
      <c r="I58" s="2" t="n">
        <f aca="false">IF(A58=0,Inputs!$E$18,IF(AND(A58&gt;=Inputs!$F$18,A58&lt;=Inputs!$G$18),Inputs!$I$18,0))</f>
        <v>227577.145833333</v>
      </c>
      <c r="J58" s="2" t="n">
        <f aca="false">IF(A58=0,Inputs!$E$19,IF(AND(A58&gt;=Inputs!$F$19,A58&lt;=Inputs!$G$19),Inputs!$I$19,0))</f>
        <v>47478.8333333333</v>
      </c>
      <c r="K58" s="2" t="n">
        <f aca="false">IF(A58=0,Inputs!$E$20,IF(AND(A58&gt;=Inputs!$F$20,A58&lt;=Inputs!$G$20),Inputs!$I$20,0))</f>
        <v>0</v>
      </c>
      <c r="L58" s="2" t="n">
        <f aca="false">IF(A58=0,Inputs!$E$21,IF(AND(A58&gt;=Inputs!$F$21,A58&lt;=Inputs!$G$21),Inputs!$I$21,0))</f>
        <v>0</v>
      </c>
      <c r="M58" s="2" t="n">
        <f aca="false">IF(A58=0,Inputs!$E$22,IF(AND(A58&gt;=Inputs!$F$22,A58&lt;=Inputs!$G$22),Inputs!$I$22,0))</f>
        <v>0</v>
      </c>
      <c r="N58" s="2" t="n">
        <f aca="false">IF(A58&lt;Inputs!$B$9,0,IF(A58&lt;=12,Inputs!$B$8,Inputs!$B$6*(1-Inputs!$B$7)^(INT((A58-13)/12)+1)/12))</f>
        <v>2088025</v>
      </c>
      <c r="O58" s="2" t="n">
        <f aca="false">IF(A58=0,Inputs!$E$24,IF(AND(A58&gt;=Inputs!$F$24,A58&lt;=Inputs!$G$24),Inputs!$I$24,0))</f>
        <v>0</v>
      </c>
      <c r="P58" s="2" t="n">
        <f aca="false">IF(A58=0,Inputs!$E$25,IF(AND(A58&gt;=Inputs!$F$25,A58&lt;=Inputs!$G$25),Inputs!$I$25,0))</f>
        <v>0</v>
      </c>
      <c r="Q58" s="2" t="n">
        <f aca="false">IF(A58=0,Inputs!$E$26,IF(AND(A58&gt;=Inputs!$F$26,A58&lt;=Inputs!$G$26),Inputs!$I$26,0))</f>
        <v>0</v>
      </c>
      <c r="R58" s="2" t="n">
        <f aca="false">IF(A58=0,Inputs!$E$27,IF(AND(A58&gt;=Inputs!$F$27,A58&lt;=Inputs!$G$27),Inputs!$I$27,0))</f>
        <v>0</v>
      </c>
      <c r="S58" s="2" t="n">
        <f aca="false">IF(A58=0,Inputs!$E$28,IF(AND(A58&gt;=Inputs!$F$28,A58&lt;=Inputs!$G$28),Inputs!$I$28,0))</f>
        <v>0</v>
      </c>
      <c r="T58" s="2" t="n">
        <f aca="false">IF(A58=0,Inputs!$E$29,IF(AND(A58&gt;=Inputs!$F$29,A58&lt;=Inputs!$G$29),Inputs!$I$29,0))</f>
        <v>0</v>
      </c>
      <c r="U58" s="2" t="n">
        <f aca="false">SUM(C58:T58)</f>
        <v>4171358.33333333</v>
      </c>
      <c r="V58" s="2" t="n">
        <f aca="false">V57+U58</f>
        <v>651814791.666668</v>
      </c>
      <c r="W58" s="4" t="n">
        <f aca="false">V58/Inputs!$B$4</f>
        <v>0.651814791666668</v>
      </c>
    </row>
    <row r="59" customFormat="false" ht="15" hidden="false" customHeight="false" outlineLevel="0" collapsed="false">
      <c r="A59" s="0" t="n">
        <v>54</v>
      </c>
      <c r="B59" s="3" t="n">
        <f aca="false">EDATE(Inputs!$B$5,A59)</f>
        <v>48065</v>
      </c>
      <c r="C59" s="2" t="n">
        <f aca="false">IF(A59=0,Inputs!$E$12,IF(AND(A59&gt;=Inputs!$F$12,A59&lt;=Inputs!$G$12),Inputs!$I$12,0))</f>
        <v>215237.395833333</v>
      </c>
      <c r="D59" s="2" t="n">
        <f aca="false">IF(A59=0,Inputs!$E$13,IF(AND(A59&gt;=Inputs!$F$13,A59&lt;=Inputs!$G$13),Inputs!$I$13,0))</f>
        <v>568942.8125</v>
      </c>
      <c r="E59" s="2" t="n">
        <f aca="false">IF(A59=0,Inputs!$E$14,IF(AND(A59&gt;=Inputs!$F$14,A59&lt;=Inputs!$G$14),Inputs!$I$14,0))</f>
        <v>341365.708333333</v>
      </c>
      <c r="F59" s="2" t="n">
        <f aca="false">IF(A59=0,Inputs!$E$15,IF(AND(A59&gt;=Inputs!$F$15,A59&lt;=Inputs!$G$15),Inputs!$I$15,0))</f>
        <v>227577.145833333</v>
      </c>
      <c r="G59" s="2" t="n">
        <f aca="false">IF(A59=0,Inputs!$E$16,IF(AND(A59&gt;=Inputs!$F$16,A59&lt;=Inputs!$G$16),Inputs!$I$16,0))</f>
        <v>227577.145833333</v>
      </c>
      <c r="H59" s="2" t="n">
        <f aca="false">IF(A59=0,Inputs!$E$17,IF(AND(A59&gt;=Inputs!$F$17,A59&lt;=Inputs!$G$17),Inputs!$I$17,0))</f>
        <v>227577.145833333</v>
      </c>
      <c r="I59" s="2" t="n">
        <f aca="false">IF(A59=0,Inputs!$E$18,IF(AND(A59&gt;=Inputs!$F$18,A59&lt;=Inputs!$G$18),Inputs!$I$18,0))</f>
        <v>227577.145833333</v>
      </c>
      <c r="J59" s="2" t="n">
        <f aca="false">IF(A59=0,Inputs!$E$19,IF(AND(A59&gt;=Inputs!$F$19,A59&lt;=Inputs!$G$19),Inputs!$I$19,0))</f>
        <v>47478.8333333333</v>
      </c>
      <c r="K59" s="2" t="n">
        <f aca="false">IF(A59=0,Inputs!$E$20,IF(AND(A59&gt;=Inputs!$F$20,A59&lt;=Inputs!$G$20),Inputs!$I$20,0))</f>
        <v>0</v>
      </c>
      <c r="L59" s="2" t="n">
        <f aca="false">IF(A59=0,Inputs!$E$21,IF(AND(A59&gt;=Inputs!$F$21,A59&lt;=Inputs!$G$21),Inputs!$I$21,0))</f>
        <v>0</v>
      </c>
      <c r="M59" s="2" t="n">
        <f aca="false">IF(A59=0,Inputs!$E$22,IF(AND(A59&gt;=Inputs!$F$22,A59&lt;=Inputs!$G$22),Inputs!$I$22,0))</f>
        <v>0</v>
      </c>
      <c r="N59" s="2" t="n">
        <f aca="false">IF(A59&lt;Inputs!$B$9,0,IF(A59&lt;=12,Inputs!$B$8,Inputs!$B$6*(1-Inputs!$B$7)^(INT((A59-13)/12)+1)/12))</f>
        <v>2088025</v>
      </c>
      <c r="O59" s="2" t="n">
        <f aca="false">IF(A59=0,Inputs!$E$24,IF(AND(A59&gt;=Inputs!$F$24,A59&lt;=Inputs!$G$24),Inputs!$I$24,0))</f>
        <v>0</v>
      </c>
      <c r="P59" s="2" t="n">
        <f aca="false">IF(A59=0,Inputs!$E$25,IF(AND(A59&gt;=Inputs!$F$25,A59&lt;=Inputs!$G$25),Inputs!$I$25,0))</f>
        <v>0</v>
      </c>
      <c r="Q59" s="2" t="n">
        <f aca="false">IF(A59=0,Inputs!$E$26,IF(AND(A59&gt;=Inputs!$F$26,A59&lt;=Inputs!$G$26),Inputs!$I$26,0))</f>
        <v>0</v>
      </c>
      <c r="R59" s="2" t="n">
        <f aca="false">IF(A59=0,Inputs!$E$27,IF(AND(A59&gt;=Inputs!$F$27,A59&lt;=Inputs!$G$27),Inputs!$I$27,0))</f>
        <v>0</v>
      </c>
      <c r="S59" s="2" t="n">
        <f aca="false">IF(A59=0,Inputs!$E$28,IF(AND(A59&gt;=Inputs!$F$28,A59&lt;=Inputs!$G$28),Inputs!$I$28,0))</f>
        <v>0</v>
      </c>
      <c r="T59" s="2" t="n">
        <f aca="false">IF(A59=0,Inputs!$E$29,IF(AND(A59&gt;=Inputs!$F$29,A59&lt;=Inputs!$G$29),Inputs!$I$29,0))</f>
        <v>0</v>
      </c>
      <c r="U59" s="2" t="n">
        <f aca="false">SUM(C59:T59)</f>
        <v>4171358.33333333</v>
      </c>
      <c r="V59" s="2" t="n">
        <f aca="false">V58+U59</f>
        <v>655986150.000001</v>
      </c>
      <c r="W59" s="4" t="n">
        <f aca="false">V59/Inputs!$B$4</f>
        <v>0.655986150000001</v>
      </c>
    </row>
    <row r="60" customFormat="false" ht="15" hidden="false" customHeight="false" outlineLevel="0" collapsed="false">
      <c r="A60" s="0" t="n">
        <v>55</v>
      </c>
      <c r="B60" s="3" t="n">
        <f aca="false">EDATE(Inputs!$B$5,A60)</f>
        <v>48096</v>
      </c>
      <c r="C60" s="2" t="n">
        <f aca="false">IF(A60=0,Inputs!$E$12,IF(AND(A60&gt;=Inputs!$F$12,A60&lt;=Inputs!$G$12),Inputs!$I$12,0))</f>
        <v>215237.395833333</v>
      </c>
      <c r="D60" s="2" t="n">
        <f aca="false">IF(A60=0,Inputs!$E$13,IF(AND(A60&gt;=Inputs!$F$13,A60&lt;=Inputs!$G$13),Inputs!$I$13,0))</f>
        <v>568942.8125</v>
      </c>
      <c r="E60" s="2" t="n">
        <f aca="false">IF(A60=0,Inputs!$E$14,IF(AND(A60&gt;=Inputs!$F$14,A60&lt;=Inputs!$G$14),Inputs!$I$14,0))</f>
        <v>341365.708333333</v>
      </c>
      <c r="F60" s="2" t="n">
        <f aca="false">IF(A60=0,Inputs!$E$15,IF(AND(A60&gt;=Inputs!$F$15,A60&lt;=Inputs!$G$15),Inputs!$I$15,0))</f>
        <v>227577.145833333</v>
      </c>
      <c r="G60" s="2" t="n">
        <f aca="false">IF(A60=0,Inputs!$E$16,IF(AND(A60&gt;=Inputs!$F$16,A60&lt;=Inputs!$G$16),Inputs!$I$16,0))</f>
        <v>227577.145833333</v>
      </c>
      <c r="H60" s="2" t="n">
        <f aca="false">IF(A60=0,Inputs!$E$17,IF(AND(A60&gt;=Inputs!$F$17,A60&lt;=Inputs!$G$17),Inputs!$I$17,0))</f>
        <v>227577.145833333</v>
      </c>
      <c r="I60" s="2" t="n">
        <f aca="false">IF(A60=0,Inputs!$E$18,IF(AND(A60&gt;=Inputs!$F$18,A60&lt;=Inputs!$G$18),Inputs!$I$18,0))</f>
        <v>227577.145833333</v>
      </c>
      <c r="J60" s="2" t="n">
        <f aca="false">IF(A60=0,Inputs!$E$19,IF(AND(A60&gt;=Inputs!$F$19,A60&lt;=Inputs!$G$19),Inputs!$I$19,0))</f>
        <v>47478.8333333333</v>
      </c>
      <c r="K60" s="2" t="n">
        <f aca="false">IF(A60=0,Inputs!$E$20,IF(AND(A60&gt;=Inputs!$F$20,A60&lt;=Inputs!$G$20),Inputs!$I$20,0))</f>
        <v>0</v>
      </c>
      <c r="L60" s="2" t="n">
        <f aca="false">IF(A60=0,Inputs!$E$21,IF(AND(A60&gt;=Inputs!$F$21,A60&lt;=Inputs!$G$21),Inputs!$I$21,0))</f>
        <v>0</v>
      </c>
      <c r="M60" s="2" t="n">
        <f aca="false">IF(A60=0,Inputs!$E$22,IF(AND(A60&gt;=Inputs!$F$22,A60&lt;=Inputs!$G$22),Inputs!$I$22,0))</f>
        <v>0</v>
      </c>
      <c r="N60" s="2" t="n">
        <f aca="false">IF(A60&lt;Inputs!$B$9,0,IF(A60&lt;=12,Inputs!$B$8,Inputs!$B$6*(1-Inputs!$B$7)^(INT((A60-13)/12)+1)/12))</f>
        <v>2088025</v>
      </c>
      <c r="O60" s="2" t="n">
        <f aca="false">IF(A60=0,Inputs!$E$24,IF(AND(A60&gt;=Inputs!$F$24,A60&lt;=Inputs!$G$24),Inputs!$I$24,0))</f>
        <v>0</v>
      </c>
      <c r="P60" s="2" t="n">
        <f aca="false">IF(A60=0,Inputs!$E$25,IF(AND(A60&gt;=Inputs!$F$25,A60&lt;=Inputs!$G$25),Inputs!$I$25,0))</f>
        <v>0</v>
      </c>
      <c r="Q60" s="2" t="n">
        <f aca="false">IF(A60=0,Inputs!$E$26,IF(AND(A60&gt;=Inputs!$F$26,A60&lt;=Inputs!$G$26),Inputs!$I$26,0))</f>
        <v>0</v>
      </c>
      <c r="R60" s="2" t="n">
        <f aca="false">IF(A60=0,Inputs!$E$27,IF(AND(A60&gt;=Inputs!$F$27,A60&lt;=Inputs!$G$27),Inputs!$I$27,0))</f>
        <v>0</v>
      </c>
      <c r="S60" s="2" t="n">
        <f aca="false">IF(A60=0,Inputs!$E$28,IF(AND(A60&gt;=Inputs!$F$28,A60&lt;=Inputs!$G$28),Inputs!$I$28,0))</f>
        <v>0</v>
      </c>
      <c r="T60" s="2" t="n">
        <f aca="false">IF(A60=0,Inputs!$E$29,IF(AND(A60&gt;=Inputs!$F$29,A60&lt;=Inputs!$G$29),Inputs!$I$29,0))</f>
        <v>0</v>
      </c>
      <c r="U60" s="2" t="n">
        <f aca="false">SUM(C60:T60)</f>
        <v>4171358.33333333</v>
      </c>
      <c r="V60" s="2" t="n">
        <f aca="false">V59+U60</f>
        <v>660157508.333334</v>
      </c>
      <c r="W60" s="4" t="n">
        <f aca="false">V60/Inputs!$B$4</f>
        <v>0.660157508333334</v>
      </c>
    </row>
    <row r="61" customFormat="false" ht="15" hidden="false" customHeight="false" outlineLevel="0" collapsed="false">
      <c r="A61" s="0" t="n">
        <v>56</v>
      </c>
      <c r="B61" s="3" t="n">
        <f aca="false">EDATE(Inputs!$B$5,A61)</f>
        <v>48126</v>
      </c>
      <c r="C61" s="2" t="n">
        <f aca="false">IF(A61=0,Inputs!$E$12,IF(AND(A61&gt;=Inputs!$F$12,A61&lt;=Inputs!$G$12),Inputs!$I$12,0))</f>
        <v>215237.395833333</v>
      </c>
      <c r="D61" s="2" t="n">
        <f aca="false">IF(A61=0,Inputs!$E$13,IF(AND(A61&gt;=Inputs!$F$13,A61&lt;=Inputs!$G$13),Inputs!$I$13,0))</f>
        <v>568942.8125</v>
      </c>
      <c r="E61" s="2" t="n">
        <f aca="false">IF(A61=0,Inputs!$E$14,IF(AND(A61&gt;=Inputs!$F$14,A61&lt;=Inputs!$G$14),Inputs!$I$14,0))</f>
        <v>341365.708333333</v>
      </c>
      <c r="F61" s="2" t="n">
        <f aca="false">IF(A61=0,Inputs!$E$15,IF(AND(A61&gt;=Inputs!$F$15,A61&lt;=Inputs!$G$15),Inputs!$I$15,0))</f>
        <v>227577.145833333</v>
      </c>
      <c r="G61" s="2" t="n">
        <f aca="false">IF(A61=0,Inputs!$E$16,IF(AND(A61&gt;=Inputs!$F$16,A61&lt;=Inputs!$G$16),Inputs!$I$16,0))</f>
        <v>227577.145833333</v>
      </c>
      <c r="H61" s="2" t="n">
        <f aca="false">IF(A61=0,Inputs!$E$17,IF(AND(A61&gt;=Inputs!$F$17,A61&lt;=Inputs!$G$17),Inputs!$I$17,0))</f>
        <v>227577.145833333</v>
      </c>
      <c r="I61" s="2" t="n">
        <f aca="false">IF(A61=0,Inputs!$E$18,IF(AND(A61&gt;=Inputs!$F$18,A61&lt;=Inputs!$G$18),Inputs!$I$18,0))</f>
        <v>227577.145833333</v>
      </c>
      <c r="J61" s="2" t="n">
        <f aca="false">IF(A61=0,Inputs!$E$19,IF(AND(A61&gt;=Inputs!$F$19,A61&lt;=Inputs!$G$19),Inputs!$I$19,0))</f>
        <v>47478.8333333333</v>
      </c>
      <c r="K61" s="2" t="n">
        <f aca="false">IF(A61=0,Inputs!$E$20,IF(AND(A61&gt;=Inputs!$F$20,A61&lt;=Inputs!$G$20),Inputs!$I$20,0))</f>
        <v>0</v>
      </c>
      <c r="L61" s="2" t="n">
        <f aca="false">IF(A61=0,Inputs!$E$21,IF(AND(A61&gt;=Inputs!$F$21,A61&lt;=Inputs!$G$21),Inputs!$I$21,0))</f>
        <v>0</v>
      </c>
      <c r="M61" s="2" t="n">
        <f aca="false">IF(A61=0,Inputs!$E$22,IF(AND(A61&gt;=Inputs!$F$22,A61&lt;=Inputs!$G$22),Inputs!$I$22,0))</f>
        <v>0</v>
      </c>
      <c r="N61" s="2" t="n">
        <f aca="false">IF(A61&lt;Inputs!$B$9,0,IF(A61&lt;=12,Inputs!$B$8,Inputs!$B$6*(1-Inputs!$B$7)^(INT((A61-13)/12)+1)/12))</f>
        <v>2088025</v>
      </c>
      <c r="O61" s="2" t="n">
        <f aca="false">IF(A61=0,Inputs!$E$24,IF(AND(A61&gt;=Inputs!$F$24,A61&lt;=Inputs!$G$24),Inputs!$I$24,0))</f>
        <v>0</v>
      </c>
      <c r="P61" s="2" t="n">
        <f aca="false">IF(A61=0,Inputs!$E$25,IF(AND(A61&gt;=Inputs!$F$25,A61&lt;=Inputs!$G$25),Inputs!$I$25,0))</f>
        <v>0</v>
      </c>
      <c r="Q61" s="2" t="n">
        <f aca="false">IF(A61=0,Inputs!$E$26,IF(AND(A61&gt;=Inputs!$F$26,A61&lt;=Inputs!$G$26),Inputs!$I$26,0))</f>
        <v>0</v>
      </c>
      <c r="R61" s="2" t="n">
        <f aca="false">IF(A61=0,Inputs!$E$27,IF(AND(A61&gt;=Inputs!$F$27,A61&lt;=Inputs!$G$27),Inputs!$I$27,0))</f>
        <v>0</v>
      </c>
      <c r="S61" s="2" t="n">
        <f aca="false">IF(A61=0,Inputs!$E$28,IF(AND(A61&gt;=Inputs!$F$28,A61&lt;=Inputs!$G$28),Inputs!$I$28,0))</f>
        <v>0</v>
      </c>
      <c r="T61" s="2" t="n">
        <f aca="false">IF(A61=0,Inputs!$E$29,IF(AND(A61&gt;=Inputs!$F$29,A61&lt;=Inputs!$G$29),Inputs!$I$29,0))</f>
        <v>0</v>
      </c>
      <c r="U61" s="2" t="n">
        <f aca="false">SUM(C61:T61)</f>
        <v>4171358.33333333</v>
      </c>
      <c r="V61" s="2" t="n">
        <f aca="false">V60+U61</f>
        <v>664328866.666668</v>
      </c>
      <c r="W61" s="4" t="n">
        <f aca="false">V61/Inputs!$B$4</f>
        <v>0.664328866666668</v>
      </c>
    </row>
    <row r="62" customFormat="false" ht="15" hidden="false" customHeight="false" outlineLevel="0" collapsed="false">
      <c r="A62" s="0" t="n">
        <v>57</v>
      </c>
      <c r="B62" s="3" t="n">
        <f aca="false">EDATE(Inputs!$B$5,A62)</f>
        <v>48157</v>
      </c>
      <c r="C62" s="2" t="n">
        <f aca="false">IF(A62=0,Inputs!$E$12,IF(AND(A62&gt;=Inputs!$F$12,A62&lt;=Inputs!$G$12),Inputs!$I$12,0))</f>
        <v>215237.395833333</v>
      </c>
      <c r="D62" s="2" t="n">
        <f aca="false">IF(A62=0,Inputs!$E$13,IF(AND(A62&gt;=Inputs!$F$13,A62&lt;=Inputs!$G$13),Inputs!$I$13,0))</f>
        <v>568942.8125</v>
      </c>
      <c r="E62" s="2" t="n">
        <f aca="false">IF(A62=0,Inputs!$E$14,IF(AND(A62&gt;=Inputs!$F$14,A62&lt;=Inputs!$G$14),Inputs!$I$14,0))</f>
        <v>341365.708333333</v>
      </c>
      <c r="F62" s="2" t="n">
        <f aca="false">IF(A62=0,Inputs!$E$15,IF(AND(A62&gt;=Inputs!$F$15,A62&lt;=Inputs!$G$15),Inputs!$I$15,0))</f>
        <v>227577.145833333</v>
      </c>
      <c r="G62" s="2" t="n">
        <f aca="false">IF(A62=0,Inputs!$E$16,IF(AND(A62&gt;=Inputs!$F$16,A62&lt;=Inputs!$G$16),Inputs!$I$16,0))</f>
        <v>227577.145833333</v>
      </c>
      <c r="H62" s="2" t="n">
        <f aca="false">IF(A62=0,Inputs!$E$17,IF(AND(A62&gt;=Inputs!$F$17,A62&lt;=Inputs!$G$17),Inputs!$I$17,0))</f>
        <v>227577.145833333</v>
      </c>
      <c r="I62" s="2" t="n">
        <f aca="false">IF(A62=0,Inputs!$E$18,IF(AND(A62&gt;=Inputs!$F$18,A62&lt;=Inputs!$G$18),Inputs!$I$18,0))</f>
        <v>227577.145833333</v>
      </c>
      <c r="J62" s="2" t="n">
        <f aca="false">IF(A62=0,Inputs!$E$19,IF(AND(A62&gt;=Inputs!$F$19,A62&lt;=Inputs!$G$19),Inputs!$I$19,0))</f>
        <v>47478.8333333333</v>
      </c>
      <c r="K62" s="2" t="n">
        <f aca="false">IF(A62=0,Inputs!$E$20,IF(AND(A62&gt;=Inputs!$F$20,A62&lt;=Inputs!$G$20),Inputs!$I$20,0))</f>
        <v>0</v>
      </c>
      <c r="L62" s="2" t="n">
        <f aca="false">IF(A62=0,Inputs!$E$21,IF(AND(A62&gt;=Inputs!$F$21,A62&lt;=Inputs!$G$21),Inputs!$I$21,0))</f>
        <v>0</v>
      </c>
      <c r="M62" s="2" t="n">
        <f aca="false">IF(A62=0,Inputs!$E$22,IF(AND(A62&gt;=Inputs!$F$22,A62&lt;=Inputs!$G$22),Inputs!$I$22,0))</f>
        <v>0</v>
      </c>
      <c r="N62" s="2" t="n">
        <f aca="false">IF(A62&lt;Inputs!$B$9,0,IF(A62&lt;=12,Inputs!$B$8,Inputs!$B$6*(1-Inputs!$B$7)^(INT((A62-13)/12)+1)/12))</f>
        <v>2088025</v>
      </c>
      <c r="O62" s="2" t="n">
        <f aca="false">IF(A62=0,Inputs!$E$24,IF(AND(A62&gt;=Inputs!$F$24,A62&lt;=Inputs!$G$24),Inputs!$I$24,0))</f>
        <v>0</v>
      </c>
      <c r="P62" s="2" t="n">
        <f aca="false">IF(A62=0,Inputs!$E$25,IF(AND(A62&gt;=Inputs!$F$25,A62&lt;=Inputs!$G$25),Inputs!$I$25,0))</f>
        <v>0</v>
      </c>
      <c r="Q62" s="2" t="n">
        <f aca="false">IF(A62=0,Inputs!$E$26,IF(AND(A62&gt;=Inputs!$F$26,A62&lt;=Inputs!$G$26),Inputs!$I$26,0))</f>
        <v>0</v>
      </c>
      <c r="R62" s="2" t="n">
        <f aca="false">IF(A62=0,Inputs!$E$27,IF(AND(A62&gt;=Inputs!$F$27,A62&lt;=Inputs!$G$27),Inputs!$I$27,0))</f>
        <v>0</v>
      </c>
      <c r="S62" s="2" t="n">
        <f aca="false">IF(A62=0,Inputs!$E$28,IF(AND(A62&gt;=Inputs!$F$28,A62&lt;=Inputs!$G$28),Inputs!$I$28,0))</f>
        <v>0</v>
      </c>
      <c r="T62" s="2" t="n">
        <f aca="false">IF(A62=0,Inputs!$E$29,IF(AND(A62&gt;=Inputs!$F$29,A62&lt;=Inputs!$G$29),Inputs!$I$29,0))</f>
        <v>0</v>
      </c>
      <c r="U62" s="2" t="n">
        <f aca="false">SUM(C62:T62)</f>
        <v>4171358.33333333</v>
      </c>
      <c r="V62" s="2" t="n">
        <f aca="false">V61+U62</f>
        <v>668500225.000001</v>
      </c>
      <c r="W62" s="4" t="n">
        <f aca="false">V62/Inputs!$B$4</f>
        <v>0.668500225000001</v>
      </c>
    </row>
    <row r="63" customFormat="false" ht="15" hidden="false" customHeight="false" outlineLevel="0" collapsed="false">
      <c r="A63" s="0" t="n">
        <v>58</v>
      </c>
      <c r="B63" s="3" t="n">
        <f aca="false">EDATE(Inputs!$B$5,A63)</f>
        <v>48187</v>
      </c>
      <c r="C63" s="2" t="n">
        <f aca="false">IF(A63=0,Inputs!$E$12,IF(AND(A63&gt;=Inputs!$F$12,A63&lt;=Inputs!$G$12),Inputs!$I$12,0))</f>
        <v>215237.395833333</v>
      </c>
      <c r="D63" s="2" t="n">
        <f aca="false">IF(A63=0,Inputs!$E$13,IF(AND(A63&gt;=Inputs!$F$13,A63&lt;=Inputs!$G$13),Inputs!$I$13,0))</f>
        <v>568942.8125</v>
      </c>
      <c r="E63" s="2" t="n">
        <f aca="false">IF(A63=0,Inputs!$E$14,IF(AND(A63&gt;=Inputs!$F$14,A63&lt;=Inputs!$G$14),Inputs!$I$14,0))</f>
        <v>341365.708333333</v>
      </c>
      <c r="F63" s="2" t="n">
        <f aca="false">IF(A63=0,Inputs!$E$15,IF(AND(A63&gt;=Inputs!$F$15,A63&lt;=Inputs!$G$15),Inputs!$I$15,0))</f>
        <v>227577.145833333</v>
      </c>
      <c r="G63" s="2" t="n">
        <f aca="false">IF(A63=0,Inputs!$E$16,IF(AND(A63&gt;=Inputs!$F$16,A63&lt;=Inputs!$G$16),Inputs!$I$16,0))</f>
        <v>227577.145833333</v>
      </c>
      <c r="H63" s="2" t="n">
        <f aca="false">IF(A63=0,Inputs!$E$17,IF(AND(A63&gt;=Inputs!$F$17,A63&lt;=Inputs!$G$17),Inputs!$I$17,0))</f>
        <v>227577.145833333</v>
      </c>
      <c r="I63" s="2" t="n">
        <f aca="false">IF(A63=0,Inputs!$E$18,IF(AND(A63&gt;=Inputs!$F$18,A63&lt;=Inputs!$G$18),Inputs!$I$18,0))</f>
        <v>227577.145833333</v>
      </c>
      <c r="J63" s="2" t="n">
        <f aca="false">IF(A63=0,Inputs!$E$19,IF(AND(A63&gt;=Inputs!$F$19,A63&lt;=Inputs!$G$19),Inputs!$I$19,0))</f>
        <v>47478.8333333333</v>
      </c>
      <c r="K63" s="2" t="n">
        <f aca="false">IF(A63=0,Inputs!$E$20,IF(AND(A63&gt;=Inputs!$F$20,A63&lt;=Inputs!$G$20),Inputs!$I$20,0))</f>
        <v>0</v>
      </c>
      <c r="L63" s="2" t="n">
        <f aca="false">IF(A63=0,Inputs!$E$21,IF(AND(A63&gt;=Inputs!$F$21,A63&lt;=Inputs!$G$21),Inputs!$I$21,0))</f>
        <v>0</v>
      </c>
      <c r="M63" s="2" t="n">
        <f aca="false">IF(A63=0,Inputs!$E$22,IF(AND(A63&gt;=Inputs!$F$22,A63&lt;=Inputs!$G$22),Inputs!$I$22,0))</f>
        <v>0</v>
      </c>
      <c r="N63" s="2" t="n">
        <f aca="false">IF(A63&lt;Inputs!$B$9,0,IF(A63&lt;=12,Inputs!$B$8,Inputs!$B$6*(1-Inputs!$B$7)^(INT((A63-13)/12)+1)/12))</f>
        <v>2088025</v>
      </c>
      <c r="O63" s="2" t="n">
        <f aca="false">IF(A63=0,Inputs!$E$24,IF(AND(A63&gt;=Inputs!$F$24,A63&lt;=Inputs!$G$24),Inputs!$I$24,0))</f>
        <v>0</v>
      </c>
      <c r="P63" s="2" t="n">
        <f aca="false">IF(A63=0,Inputs!$E$25,IF(AND(A63&gt;=Inputs!$F$25,A63&lt;=Inputs!$G$25),Inputs!$I$25,0))</f>
        <v>0</v>
      </c>
      <c r="Q63" s="2" t="n">
        <f aca="false">IF(A63=0,Inputs!$E$26,IF(AND(A63&gt;=Inputs!$F$26,A63&lt;=Inputs!$G$26),Inputs!$I$26,0))</f>
        <v>0</v>
      </c>
      <c r="R63" s="2" t="n">
        <f aca="false">IF(A63=0,Inputs!$E$27,IF(AND(A63&gt;=Inputs!$F$27,A63&lt;=Inputs!$G$27),Inputs!$I$27,0))</f>
        <v>0</v>
      </c>
      <c r="S63" s="2" t="n">
        <f aca="false">IF(A63=0,Inputs!$E$28,IF(AND(A63&gt;=Inputs!$F$28,A63&lt;=Inputs!$G$28),Inputs!$I$28,0))</f>
        <v>0</v>
      </c>
      <c r="T63" s="2" t="n">
        <f aca="false">IF(A63=0,Inputs!$E$29,IF(AND(A63&gt;=Inputs!$F$29,A63&lt;=Inputs!$G$29),Inputs!$I$29,0))</f>
        <v>0</v>
      </c>
      <c r="U63" s="2" t="n">
        <f aca="false">SUM(C63:T63)</f>
        <v>4171358.33333333</v>
      </c>
      <c r="V63" s="2" t="n">
        <f aca="false">V62+U63</f>
        <v>672671583.333334</v>
      </c>
      <c r="W63" s="4" t="n">
        <f aca="false">V63/Inputs!$B$4</f>
        <v>0.672671583333334</v>
      </c>
    </row>
    <row r="64" customFormat="false" ht="15" hidden="false" customHeight="false" outlineLevel="0" collapsed="false">
      <c r="A64" s="0" t="n">
        <v>59</v>
      </c>
      <c r="B64" s="3" t="n">
        <f aca="false">EDATE(Inputs!$B$5,A64)</f>
        <v>48218</v>
      </c>
      <c r="C64" s="2" t="n">
        <f aca="false">IF(A64=0,Inputs!$E$12,IF(AND(A64&gt;=Inputs!$F$12,A64&lt;=Inputs!$G$12),Inputs!$I$12,0))</f>
        <v>215237.395833333</v>
      </c>
      <c r="D64" s="2" t="n">
        <f aca="false">IF(A64=0,Inputs!$E$13,IF(AND(A64&gt;=Inputs!$F$13,A64&lt;=Inputs!$G$13),Inputs!$I$13,0))</f>
        <v>568942.8125</v>
      </c>
      <c r="E64" s="2" t="n">
        <f aca="false">IF(A64=0,Inputs!$E$14,IF(AND(A64&gt;=Inputs!$F$14,A64&lt;=Inputs!$G$14),Inputs!$I$14,0))</f>
        <v>341365.708333333</v>
      </c>
      <c r="F64" s="2" t="n">
        <f aca="false">IF(A64=0,Inputs!$E$15,IF(AND(A64&gt;=Inputs!$F$15,A64&lt;=Inputs!$G$15),Inputs!$I$15,0))</f>
        <v>227577.145833333</v>
      </c>
      <c r="G64" s="2" t="n">
        <f aca="false">IF(A64=0,Inputs!$E$16,IF(AND(A64&gt;=Inputs!$F$16,A64&lt;=Inputs!$G$16),Inputs!$I$16,0))</f>
        <v>227577.145833333</v>
      </c>
      <c r="H64" s="2" t="n">
        <f aca="false">IF(A64=0,Inputs!$E$17,IF(AND(A64&gt;=Inputs!$F$17,A64&lt;=Inputs!$G$17),Inputs!$I$17,0))</f>
        <v>227577.145833333</v>
      </c>
      <c r="I64" s="2" t="n">
        <f aca="false">IF(A64=0,Inputs!$E$18,IF(AND(A64&gt;=Inputs!$F$18,A64&lt;=Inputs!$G$18),Inputs!$I$18,0))</f>
        <v>227577.145833333</v>
      </c>
      <c r="J64" s="2" t="n">
        <f aca="false">IF(A64=0,Inputs!$E$19,IF(AND(A64&gt;=Inputs!$F$19,A64&lt;=Inputs!$G$19),Inputs!$I$19,0))</f>
        <v>47478.8333333333</v>
      </c>
      <c r="K64" s="2" t="n">
        <f aca="false">IF(A64=0,Inputs!$E$20,IF(AND(A64&gt;=Inputs!$F$20,A64&lt;=Inputs!$G$20),Inputs!$I$20,0))</f>
        <v>0</v>
      </c>
      <c r="L64" s="2" t="n">
        <f aca="false">IF(A64=0,Inputs!$E$21,IF(AND(A64&gt;=Inputs!$F$21,A64&lt;=Inputs!$G$21),Inputs!$I$21,0))</f>
        <v>0</v>
      </c>
      <c r="M64" s="2" t="n">
        <f aca="false">IF(A64=0,Inputs!$E$22,IF(AND(A64&gt;=Inputs!$F$22,A64&lt;=Inputs!$G$22),Inputs!$I$22,0))</f>
        <v>0</v>
      </c>
      <c r="N64" s="2" t="n">
        <f aca="false">IF(A64&lt;Inputs!$B$9,0,IF(A64&lt;=12,Inputs!$B$8,Inputs!$B$6*(1-Inputs!$B$7)^(INT((A64-13)/12)+1)/12))</f>
        <v>2088025</v>
      </c>
      <c r="O64" s="2" t="n">
        <f aca="false">IF(A64=0,Inputs!$E$24,IF(AND(A64&gt;=Inputs!$F$24,A64&lt;=Inputs!$G$24),Inputs!$I$24,0))</f>
        <v>0</v>
      </c>
      <c r="P64" s="2" t="n">
        <f aca="false">IF(A64=0,Inputs!$E$25,IF(AND(A64&gt;=Inputs!$F$25,A64&lt;=Inputs!$G$25),Inputs!$I$25,0))</f>
        <v>0</v>
      </c>
      <c r="Q64" s="2" t="n">
        <f aca="false">IF(A64=0,Inputs!$E$26,IF(AND(A64&gt;=Inputs!$F$26,A64&lt;=Inputs!$G$26),Inputs!$I$26,0))</f>
        <v>0</v>
      </c>
      <c r="R64" s="2" t="n">
        <f aca="false">IF(A64=0,Inputs!$E$27,IF(AND(A64&gt;=Inputs!$F$27,A64&lt;=Inputs!$G$27),Inputs!$I$27,0))</f>
        <v>0</v>
      </c>
      <c r="S64" s="2" t="n">
        <f aca="false">IF(A64=0,Inputs!$E$28,IF(AND(A64&gt;=Inputs!$F$28,A64&lt;=Inputs!$G$28),Inputs!$I$28,0))</f>
        <v>0</v>
      </c>
      <c r="T64" s="2" t="n">
        <f aca="false">IF(A64=0,Inputs!$E$29,IF(AND(A64&gt;=Inputs!$F$29,A64&lt;=Inputs!$G$29),Inputs!$I$29,0))</f>
        <v>0</v>
      </c>
      <c r="U64" s="2" t="n">
        <f aca="false">SUM(C64:T64)</f>
        <v>4171358.33333333</v>
      </c>
      <c r="V64" s="2" t="n">
        <f aca="false">V63+U64</f>
        <v>676842941.666668</v>
      </c>
      <c r="W64" s="4" t="n">
        <f aca="false">V64/Inputs!$B$4</f>
        <v>0.676842941666668</v>
      </c>
    </row>
    <row r="65" customFormat="false" ht="15" hidden="false" customHeight="false" outlineLevel="0" collapsed="false">
      <c r="A65" s="0" t="n">
        <v>60</v>
      </c>
      <c r="B65" s="3" t="n">
        <f aca="false">EDATE(Inputs!$B$5,A65)</f>
        <v>48249</v>
      </c>
      <c r="C65" s="2" t="n">
        <f aca="false">IF(A65=0,Inputs!$E$12,IF(AND(A65&gt;=Inputs!$F$12,A65&lt;=Inputs!$G$12),Inputs!$I$12,0))</f>
        <v>215237.395833333</v>
      </c>
      <c r="D65" s="2" t="n">
        <f aca="false">IF(A65=0,Inputs!$E$13,IF(AND(A65&gt;=Inputs!$F$13,A65&lt;=Inputs!$G$13),Inputs!$I$13,0))</f>
        <v>568942.8125</v>
      </c>
      <c r="E65" s="2" t="n">
        <f aca="false">IF(A65=0,Inputs!$E$14,IF(AND(A65&gt;=Inputs!$F$14,A65&lt;=Inputs!$G$14),Inputs!$I$14,0))</f>
        <v>341365.708333333</v>
      </c>
      <c r="F65" s="2" t="n">
        <f aca="false">IF(A65=0,Inputs!$E$15,IF(AND(A65&gt;=Inputs!$F$15,A65&lt;=Inputs!$G$15),Inputs!$I$15,0))</f>
        <v>227577.145833333</v>
      </c>
      <c r="G65" s="2" t="n">
        <f aca="false">IF(A65=0,Inputs!$E$16,IF(AND(A65&gt;=Inputs!$F$16,A65&lt;=Inputs!$G$16),Inputs!$I$16,0))</f>
        <v>227577.145833333</v>
      </c>
      <c r="H65" s="2" t="n">
        <f aca="false">IF(A65=0,Inputs!$E$17,IF(AND(A65&gt;=Inputs!$F$17,A65&lt;=Inputs!$G$17),Inputs!$I$17,0))</f>
        <v>227577.145833333</v>
      </c>
      <c r="I65" s="2" t="n">
        <f aca="false">IF(A65=0,Inputs!$E$18,IF(AND(A65&gt;=Inputs!$F$18,A65&lt;=Inputs!$G$18),Inputs!$I$18,0))</f>
        <v>227577.145833333</v>
      </c>
      <c r="J65" s="2" t="n">
        <f aca="false">IF(A65=0,Inputs!$E$19,IF(AND(A65&gt;=Inputs!$F$19,A65&lt;=Inputs!$G$19),Inputs!$I$19,0))</f>
        <v>47478.8333333333</v>
      </c>
      <c r="K65" s="2" t="n">
        <f aca="false">IF(A65=0,Inputs!$E$20,IF(AND(A65&gt;=Inputs!$F$20,A65&lt;=Inputs!$G$20),Inputs!$I$20,0))</f>
        <v>0</v>
      </c>
      <c r="L65" s="2" t="n">
        <f aca="false">IF(A65=0,Inputs!$E$21,IF(AND(A65&gt;=Inputs!$F$21,A65&lt;=Inputs!$G$21),Inputs!$I$21,0))</f>
        <v>0</v>
      </c>
      <c r="M65" s="2" t="n">
        <f aca="false">IF(A65=0,Inputs!$E$22,IF(AND(A65&gt;=Inputs!$F$22,A65&lt;=Inputs!$G$22),Inputs!$I$22,0))</f>
        <v>0</v>
      </c>
      <c r="N65" s="2" t="n">
        <f aca="false">IF(A65&lt;Inputs!$B$9,0,IF(A65&lt;=12,Inputs!$B$8,Inputs!$B$6*(1-Inputs!$B$7)^(INT((A65-13)/12)+1)/12))</f>
        <v>2088025</v>
      </c>
      <c r="O65" s="2" t="n">
        <f aca="false">IF(A65=0,Inputs!$E$24,IF(AND(A65&gt;=Inputs!$F$24,A65&lt;=Inputs!$G$24),Inputs!$I$24,0))</f>
        <v>0</v>
      </c>
      <c r="P65" s="2" t="n">
        <f aca="false">IF(A65=0,Inputs!$E$25,IF(AND(A65&gt;=Inputs!$F$25,A65&lt;=Inputs!$G$25),Inputs!$I$25,0))</f>
        <v>0</v>
      </c>
      <c r="Q65" s="2" t="n">
        <f aca="false">IF(A65=0,Inputs!$E$26,IF(AND(A65&gt;=Inputs!$F$26,A65&lt;=Inputs!$G$26),Inputs!$I$26,0))</f>
        <v>0</v>
      </c>
      <c r="R65" s="2" t="n">
        <f aca="false">IF(A65=0,Inputs!$E$27,IF(AND(A65&gt;=Inputs!$F$27,A65&lt;=Inputs!$G$27),Inputs!$I$27,0))</f>
        <v>0</v>
      </c>
      <c r="S65" s="2" t="n">
        <f aca="false">IF(A65=0,Inputs!$E$28,IF(AND(A65&gt;=Inputs!$F$28,A65&lt;=Inputs!$G$28),Inputs!$I$28,0))</f>
        <v>0</v>
      </c>
      <c r="T65" s="2" t="n">
        <f aca="false">IF(A65=0,Inputs!$E$29,IF(AND(A65&gt;=Inputs!$F$29,A65&lt;=Inputs!$G$29),Inputs!$I$29,0))</f>
        <v>0</v>
      </c>
      <c r="U65" s="2" t="n">
        <f aca="false">SUM(C65:T65)</f>
        <v>4171358.33333333</v>
      </c>
      <c r="V65" s="2" t="n">
        <f aca="false">V64+U65</f>
        <v>681014300.000001</v>
      </c>
      <c r="W65" s="4" t="n">
        <f aca="false">V65/Inputs!$B$4</f>
        <v>0.681014300000001</v>
      </c>
    </row>
    <row r="66" customFormat="false" ht="15" hidden="false" customHeight="false" outlineLevel="0" collapsed="false">
      <c r="A66" s="0" t="n">
        <v>61</v>
      </c>
      <c r="B66" s="3" t="n">
        <f aca="false">EDATE(Inputs!$B$5,A66)</f>
        <v>48278</v>
      </c>
      <c r="C66" s="2" t="n">
        <f aca="false">IF(A66=0,Inputs!$E$12,IF(AND(A66&gt;=Inputs!$F$12,A66&lt;=Inputs!$G$12),Inputs!$I$12,0))</f>
        <v>0</v>
      </c>
      <c r="D66" s="2" t="n">
        <f aca="false">IF(A66=0,Inputs!$E$13,IF(AND(A66&gt;=Inputs!$F$13,A66&lt;=Inputs!$G$13),Inputs!$I$13,0))</f>
        <v>0</v>
      </c>
      <c r="E66" s="2" t="n">
        <f aca="false">IF(A66=0,Inputs!$E$14,IF(AND(A66&gt;=Inputs!$F$14,A66&lt;=Inputs!$G$14),Inputs!$I$14,0))</f>
        <v>0</v>
      </c>
      <c r="F66" s="2" t="n">
        <f aca="false">IF(A66=0,Inputs!$E$15,IF(AND(A66&gt;=Inputs!$F$15,A66&lt;=Inputs!$G$15),Inputs!$I$15,0))</f>
        <v>0</v>
      </c>
      <c r="G66" s="2" t="n">
        <f aca="false">IF(A66=0,Inputs!$E$16,IF(AND(A66&gt;=Inputs!$F$16,A66&lt;=Inputs!$G$16),Inputs!$I$16,0))</f>
        <v>0</v>
      </c>
      <c r="H66" s="2" t="n">
        <f aca="false">IF(A66=0,Inputs!$E$17,IF(AND(A66&gt;=Inputs!$F$17,A66&lt;=Inputs!$G$17),Inputs!$I$17,0))</f>
        <v>0</v>
      </c>
      <c r="I66" s="2" t="n">
        <f aca="false">IF(A66=0,Inputs!$E$18,IF(AND(A66&gt;=Inputs!$F$18,A66&lt;=Inputs!$G$18),Inputs!$I$18,0))</f>
        <v>0</v>
      </c>
      <c r="J66" s="2" t="n">
        <f aca="false">IF(A66=0,Inputs!$E$19,IF(AND(A66&gt;=Inputs!$F$19,A66&lt;=Inputs!$G$19),Inputs!$I$19,0))</f>
        <v>0</v>
      </c>
      <c r="K66" s="2" t="n">
        <f aca="false">IF(A66=0,Inputs!$E$20,IF(AND(A66&gt;=Inputs!$F$20,A66&lt;=Inputs!$G$20),Inputs!$I$20,0))</f>
        <v>0</v>
      </c>
      <c r="L66" s="2" t="n">
        <f aca="false">IF(A66=0,Inputs!$E$21,IF(AND(A66&gt;=Inputs!$F$21,A66&lt;=Inputs!$G$21),Inputs!$I$21,0))</f>
        <v>0</v>
      </c>
      <c r="M66" s="2" t="n">
        <f aca="false">IF(A66=0,Inputs!$E$22,IF(AND(A66&gt;=Inputs!$F$22,A66&lt;=Inputs!$G$22),Inputs!$I$22,0))</f>
        <v>0</v>
      </c>
      <c r="N66" s="2" t="n">
        <f aca="false">IF(A66&lt;Inputs!$B$9,0,IF(A66&lt;=12,Inputs!$B$8,Inputs!$B$6*(1-Inputs!$B$7)^(INT((A66-13)/12)+1)/12))</f>
        <v>1774821.25</v>
      </c>
      <c r="O66" s="2" t="n">
        <f aca="false">IF(A66=0,Inputs!$E$24,IF(AND(A66&gt;=Inputs!$F$24,A66&lt;=Inputs!$G$24),Inputs!$I$24,0))</f>
        <v>0</v>
      </c>
      <c r="P66" s="2" t="n">
        <f aca="false">IF(A66=0,Inputs!$E$25,IF(AND(A66&gt;=Inputs!$F$25,A66&lt;=Inputs!$G$25),Inputs!$I$25,0))</f>
        <v>0</v>
      </c>
      <c r="Q66" s="2" t="n">
        <f aca="false">IF(A66=0,Inputs!$E$26,IF(AND(A66&gt;=Inputs!$F$26,A66&lt;=Inputs!$G$26),Inputs!$I$26,0))</f>
        <v>0</v>
      </c>
      <c r="R66" s="2" t="n">
        <f aca="false">IF(A66=0,Inputs!$E$27,IF(AND(A66&gt;=Inputs!$F$27,A66&lt;=Inputs!$G$27),Inputs!$I$27,0))</f>
        <v>0</v>
      </c>
      <c r="S66" s="2" t="n">
        <f aca="false">IF(A66=0,Inputs!$E$28,IF(AND(A66&gt;=Inputs!$F$28,A66&lt;=Inputs!$G$28),Inputs!$I$28,0))</f>
        <v>0</v>
      </c>
      <c r="T66" s="2" t="n">
        <f aca="false">IF(A66=0,Inputs!$E$29,IF(AND(A66&gt;=Inputs!$F$29,A66&lt;=Inputs!$G$29),Inputs!$I$29,0))</f>
        <v>0</v>
      </c>
      <c r="U66" s="2" t="n">
        <f aca="false">SUM(C66:T66)</f>
        <v>1774821.25</v>
      </c>
      <c r="V66" s="2" t="n">
        <f aca="false">V65+U66</f>
        <v>682789121.250001</v>
      </c>
      <c r="W66" s="4" t="n">
        <f aca="false">V66/Inputs!$B$4</f>
        <v>0.682789121250001</v>
      </c>
    </row>
    <row r="67" customFormat="false" ht="15" hidden="false" customHeight="false" outlineLevel="0" collapsed="false">
      <c r="A67" s="0" t="n">
        <v>62</v>
      </c>
      <c r="B67" s="3" t="n">
        <f aca="false">EDATE(Inputs!$B$5,A67)</f>
        <v>48309</v>
      </c>
      <c r="C67" s="2" t="n">
        <f aca="false">IF(A67=0,Inputs!$E$12,IF(AND(A67&gt;=Inputs!$F$12,A67&lt;=Inputs!$G$12),Inputs!$I$12,0))</f>
        <v>0</v>
      </c>
      <c r="D67" s="2" t="n">
        <f aca="false">IF(A67=0,Inputs!$E$13,IF(AND(A67&gt;=Inputs!$F$13,A67&lt;=Inputs!$G$13),Inputs!$I$13,0))</f>
        <v>0</v>
      </c>
      <c r="E67" s="2" t="n">
        <f aca="false">IF(A67=0,Inputs!$E$14,IF(AND(A67&gt;=Inputs!$F$14,A67&lt;=Inputs!$G$14),Inputs!$I$14,0))</f>
        <v>0</v>
      </c>
      <c r="F67" s="2" t="n">
        <f aca="false">IF(A67=0,Inputs!$E$15,IF(AND(A67&gt;=Inputs!$F$15,A67&lt;=Inputs!$G$15),Inputs!$I$15,0))</f>
        <v>0</v>
      </c>
      <c r="G67" s="2" t="n">
        <f aca="false">IF(A67=0,Inputs!$E$16,IF(AND(A67&gt;=Inputs!$F$16,A67&lt;=Inputs!$G$16),Inputs!$I$16,0))</f>
        <v>0</v>
      </c>
      <c r="H67" s="2" t="n">
        <f aca="false">IF(A67=0,Inputs!$E$17,IF(AND(A67&gt;=Inputs!$F$17,A67&lt;=Inputs!$G$17),Inputs!$I$17,0))</f>
        <v>0</v>
      </c>
      <c r="I67" s="2" t="n">
        <f aca="false">IF(A67=0,Inputs!$E$18,IF(AND(A67&gt;=Inputs!$F$18,A67&lt;=Inputs!$G$18),Inputs!$I$18,0))</f>
        <v>0</v>
      </c>
      <c r="J67" s="2" t="n">
        <f aca="false">IF(A67=0,Inputs!$E$19,IF(AND(A67&gt;=Inputs!$F$19,A67&lt;=Inputs!$G$19),Inputs!$I$19,0))</f>
        <v>0</v>
      </c>
      <c r="K67" s="2" t="n">
        <f aca="false">IF(A67=0,Inputs!$E$20,IF(AND(A67&gt;=Inputs!$F$20,A67&lt;=Inputs!$G$20),Inputs!$I$20,0))</f>
        <v>0</v>
      </c>
      <c r="L67" s="2" t="n">
        <f aca="false">IF(A67=0,Inputs!$E$21,IF(AND(A67&gt;=Inputs!$F$21,A67&lt;=Inputs!$G$21),Inputs!$I$21,0))</f>
        <v>0</v>
      </c>
      <c r="M67" s="2" t="n">
        <f aca="false">IF(A67=0,Inputs!$E$22,IF(AND(A67&gt;=Inputs!$F$22,A67&lt;=Inputs!$G$22),Inputs!$I$22,0))</f>
        <v>0</v>
      </c>
      <c r="N67" s="2" t="n">
        <f aca="false">IF(A67&lt;Inputs!$B$9,0,IF(A67&lt;=12,Inputs!$B$8,Inputs!$B$6*(1-Inputs!$B$7)^(INT((A67-13)/12)+1)/12))</f>
        <v>1774821.25</v>
      </c>
      <c r="O67" s="2" t="n">
        <f aca="false">IF(A67=0,Inputs!$E$24,IF(AND(A67&gt;=Inputs!$F$24,A67&lt;=Inputs!$G$24),Inputs!$I$24,0))</f>
        <v>0</v>
      </c>
      <c r="P67" s="2" t="n">
        <f aca="false">IF(A67=0,Inputs!$E$25,IF(AND(A67&gt;=Inputs!$F$25,A67&lt;=Inputs!$G$25),Inputs!$I$25,0))</f>
        <v>0</v>
      </c>
      <c r="Q67" s="2" t="n">
        <f aca="false">IF(A67=0,Inputs!$E$26,IF(AND(A67&gt;=Inputs!$F$26,A67&lt;=Inputs!$G$26),Inputs!$I$26,0))</f>
        <v>0</v>
      </c>
      <c r="R67" s="2" t="n">
        <f aca="false">IF(A67=0,Inputs!$E$27,IF(AND(A67&gt;=Inputs!$F$27,A67&lt;=Inputs!$G$27),Inputs!$I$27,0))</f>
        <v>0</v>
      </c>
      <c r="S67" s="2" t="n">
        <f aca="false">IF(A67=0,Inputs!$E$28,IF(AND(A67&gt;=Inputs!$F$28,A67&lt;=Inputs!$G$28),Inputs!$I$28,0))</f>
        <v>0</v>
      </c>
      <c r="T67" s="2" t="n">
        <f aca="false">IF(A67=0,Inputs!$E$29,IF(AND(A67&gt;=Inputs!$F$29,A67&lt;=Inputs!$G$29),Inputs!$I$29,0))</f>
        <v>0</v>
      </c>
      <c r="U67" s="2" t="n">
        <f aca="false">SUM(C67:T67)</f>
        <v>1774821.25</v>
      </c>
      <c r="V67" s="2" t="n">
        <f aca="false">V66+U67</f>
        <v>684563942.500001</v>
      </c>
      <c r="W67" s="4" t="n">
        <f aca="false">V67/Inputs!$B$4</f>
        <v>0.684563942500001</v>
      </c>
    </row>
    <row r="68" customFormat="false" ht="15" hidden="false" customHeight="false" outlineLevel="0" collapsed="false">
      <c r="A68" s="0" t="n">
        <v>63</v>
      </c>
      <c r="B68" s="3" t="n">
        <f aca="false">EDATE(Inputs!$B$5,A68)</f>
        <v>48339</v>
      </c>
      <c r="C68" s="2" t="n">
        <f aca="false">IF(A68=0,Inputs!$E$12,IF(AND(A68&gt;=Inputs!$F$12,A68&lt;=Inputs!$G$12),Inputs!$I$12,0))</f>
        <v>0</v>
      </c>
      <c r="D68" s="2" t="n">
        <f aca="false">IF(A68=0,Inputs!$E$13,IF(AND(A68&gt;=Inputs!$F$13,A68&lt;=Inputs!$G$13),Inputs!$I$13,0))</f>
        <v>0</v>
      </c>
      <c r="E68" s="2" t="n">
        <f aca="false">IF(A68=0,Inputs!$E$14,IF(AND(A68&gt;=Inputs!$F$14,A68&lt;=Inputs!$G$14),Inputs!$I$14,0))</f>
        <v>0</v>
      </c>
      <c r="F68" s="2" t="n">
        <f aca="false">IF(A68=0,Inputs!$E$15,IF(AND(A68&gt;=Inputs!$F$15,A68&lt;=Inputs!$G$15),Inputs!$I$15,0))</f>
        <v>0</v>
      </c>
      <c r="G68" s="2" t="n">
        <f aca="false">IF(A68=0,Inputs!$E$16,IF(AND(A68&gt;=Inputs!$F$16,A68&lt;=Inputs!$G$16),Inputs!$I$16,0))</f>
        <v>0</v>
      </c>
      <c r="H68" s="2" t="n">
        <f aca="false">IF(A68=0,Inputs!$E$17,IF(AND(A68&gt;=Inputs!$F$17,A68&lt;=Inputs!$G$17),Inputs!$I$17,0))</f>
        <v>0</v>
      </c>
      <c r="I68" s="2" t="n">
        <f aca="false">IF(A68=0,Inputs!$E$18,IF(AND(A68&gt;=Inputs!$F$18,A68&lt;=Inputs!$G$18),Inputs!$I$18,0))</f>
        <v>0</v>
      </c>
      <c r="J68" s="2" t="n">
        <f aca="false">IF(A68=0,Inputs!$E$19,IF(AND(A68&gt;=Inputs!$F$19,A68&lt;=Inputs!$G$19),Inputs!$I$19,0))</f>
        <v>0</v>
      </c>
      <c r="K68" s="2" t="n">
        <f aca="false">IF(A68=0,Inputs!$E$20,IF(AND(A68&gt;=Inputs!$F$20,A68&lt;=Inputs!$G$20),Inputs!$I$20,0))</f>
        <v>0</v>
      </c>
      <c r="L68" s="2" t="n">
        <f aca="false">IF(A68=0,Inputs!$E$21,IF(AND(A68&gt;=Inputs!$F$21,A68&lt;=Inputs!$G$21),Inputs!$I$21,0))</f>
        <v>0</v>
      </c>
      <c r="M68" s="2" t="n">
        <f aca="false">IF(A68=0,Inputs!$E$22,IF(AND(A68&gt;=Inputs!$F$22,A68&lt;=Inputs!$G$22),Inputs!$I$22,0))</f>
        <v>0</v>
      </c>
      <c r="N68" s="2" t="n">
        <f aca="false">IF(A68&lt;Inputs!$B$9,0,IF(A68&lt;=12,Inputs!$B$8,Inputs!$B$6*(1-Inputs!$B$7)^(INT((A68-13)/12)+1)/12))</f>
        <v>1774821.25</v>
      </c>
      <c r="O68" s="2" t="n">
        <f aca="false">IF(A68=0,Inputs!$E$24,IF(AND(A68&gt;=Inputs!$F$24,A68&lt;=Inputs!$G$24),Inputs!$I$24,0))</f>
        <v>0</v>
      </c>
      <c r="P68" s="2" t="n">
        <f aca="false">IF(A68=0,Inputs!$E$25,IF(AND(A68&gt;=Inputs!$F$25,A68&lt;=Inputs!$G$25),Inputs!$I$25,0))</f>
        <v>0</v>
      </c>
      <c r="Q68" s="2" t="n">
        <f aca="false">IF(A68=0,Inputs!$E$26,IF(AND(A68&gt;=Inputs!$F$26,A68&lt;=Inputs!$G$26),Inputs!$I$26,0))</f>
        <v>0</v>
      </c>
      <c r="R68" s="2" t="n">
        <f aca="false">IF(A68=0,Inputs!$E$27,IF(AND(A68&gt;=Inputs!$F$27,A68&lt;=Inputs!$G$27),Inputs!$I$27,0))</f>
        <v>0</v>
      </c>
      <c r="S68" s="2" t="n">
        <f aca="false">IF(A68=0,Inputs!$E$28,IF(AND(A68&gt;=Inputs!$F$28,A68&lt;=Inputs!$G$28),Inputs!$I$28,0))</f>
        <v>0</v>
      </c>
      <c r="T68" s="2" t="n">
        <f aca="false">IF(A68=0,Inputs!$E$29,IF(AND(A68&gt;=Inputs!$F$29,A68&lt;=Inputs!$G$29),Inputs!$I$29,0))</f>
        <v>0</v>
      </c>
      <c r="U68" s="2" t="n">
        <f aca="false">SUM(C68:T68)</f>
        <v>1774821.25</v>
      </c>
      <c r="V68" s="2" t="n">
        <f aca="false">V67+U68</f>
        <v>686338763.750001</v>
      </c>
      <c r="W68" s="4" t="n">
        <f aca="false">V68/Inputs!$B$4</f>
        <v>0.686338763750001</v>
      </c>
    </row>
    <row r="69" customFormat="false" ht="15" hidden="false" customHeight="false" outlineLevel="0" collapsed="false">
      <c r="A69" s="0" t="n">
        <v>64</v>
      </c>
      <c r="B69" s="3" t="n">
        <f aca="false">EDATE(Inputs!$B$5,A69)</f>
        <v>48370</v>
      </c>
      <c r="C69" s="2" t="n">
        <f aca="false">IF(A69=0,Inputs!$E$12,IF(AND(A69&gt;=Inputs!$F$12,A69&lt;=Inputs!$G$12),Inputs!$I$12,0))</f>
        <v>0</v>
      </c>
      <c r="D69" s="2" t="n">
        <f aca="false">IF(A69=0,Inputs!$E$13,IF(AND(A69&gt;=Inputs!$F$13,A69&lt;=Inputs!$G$13),Inputs!$I$13,0))</f>
        <v>0</v>
      </c>
      <c r="E69" s="2" t="n">
        <f aca="false">IF(A69=0,Inputs!$E$14,IF(AND(A69&gt;=Inputs!$F$14,A69&lt;=Inputs!$G$14),Inputs!$I$14,0))</f>
        <v>0</v>
      </c>
      <c r="F69" s="2" t="n">
        <f aca="false">IF(A69=0,Inputs!$E$15,IF(AND(A69&gt;=Inputs!$F$15,A69&lt;=Inputs!$G$15),Inputs!$I$15,0))</f>
        <v>0</v>
      </c>
      <c r="G69" s="2" t="n">
        <f aca="false">IF(A69=0,Inputs!$E$16,IF(AND(A69&gt;=Inputs!$F$16,A69&lt;=Inputs!$G$16),Inputs!$I$16,0))</f>
        <v>0</v>
      </c>
      <c r="H69" s="2" t="n">
        <f aca="false">IF(A69=0,Inputs!$E$17,IF(AND(A69&gt;=Inputs!$F$17,A69&lt;=Inputs!$G$17),Inputs!$I$17,0))</f>
        <v>0</v>
      </c>
      <c r="I69" s="2" t="n">
        <f aca="false">IF(A69=0,Inputs!$E$18,IF(AND(A69&gt;=Inputs!$F$18,A69&lt;=Inputs!$G$18),Inputs!$I$18,0))</f>
        <v>0</v>
      </c>
      <c r="J69" s="2" t="n">
        <f aca="false">IF(A69=0,Inputs!$E$19,IF(AND(A69&gt;=Inputs!$F$19,A69&lt;=Inputs!$G$19),Inputs!$I$19,0))</f>
        <v>0</v>
      </c>
      <c r="K69" s="2" t="n">
        <f aca="false">IF(A69=0,Inputs!$E$20,IF(AND(A69&gt;=Inputs!$F$20,A69&lt;=Inputs!$G$20),Inputs!$I$20,0))</f>
        <v>0</v>
      </c>
      <c r="L69" s="2" t="n">
        <f aca="false">IF(A69=0,Inputs!$E$21,IF(AND(A69&gt;=Inputs!$F$21,A69&lt;=Inputs!$G$21),Inputs!$I$21,0))</f>
        <v>0</v>
      </c>
      <c r="M69" s="2" t="n">
        <f aca="false">IF(A69=0,Inputs!$E$22,IF(AND(A69&gt;=Inputs!$F$22,A69&lt;=Inputs!$G$22),Inputs!$I$22,0))</f>
        <v>0</v>
      </c>
      <c r="N69" s="2" t="n">
        <f aca="false">IF(A69&lt;Inputs!$B$9,0,IF(A69&lt;=12,Inputs!$B$8,Inputs!$B$6*(1-Inputs!$B$7)^(INT((A69-13)/12)+1)/12))</f>
        <v>1774821.25</v>
      </c>
      <c r="O69" s="2" t="n">
        <f aca="false">IF(A69=0,Inputs!$E$24,IF(AND(A69&gt;=Inputs!$F$24,A69&lt;=Inputs!$G$24),Inputs!$I$24,0))</f>
        <v>0</v>
      </c>
      <c r="P69" s="2" t="n">
        <f aca="false">IF(A69=0,Inputs!$E$25,IF(AND(A69&gt;=Inputs!$F$25,A69&lt;=Inputs!$G$25),Inputs!$I$25,0))</f>
        <v>0</v>
      </c>
      <c r="Q69" s="2" t="n">
        <f aca="false">IF(A69=0,Inputs!$E$26,IF(AND(A69&gt;=Inputs!$F$26,A69&lt;=Inputs!$G$26),Inputs!$I$26,0))</f>
        <v>0</v>
      </c>
      <c r="R69" s="2" t="n">
        <f aca="false">IF(A69=0,Inputs!$E$27,IF(AND(A69&gt;=Inputs!$F$27,A69&lt;=Inputs!$G$27),Inputs!$I$27,0))</f>
        <v>0</v>
      </c>
      <c r="S69" s="2" t="n">
        <f aca="false">IF(A69=0,Inputs!$E$28,IF(AND(A69&gt;=Inputs!$F$28,A69&lt;=Inputs!$G$28),Inputs!$I$28,0))</f>
        <v>0</v>
      </c>
      <c r="T69" s="2" t="n">
        <f aca="false">IF(A69=0,Inputs!$E$29,IF(AND(A69&gt;=Inputs!$F$29,A69&lt;=Inputs!$G$29),Inputs!$I$29,0))</f>
        <v>0</v>
      </c>
      <c r="U69" s="2" t="n">
        <f aca="false">SUM(C69:T69)</f>
        <v>1774821.25</v>
      </c>
      <c r="V69" s="2" t="n">
        <f aca="false">V68+U69</f>
        <v>688113585.000001</v>
      </c>
      <c r="W69" s="4" t="n">
        <f aca="false">V69/Inputs!$B$4</f>
        <v>0.688113585000001</v>
      </c>
    </row>
    <row r="70" customFormat="false" ht="15" hidden="false" customHeight="false" outlineLevel="0" collapsed="false">
      <c r="A70" s="0" t="n">
        <v>65</v>
      </c>
      <c r="B70" s="3" t="n">
        <f aca="false">EDATE(Inputs!$B$5,A70)</f>
        <v>48400</v>
      </c>
      <c r="C70" s="2" t="n">
        <f aca="false">IF(A70=0,Inputs!$E$12,IF(AND(A70&gt;=Inputs!$F$12,A70&lt;=Inputs!$G$12),Inputs!$I$12,0))</f>
        <v>0</v>
      </c>
      <c r="D70" s="2" t="n">
        <f aca="false">IF(A70=0,Inputs!$E$13,IF(AND(A70&gt;=Inputs!$F$13,A70&lt;=Inputs!$G$13),Inputs!$I$13,0))</f>
        <v>0</v>
      </c>
      <c r="E70" s="2" t="n">
        <f aca="false">IF(A70=0,Inputs!$E$14,IF(AND(A70&gt;=Inputs!$F$14,A70&lt;=Inputs!$G$14),Inputs!$I$14,0))</f>
        <v>0</v>
      </c>
      <c r="F70" s="2" t="n">
        <f aca="false">IF(A70=0,Inputs!$E$15,IF(AND(A70&gt;=Inputs!$F$15,A70&lt;=Inputs!$G$15),Inputs!$I$15,0))</f>
        <v>0</v>
      </c>
      <c r="G70" s="2" t="n">
        <f aca="false">IF(A70=0,Inputs!$E$16,IF(AND(A70&gt;=Inputs!$F$16,A70&lt;=Inputs!$G$16),Inputs!$I$16,0))</f>
        <v>0</v>
      </c>
      <c r="H70" s="2" t="n">
        <f aca="false">IF(A70=0,Inputs!$E$17,IF(AND(A70&gt;=Inputs!$F$17,A70&lt;=Inputs!$G$17),Inputs!$I$17,0))</f>
        <v>0</v>
      </c>
      <c r="I70" s="2" t="n">
        <f aca="false">IF(A70=0,Inputs!$E$18,IF(AND(A70&gt;=Inputs!$F$18,A70&lt;=Inputs!$G$18),Inputs!$I$18,0))</f>
        <v>0</v>
      </c>
      <c r="J70" s="2" t="n">
        <f aca="false">IF(A70=0,Inputs!$E$19,IF(AND(A70&gt;=Inputs!$F$19,A70&lt;=Inputs!$G$19),Inputs!$I$19,0))</f>
        <v>0</v>
      </c>
      <c r="K70" s="2" t="n">
        <f aca="false">IF(A70=0,Inputs!$E$20,IF(AND(A70&gt;=Inputs!$F$20,A70&lt;=Inputs!$G$20),Inputs!$I$20,0))</f>
        <v>0</v>
      </c>
      <c r="L70" s="2" t="n">
        <f aca="false">IF(A70=0,Inputs!$E$21,IF(AND(A70&gt;=Inputs!$F$21,A70&lt;=Inputs!$G$21),Inputs!$I$21,0))</f>
        <v>0</v>
      </c>
      <c r="M70" s="2" t="n">
        <f aca="false">IF(A70=0,Inputs!$E$22,IF(AND(A70&gt;=Inputs!$F$22,A70&lt;=Inputs!$G$22),Inputs!$I$22,0))</f>
        <v>0</v>
      </c>
      <c r="N70" s="2" t="n">
        <f aca="false">IF(A70&lt;Inputs!$B$9,0,IF(A70&lt;=12,Inputs!$B$8,Inputs!$B$6*(1-Inputs!$B$7)^(INT((A70-13)/12)+1)/12))</f>
        <v>1774821.25</v>
      </c>
      <c r="O70" s="2" t="n">
        <f aca="false">IF(A70=0,Inputs!$E$24,IF(AND(A70&gt;=Inputs!$F$24,A70&lt;=Inputs!$G$24),Inputs!$I$24,0))</f>
        <v>0</v>
      </c>
      <c r="P70" s="2" t="n">
        <f aca="false">IF(A70=0,Inputs!$E$25,IF(AND(A70&gt;=Inputs!$F$25,A70&lt;=Inputs!$G$25),Inputs!$I$25,0))</f>
        <v>0</v>
      </c>
      <c r="Q70" s="2" t="n">
        <f aca="false">IF(A70=0,Inputs!$E$26,IF(AND(A70&gt;=Inputs!$F$26,A70&lt;=Inputs!$G$26),Inputs!$I$26,0))</f>
        <v>0</v>
      </c>
      <c r="R70" s="2" t="n">
        <f aca="false">IF(A70=0,Inputs!$E$27,IF(AND(A70&gt;=Inputs!$F$27,A70&lt;=Inputs!$G$27),Inputs!$I$27,0))</f>
        <v>0</v>
      </c>
      <c r="S70" s="2" t="n">
        <f aca="false">IF(A70=0,Inputs!$E$28,IF(AND(A70&gt;=Inputs!$F$28,A70&lt;=Inputs!$G$28),Inputs!$I$28,0))</f>
        <v>0</v>
      </c>
      <c r="T70" s="2" t="n">
        <f aca="false">IF(A70=0,Inputs!$E$29,IF(AND(A70&gt;=Inputs!$F$29,A70&lt;=Inputs!$G$29),Inputs!$I$29,0))</f>
        <v>0</v>
      </c>
      <c r="U70" s="2" t="n">
        <f aca="false">SUM(C70:T70)</f>
        <v>1774821.25</v>
      </c>
      <c r="V70" s="2" t="n">
        <f aca="false">V69+U70</f>
        <v>689888406.250001</v>
      </c>
      <c r="W70" s="4" t="n">
        <f aca="false">V70/Inputs!$B$4</f>
        <v>0.689888406250001</v>
      </c>
    </row>
    <row r="71" customFormat="false" ht="15" hidden="false" customHeight="false" outlineLevel="0" collapsed="false">
      <c r="A71" s="0" t="n">
        <v>66</v>
      </c>
      <c r="B71" s="3" t="n">
        <f aca="false">EDATE(Inputs!$B$5,A71)</f>
        <v>48431</v>
      </c>
      <c r="C71" s="2" t="n">
        <f aca="false">IF(A71=0,Inputs!$E$12,IF(AND(A71&gt;=Inputs!$F$12,A71&lt;=Inputs!$G$12),Inputs!$I$12,0))</f>
        <v>0</v>
      </c>
      <c r="D71" s="2" t="n">
        <f aca="false">IF(A71=0,Inputs!$E$13,IF(AND(A71&gt;=Inputs!$F$13,A71&lt;=Inputs!$G$13),Inputs!$I$13,0))</f>
        <v>0</v>
      </c>
      <c r="E71" s="2" t="n">
        <f aca="false">IF(A71=0,Inputs!$E$14,IF(AND(A71&gt;=Inputs!$F$14,A71&lt;=Inputs!$G$14),Inputs!$I$14,0))</f>
        <v>0</v>
      </c>
      <c r="F71" s="2" t="n">
        <f aca="false">IF(A71=0,Inputs!$E$15,IF(AND(A71&gt;=Inputs!$F$15,A71&lt;=Inputs!$G$15),Inputs!$I$15,0))</f>
        <v>0</v>
      </c>
      <c r="G71" s="2" t="n">
        <f aca="false">IF(A71=0,Inputs!$E$16,IF(AND(A71&gt;=Inputs!$F$16,A71&lt;=Inputs!$G$16),Inputs!$I$16,0))</f>
        <v>0</v>
      </c>
      <c r="H71" s="2" t="n">
        <f aca="false">IF(A71=0,Inputs!$E$17,IF(AND(A71&gt;=Inputs!$F$17,A71&lt;=Inputs!$G$17),Inputs!$I$17,0))</f>
        <v>0</v>
      </c>
      <c r="I71" s="2" t="n">
        <f aca="false">IF(A71=0,Inputs!$E$18,IF(AND(A71&gt;=Inputs!$F$18,A71&lt;=Inputs!$G$18),Inputs!$I$18,0))</f>
        <v>0</v>
      </c>
      <c r="J71" s="2" t="n">
        <f aca="false">IF(A71=0,Inputs!$E$19,IF(AND(A71&gt;=Inputs!$F$19,A71&lt;=Inputs!$G$19),Inputs!$I$19,0))</f>
        <v>0</v>
      </c>
      <c r="K71" s="2" t="n">
        <f aca="false">IF(A71=0,Inputs!$E$20,IF(AND(A71&gt;=Inputs!$F$20,A71&lt;=Inputs!$G$20),Inputs!$I$20,0))</f>
        <v>0</v>
      </c>
      <c r="L71" s="2" t="n">
        <f aca="false">IF(A71=0,Inputs!$E$21,IF(AND(A71&gt;=Inputs!$F$21,A71&lt;=Inputs!$G$21),Inputs!$I$21,0))</f>
        <v>0</v>
      </c>
      <c r="M71" s="2" t="n">
        <f aca="false">IF(A71=0,Inputs!$E$22,IF(AND(A71&gt;=Inputs!$F$22,A71&lt;=Inputs!$G$22),Inputs!$I$22,0))</f>
        <v>0</v>
      </c>
      <c r="N71" s="2" t="n">
        <f aca="false">IF(A71&lt;Inputs!$B$9,0,IF(A71&lt;=12,Inputs!$B$8,Inputs!$B$6*(1-Inputs!$B$7)^(INT((A71-13)/12)+1)/12))</f>
        <v>1774821.25</v>
      </c>
      <c r="O71" s="2" t="n">
        <f aca="false">IF(A71=0,Inputs!$E$24,IF(AND(A71&gt;=Inputs!$F$24,A71&lt;=Inputs!$G$24),Inputs!$I$24,0))</f>
        <v>0</v>
      </c>
      <c r="P71" s="2" t="n">
        <f aca="false">IF(A71=0,Inputs!$E$25,IF(AND(A71&gt;=Inputs!$F$25,A71&lt;=Inputs!$G$25),Inputs!$I$25,0))</f>
        <v>0</v>
      </c>
      <c r="Q71" s="2" t="n">
        <f aca="false">IF(A71=0,Inputs!$E$26,IF(AND(A71&gt;=Inputs!$F$26,A71&lt;=Inputs!$G$26),Inputs!$I$26,0))</f>
        <v>0</v>
      </c>
      <c r="R71" s="2" t="n">
        <f aca="false">IF(A71=0,Inputs!$E$27,IF(AND(A71&gt;=Inputs!$F$27,A71&lt;=Inputs!$G$27),Inputs!$I$27,0))</f>
        <v>0</v>
      </c>
      <c r="S71" s="2" t="n">
        <f aca="false">IF(A71=0,Inputs!$E$28,IF(AND(A71&gt;=Inputs!$F$28,A71&lt;=Inputs!$G$28),Inputs!$I$28,0))</f>
        <v>0</v>
      </c>
      <c r="T71" s="2" t="n">
        <f aca="false">IF(A71=0,Inputs!$E$29,IF(AND(A71&gt;=Inputs!$F$29,A71&lt;=Inputs!$G$29),Inputs!$I$29,0))</f>
        <v>0</v>
      </c>
      <c r="U71" s="2" t="n">
        <f aca="false">SUM(C71:T71)</f>
        <v>1774821.25</v>
      </c>
      <c r="V71" s="2" t="n">
        <f aca="false">V70+U71</f>
        <v>691663227.500001</v>
      </c>
      <c r="W71" s="4" t="n">
        <f aca="false">V71/Inputs!$B$4</f>
        <v>0.691663227500001</v>
      </c>
    </row>
    <row r="72" customFormat="false" ht="15" hidden="false" customHeight="false" outlineLevel="0" collapsed="false">
      <c r="A72" s="0" t="n">
        <v>67</v>
      </c>
      <c r="B72" s="3" t="n">
        <f aca="false">EDATE(Inputs!$B$5,A72)</f>
        <v>48462</v>
      </c>
      <c r="C72" s="2" t="n">
        <f aca="false">IF(A72=0,Inputs!$E$12,IF(AND(A72&gt;=Inputs!$F$12,A72&lt;=Inputs!$G$12),Inputs!$I$12,0))</f>
        <v>0</v>
      </c>
      <c r="D72" s="2" t="n">
        <f aca="false">IF(A72=0,Inputs!$E$13,IF(AND(A72&gt;=Inputs!$F$13,A72&lt;=Inputs!$G$13),Inputs!$I$13,0))</f>
        <v>0</v>
      </c>
      <c r="E72" s="2" t="n">
        <f aca="false">IF(A72=0,Inputs!$E$14,IF(AND(A72&gt;=Inputs!$F$14,A72&lt;=Inputs!$G$14),Inputs!$I$14,0))</f>
        <v>0</v>
      </c>
      <c r="F72" s="2" t="n">
        <f aca="false">IF(A72=0,Inputs!$E$15,IF(AND(A72&gt;=Inputs!$F$15,A72&lt;=Inputs!$G$15),Inputs!$I$15,0))</f>
        <v>0</v>
      </c>
      <c r="G72" s="2" t="n">
        <f aca="false">IF(A72=0,Inputs!$E$16,IF(AND(A72&gt;=Inputs!$F$16,A72&lt;=Inputs!$G$16),Inputs!$I$16,0))</f>
        <v>0</v>
      </c>
      <c r="H72" s="2" t="n">
        <f aca="false">IF(A72=0,Inputs!$E$17,IF(AND(A72&gt;=Inputs!$F$17,A72&lt;=Inputs!$G$17),Inputs!$I$17,0))</f>
        <v>0</v>
      </c>
      <c r="I72" s="2" t="n">
        <f aca="false">IF(A72=0,Inputs!$E$18,IF(AND(A72&gt;=Inputs!$F$18,A72&lt;=Inputs!$G$18),Inputs!$I$18,0))</f>
        <v>0</v>
      </c>
      <c r="J72" s="2" t="n">
        <f aca="false">IF(A72=0,Inputs!$E$19,IF(AND(A72&gt;=Inputs!$F$19,A72&lt;=Inputs!$G$19),Inputs!$I$19,0))</f>
        <v>0</v>
      </c>
      <c r="K72" s="2" t="n">
        <f aca="false">IF(A72=0,Inputs!$E$20,IF(AND(A72&gt;=Inputs!$F$20,A72&lt;=Inputs!$G$20),Inputs!$I$20,0))</f>
        <v>0</v>
      </c>
      <c r="L72" s="2" t="n">
        <f aca="false">IF(A72=0,Inputs!$E$21,IF(AND(A72&gt;=Inputs!$F$21,A72&lt;=Inputs!$G$21),Inputs!$I$21,0))</f>
        <v>0</v>
      </c>
      <c r="M72" s="2" t="n">
        <f aca="false">IF(A72=0,Inputs!$E$22,IF(AND(A72&gt;=Inputs!$F$22,A72&lt;=Inputs!$G$22),Inputs!$I$22,0))</f>
        <v>0</v>
      </c>
      <c r="N72" s="2" t="n">
        <f aca="false">IF(A72&lt;Inputs!$B$9,0,IF(A72&lt;=12,Inputs!$B$8,Inputs!$B$6*(1-Inputs!$B$7)^(INT((A72-13)/12)+1)/12))</f>
        <v>1774821.25</v>
      </c>
      <c r="O72" s="2" t="n">
        <f aca="false">IF(A72=0,Inputs!$E$24,IF(AND(A72&gt;=Inputs!$F$24,A72&lt;=Inputs!$G$24),Inputs!$I$24,0))</f>
        <v>0</v>
      </c>
      <c r="P72" s="2" t="n">
        <f aca="false">IF(A72=0,Inputs!$E$25,IF(AND(A72&gt;=Inputs!$F$25,A72&lt;=Inputs!$G$25),Inputs!$I$25,0))</f>
        <v>0</v>
      </c>
      <c r="Q72" s="2" t="n">
        <f aca="false">IF(A72=0,Inputs!$E$26,IF(AND(A72&gt;=Inputs!$F$26,A72&lt;=Inputs!$G$26),Inputs!$I$26,0))</f>
        <v>0</v>
      </c>
      <c r="R72" s="2" t="n">
        <f aca="false">IF(A72=0,Inputs!$E$27,IF(AND(A72&gt;=Inputs!$F$27,A72&lt;=Inputs!$G$27),Inputs!$I$27,0))</f>
        <v>0</v>
      </c>
      <c r="S72" s="2" t="n">
        <f aca="false">IF(A72=0,Inputs!$E$28,IF(AND(A72&gt;=Inputs!$F$28,A72&lt;=Inputs!$G$28),Inputs!$I$28,0))</f>
        <v>0</v>
      </c>
      <c r="T72" s="2" t="n">
        <f aca="false">IF(A72=0,Inputs!$E$29,IF(AND(A72&gt;=Inputs!$F$29,A72&lt;=Inputs!$G$29),Inputs!$I$29,0))</f>
        <v>0</v>
      </c>
      <c r="U72" s="2" t="n">
        <f aca="false">SUM(C72:T72)</f>
        <v>1774821.25</v>
      </c>
      <c r="V72" s="2" t="n">
        <f aca="false">V71+U72</f>
        <v>693438048.750001</v>
      </c>
      <c r="W72" s="4" t="n">
        <f aca="false">V72/Inputs!$B$4</f>
        <v>0.693438048750001</v>
      </c>
    </row>
    <row r="73" customFormat="false" ht="15" hidden="false" customHeight="false" outlineLevel="0" collapsed="false">
      <c r="A73" s="0" t="n">
        <v>68</v>
      </c>
      <c r="B73" s="3" t="n">
        <f aca="false">EDATE(Inputs!$B$5,A73)</f>
        <v>48492</v>
      </c>
      <c r="C73" s="2" t="n">
        <f aca="false">IF(A73=0,Inputs!$E$12,IF(AND(A73&gt;=Inputs!$F$12,A73&lt;=Inputs!$G$12),Inputs!$I$12,0))</f>
        <v>0</v>
      </c>
      <c r="D73" s="2" t="n">
        <f aca="false">IF(A73=0,Inputs!$E$13,IF(AND(A73&gt;=Inputs!$F$13,A73&lt;=Inputs!$G$13),Inputs!$I$13,0))</f>
        <v>0</v>
      </c>
      <c r="E73" s="2" t="n">
        <f aca="false">IF(A73=0,Inputs!$E$14,IF(AND(A73&gt;=Inputs!$F$14,A73&lt;=Inputs!$G$14),Inputs!$I$14,0))</f>
        <v>0</v>
      </c>
      <c r="F73" s="2" t="n">
        <f aca="false">IF(A73=0,Inputs!$E$15,IF(AND(A73&gt;=Inputs!$F$15,A73&lt;=Inputs!$G$15),Inputs!$I$15,0))</f>
        <v>0</v>
      </c>
      <c r="G73" s="2" t="n">
        <f aca="false">IF(A73=0,Inputs!$E$16,IF(AND(A73&gt;=Inputs!$F$16,A73&lt;=Inputs!$G$16),Inputs!$I$16,0))</f>
        <v>0</v>
      </c>
      <c r="H73" s="2" t="n">
        <f aca="false">IF(A73=0,Inputs!$E$17,IF(AND(A73&gt;=Inputs!$F$17,A73&lt;=Inputs!$G$17),Inputs!$I$17,0))</f>
        <v>0</v>
      </c>
      <c r="I73" s="2" t="n">
        <f aca="false">IF(A73=0,Inputs!$E$18,IF(AND(A73&gt;=Inputs!$F$18,A73&lt;=Inputs!$G$18),Inputs!$I$18,0))</f>
        <v>0</v>
      </c>
      <c r="J73" s="2" t="n">
        <f aca="false">IF(A73=0,Inputs!$E$19,IF(AND(A73&gt;=Inputs!$F$19,A73&lt;=Inputs!$G$19),Inputs!$I$19,0))</f>
        <v>0</v>
      </c>
      <c r="K73" s="2" t="n">
        <f aca="false">IF(A73=0,Inputs!$E$20,IF(AND(A73&gt;=Inputs!$F$20,A73&lt;=Inputs!$G$20),Inputs!$I$20,0))</f>
        <v>0</v>
      </c>
      <c r="L73" s="2" t="n">
        <f aca="false">IF(A73=0,Inputs!$E$21,IF(AND(A73&gt;=Inputs!$F$21,A73&lt;=Inputs!$G$21),Inputs!$I$21,0))</f>
        <v>0</v>
      </c>
      <c r="M73" s="2" t="n">
        <f aca="false">IF(A73=0,Inputs!$E$22,IF(AND(A73&gt;=Inputs!$F$22,A73&lt;=Inputs!$G$22),Inputs!$I$22,0))</f>
        <v>0</v>
      </c>
      <c r="N73" s="2" t="n">
        <f aca="false">IF(A73&lt;Inputs!$B$9,0,IF(A73&lt;=12,Inputs!$B$8,Inputs!$B$6*(1-Inputs!$B$7)^(INT((A73-13)/12)+1)/12))</f>
        <v>1774821.25</v>
      </c>
      <c r="O73" s="2" t="n">
        <f aca="false">IF(A73=0,Inputs!$E$24,IF(AND(A73&gt;=Inputs!$F$24,A73&lt;=Inputs!$G$24),Inputs!$I$24,0))</f>
        <v>0</v>
      </c>
      <c r="P73" s="2" t="n">
        <f aca="false">IF(A73=0,Inputs!$E$25,IF(AND(A73&gt;=Inputs!$F$25,A73&lt;=Inputs!$G$25),Inputs!$I$25,0))</f>
        <v>0</v>
      </c>
      <c r="Q73" s="2" t="n">
        <f aca="false">IF(A73=0,Inputs!$E$26,IF(AND(A73&gt;=Inputs!$F$26,A73&lt;=Inputs!$G$26),Inputs!$I$26,0))</f>
        <v>0</v>
      </c>
      <c r="R73" s="2" t="n">
        <f aca="false">IF(A73=0,Inputs!$E$27,IF(AND(A73&gt;=Inputs!$F$27,A73&lt;=Inputs!$G$27),Inputs!$I$27,0))</f>
        <v>0</v>
      </c>
      <c r="S73" s="2" t="n">
        <f aca="false">IF(A73=0,Inputs!$E$28,IF(AND(A73&gt;=Inputs!$F$28,A73&lt;=Inputs!$G$28),Inputs!$I$28,0))</f>
        <v>0</v>
      </c>
      <c r="T73" s="2" t="n">
        <f aca="false">IF(A73=0,Inputs!$E$29,IF(AND(A73&gt;=Inputs!$F$29,A73&lt;=Inputs!$G$29),Inputs!$I$29,0))</f>
        <v>0</v>
      </c>
      <c r="U73" s="2" t="n">
        <f aca="false">SUM(C73:T73)</f>
        <v>1774821.25</v>
      </c>
      <c r="V73" s="2" t="n">
        <f aca="false">V72+U73</f>
        <v>695212870.000001</v>
      </c>
      <c r="W73" s="4" t="n">
        <f aca="false">V73/Inputs!$B$4</f>
        <v>0.695212870000001</v>
      </c>
    </row>
    <row r="74" customFormat="false" ht="15" hidden="false" customHeight="false" outlineLevel="0" collapsed="false">
      <c r="A74" s="0" t="n">
        <v>69</v>
      </c>
      <c r="B74" s="3" t="n">
        <f aca="false">EDATE(Inputs!$B$5,A74)</f>
        <v>48523</v>
      </c>
      <c r="C74" s="2" t="n">
        <f aca="false">IF(A74=0,Inputs!$E$12,IF(AND(A74&gt;=Inputs!$F$12,A74&lt;=Inputs!$G$12),Inputs!$I$12,0))</f>
        <v>0</v>
      </c>
      <c r="D74" s="2" t="n">
        <f aca="false">IF(A74=0,Inputs!$E$13,IF(AND(A74&gt;=Inputs!$F$13,A74&lt;=Inputs!$G$13),Inputs!$I$13,0))</f>
        <v>0</v>
      </c>
      <c r="E74" s="2" t="n">
        <f aca="false">IF(A74=0,Inputs!$E$14,IF(AND(A74&gt;=Inputs!$F$14,A74&lt;=Inputs!$G$14),Inputs!$I$14,0))</f>
        <v>0</v>
      </c>
      <c r="F74" s="2" t="n">
        <f aca="false">IF(A74=0,Inputs!$E$15,IF(AND(A74&gt;=Inputs!$F$15,A74&lt;=Inputs!$G$15),Inputs!$I$15,0))</f>
        <v>0</v>
      </c>
      <c r="G74" s="2" t="n">
        <f aca="false">IF(A74=0,Inputs!$E$16,IF(AND(A74&gt;=Inputs!$F$16,A74&lt;=Inputs!$G$16),Inputs!$I$16,0))</f>
        <v>0</v>
      </c>
      <c r="H74" s="2" t="n">
        <f aca="false">IF(A74=0,Inputs!$E$17,IF(AND(A74&gt;=Inputs!$F$17,A74&lt;=Inputs!$G$17),Inputs!$I$17,0))</f>
        <v>0</v>
      </c>
      <c r="I74" s="2" t="n">
        <f aca="false">IF(A74=0,Inputs!$E$18,IF(AND(A74&gt;=Inputs!$F$18,A74&lt;=Inputs!$G$18),Inputs!$I$18,0))</f>
        <v>0</v>
      </c>
      <c r="J74" s="2" t="n">
        <f aca="false">IF(A74=0,Inputs!$E$19,IF(AND(A74&gt;=Inputs!$F$19,A74&lt;=Inputs!$G$19),Inputs!$I$19,0))</f>
        <v>0</v>
      </c>
      <c r="K74" s="2" t="n">
        <f aca="false">IF(A74=0,Inputs!$E$20,IF(AND(A74&gt;=Inputs!$F$20,A74&lt;=Inputs!$G$20),Inputs!$I$20,0))</f>
        <v>0</v>
      </c>
      <c r="L74" s="2" t="n">
        <f aca="false">IF(A74=0,Inputs!$E$21,IF(AND(A74&gt;=Inputs!$F$21,A74&lt;=Inputs!$G$21),Inputs!$I$21,0))</f>
        <v>0</v>
      </c>
      <c r="M74" s="2" t="n">
        <f aca="false">IF(A74=0,Inputs!$E$22,IF(AND(A74&gt;=Inputs!$F$22,A74&lt;=Inputs!$G$22),Inputs!$I$22,0))</f>
        <v>0</v>
      </c>
      <c r="N74" s="2" t="n">
        <f aca="false">IF(A74&lt;Inputs!$B$9,0,IF(A74&lt;=12,Inputs!$B$8,Inputs!$B$6*(1-Inputs!$B$7)^(INT((A74-13)/12)+1)/12))</f>
        <v>1774821.25</v>
      </c>
      <c r="O74" s="2" t="n">
        <f aca="false">IF(A74=0,Inputs!$E$24,IF(AND(A74&gt;=Inputs!$F$24,A74&lt;=Inputs!$G$24),Inputs!$I$24,0))</f>
        <v>0</v>
      </c>
      <c r="P74" s="2" t="n">
        <f aca="false">IF(A74=0,Inputs!$E$25,IF(AND(A74&gt;=Inputs!$F$25,A74&lt;=Inputs!$G$25),Inputs!$I$25,0))</f>
        <v>0</v>
      </c>
      <c r="Q74" s="2" t="n">
        <f aca="false">IF(A74=0,Inputs!$E$26,IF(AND(A74&gt;=Inputs!$F$26,A74&lt;=Inputs!$G$26),Inputs!$I$26,0))</f>
        <v>0</v>
      </c>
      <c r="R74" s="2" t="n">
        <f aca="false">IF(A74=0,Inputs!$E$27,IF(AND(A74&gt;=Inputs!$F$27,A74&lt;=Inputs!$G$27),Inputs!$I$27,0))</f>
        <v>0</v>
      </c>
      <c r="S74" s="2" t="n">
        <f aca="false">IF(A74=0,Inputs!$E$28,IF(AND(A74&gt;=Inputs!$F$28,A74&lt;=Inputs!$G$28),Inputs!$I$28,0))</f>
        <v>0</v>
      </c>
      <c r="T74" s="2" t="n">
        <f aca="false">IF(A74=0,Inputs!$E$29,IF(AND(A74&gt;=Inputs!$F$29,A74&lt;=Inputs!$G$29),Inputs!$I$29,0))</f>
        <v>0</v>
      </c>
      <c r="U74" s="2" t="n">
        <f aca="false">SUM(C74:T74)</f>
        <v>1774821.25</v>
      </c>
      <c r="V74" s="2" t="n">
        <f aca="false">V73+U74</f>
        <v>696987691.250001</v>
      </c>
      <c r="W74" s="4" t="n">
        <f aca="false">V74/Inputs!$B$4</f>
        <v>0.696987691250001</v>
      </c>
    </row>
    <row r="75" customFormat="false" ht="15" hidden="false" customHeight="false" outlineLevel="0" collapsed="false">
      <c r="A75" s="0" t="n">
        <v>70</v>
      </c>
      <c r="B75" s="3" t="n">
        <f aca="false">EDATE(Inputs!$B$5,A75)</f>
        <v>48553</v>
      </c>
      <c r="C75" s="2" t="n">
        <f aca="false">IF(A75=0,Inputs!$E$12,IF(AND(A75&gt;=Inputs!$F$12,A75&lt;=Inputs!$G$12),Inputs!$I$12,0))</f>
        <v>0</v>
      </c>
      <c r="D75" s="2" t="n">
        <f aca="false">IF(A75=0,Inputs!$E$13,IF(AND(A75&gt;=Inputs!$F$13,A75&lt;=Inputs!$G$13),Inputs!$I$13,0))</f>
        <v>0</v>
      </c>
      <c r="E75" s="2" t="n">
        <f aca="false">IF(A75=0,Inputs!$E$14,IF(AND(A75&gt;=Inputs!$F$14,A75&lt;=Inputs!$G$14),Inputs!$I$14,0))</f>
        <v>0</v>
      </c>
      <c r="F75" s="2" t="n">
        <f aca="false">IF(A75=0,Inputs!$E$15,IF(AND(A75&gt;=Inputs!$F$15,A75&lt;=Inputs!$G$15),Inputs!$I$15,0))</f>
        <v>0</v>
      </c>
      <c r="G75" s="2" t="n">
        <f aca="false">IF(A75=0,Inputs!$E$16,IF(AND(A75&gt;=Inputs!$F$16,A75&lt;=Inputs!$G$16),Inputs!$I$16,0))</f>
        <v>0</v>
      </c>
      <c r="H75" s="2" t="n">
        <f aca="false">IF(A75=0,Inputs!$E$17,IF(AND(A75&gt;=Inputs!$F$17,A75&lt;=Inputs!$G$17),Inputs!$I$17,0))</f>
        <v>0</v>
      </c>
      <c r="I75" s="2" t="n">
        <f aca="false">IF(A75=0,Inputs!$E$18,IF(AND(A75&gt;=Inputs!$F$18,A75&lt;=Inputs!$G$18),Inputs!$I$18,0))</f>
        <v>0</v>
      </c>
      <c r="J75" s="2" t="n">
        <f aca="false">IF(A75=0,Inputs!$E$19,IF(AND(A75&gt;=Inputs!$F$19,A75&lt;=Inputs!$G$19),Inputs!$I$19,0))</f>
        <v>0</v>
      </c>
      <c r="K75" s="2" t="n">
        <f aca="false">IF(A75=0,Inputs!$E$20,IF(AND(A75&gt;=Inputs!$F$20,A75&lt;=Inputs!$G$20),Inputs!$I$20,0))</f>
        <v>0</v>
      </c>
      <c r="L75" s="2" t="n">
        <f aca="false">IF(A75=0,Inputs!$E$21,IF(AND(A75&gt;=Inputs!$F$21,A75&lt;=Inputs!$G$21),Inputs!$I$21,0))</f>
        <v>0</v>
      </c>
      <c r="M75" s="2" t="n">
        <f aca="false">IF(A75=0,Inputs!$E$22,IF(AND(A75&gt;=Inputs!$F$22,A75&lt;=Inputs!$G$22),Inputs!$I$22,0))</f>
        <v>0</v>
      </c>
      <c r="N75" s="2" t="n">
        <f aca="false">IF(A75&lt;Inputs!$B$9,0,IF(A75&lt;=12,Inputs!$B$8,Inputs!$B$6*(1-Inputs!$B$7)^(INT((A75-13)/12)+1)/12))</f>
        <v>1774821.25</v>
      </c>
      <c r="O75" s="2" t="n">
        <f aca="false">IF(A75=0,Inputs!$E$24,IF(AND(A75&gt;=Inputs!$F$24,A75&lt;=Inputs!$G$24),Inputs!$I$24,0))</f>
        <v>0</v>
      </c>
      <c r="P75" s="2" t="n">
        <f aca="false">IF(A75=0,Inputs!$E$25,IF(AND(A75&gt;=Inputs!$F$25,A75&lt;=Inputs!$G$25),Inputs!$I$25,0))</f>
        <v>0</v>
      </c>
      <c r="Q75" s="2" t="n">
        <f aca="false">IF(A75=0,Inputs!$E$26,IF(AND(A75&gt;=Inputs!$F$26,A75&lt;=Inputs!$G$26),Inputs!$I$26,0))</f>
        <v>0</v>
      </c>
      <c r="R75" s="2" t="n">
        <f aca="false">IF(A75=0,Inputs!$E$27,IF(AND(A75&gt;=Inputs!$F$27,A75&lt;=Inputs!$G$27),Inputs!$I$27,0))</f>
        <v>0</v>
      </c>
      <c r="S75" s="2" t="n">
        <f aca="false">IF(A75=0,Inputs!$E$28,IF(AND(A75&gt;=Inputs!$F$28,A75&lt;=Inputs!$G$28),Inputs!$I$28,0))</f>
        <v>0</v>
      </c>
      <c r="T75" s="2" t="n">
        <f aca="false">IF(A75=0,Inputs!$E$29,IF(AND(A75&gt;=Inputs!$F$29,A75&lt;=Inputs!$G$29),Inputs!$I$29,0))</f>
        <v>0</v>
      </c>
      <c r="U75" s="2" t="n">
        <f aca="false">SUM(C75:T75)</f>
        <v>1774821.25</v>
      </c>
      <c r="V75" s="2" t="n">
        <f aca="false">V74+U75</f>
        <v>698762512.500001</v>
      </c>
      <c r="W75" s="4" t="n">
        <f aca="false">V75/Inputs!$B$4</f>
        <v>0.698762512500001</v>
      </c>
    </row>
    <row r="76" customFormat="false" ht="15" hidden="false" customHeight="false" outlineLevel="0" collapsed="false">
      <c r="A76" s="0" t="n">
        <v>71</v>
      </c>
      <c r="B76" s="3" t="n">
        <f aca="false">EDATE(Inputs!$B$5,A76)</f>
        <v>48584</v>
      </c>
      <c r="C76" s="2" t="n">
        <f aca="false">IF(A76=0,Inputs!$E$12,IF(AND(A76&gt;=Inputs!$F$12,A76&lt;=Inputs!$G$12),Inputs!$I$12,0))</f>
        <v>0</v>
      </c>
      <c r="D76" s="2" t="n">
        <f aca="false">IF(A76=0,Inputs!$E$13,IF(AND(A76&gt;=Inputs!$F$13,A76&lt;=Inputs!$G$13),Inputs!$I$13,0))</f>
        <v>0</v>
      </c>
      <c r="E76" s="2" t="n">
        <f aca="false">IF(A76=0,Inputs!$E$14,IF(AND(A76&gt;=Inputs!$F$14,A76&lt;=Inputs!$G$14),Inputs!$I$14,0))</f>
        <v>0</v>
      </c>
      <c r="F76" s="2" t="n">
        <f aca="false">IF(A76=0,Inputs!$E$15,IF(AND(A76&gt;=Inputs!$F$15,A76&lt;=Inputs!$G$15),Inputs!$I$15,0))</f>
        <v>0</v>
      </c>
      <c r="G76" s="2" t="n">
        <f aca="false">IF(A76=0,Inputs!$E$16,IF(AND(A76&gt;=Inputs!$F$16,A76&lt;=Inputs!$G$16),Inputs!$I$16,0))</f>
        <v>0</v>
      </c>
      <c r="H76" s="2" t="n">
        <f aca="false">IF(A76=0,Inputs!$E$17,IF(AND(A76&gt;=Inputs!$F$17,A76&lt;=Inputs!$G$17),Inputs!$I$17,0))</f>
        <v>0</v>
      </c>
      <c r="I76" s="2" t="n">
        <f aca="false">IF(A76=0,Inputs!$E$18,IF(AND(A76&gt;=Inputs!$F$18,A76&lt;=Inputs!$G$18),Inputs!$I$18,0))</f>
        <v>0</v>
      </c>
      <c r="J76" s="2" t="n">
        <f aca="false">IF(A76=0,Inputs!$E$19,IF(AND(A76&gt;=Inputs!$F$19,A76&lt;=Inputs!$G$19),Inputs!$I$19,0))</f>
        <v>0</v>
      </c>
      <c r="K76" s="2" t="n">
        <f aca="false">IF(A76=0,Inputs!$E$20,IF(AND(A76&gt;=Inputs!$F$20,A76&lt;=Inputs!$G$20),Inputs!$I$20,0))</f>
        <v>0</v>
      </c>
      <c r="L76" s="2" t="n">
        <f aca="false">IF(A76=0,Inputs!$E$21,IF(AND(A76&gt;=Inputs!$F$21,A76&lt;=Inputs!$G$21),Inputs!$I$21,0))</f>
        <v>0</v>
      </c>
      <c r="M76" s="2" t="n">
        <f aca="false">IF(A76=0,Inputs!$E$22,IF(AND(A76&gt;=Inputs!$F$22,A76&lt;=Inputs!$G$22),Inputs!$I$22,0))</f>
        <v>0</v>
      </c>
      <c r="N76" s="2" t="n">
        <f aca="false">IF(A76&lt;Inputs!$B$9,0,IF(A76&lt;=12,Inputs!$B$8,Inputs!$B$6*(1-Inputs!$B$7)^(INT((A76-13)/12)+1)/12))</f>
        <v>1774821.25</v>
      </c>
      <c r="O76" s="2" t="n">
        <f aca="false">IF(A76=0,Inputs!$E$24,IF(AND(A76&gt;=Inputs!$F$24,A76&lt;=Inputs!$G$24),Inputs!$I$24,0))</f>
        <v>0</v>
      </c>
      <c r="P76" s="2" t="n">
        <f aca="false">IF(A76=0,Inputs!$E$25,IF(AND(A76&gt;=Inputs!$F$25,A76&lt;=Inputs!$G$25),Inputs!$I$25,0))</f>
        <v>0</v>
      </c>
      <c r="Q76" s="2" t="n">
        <f aca="false">IF(A76=0,Inputs!$E$26,IF(AND(A76&gt;=Inputs!$F$26,A76&lt;=Inputs!$G$26),Inputs!$I$26,0))</f>
        <v>0</v>
      </c>
      <c r="R76" s="2" t="n">
        <f aca="false">IF(A76=0,Inputs!$E$27,IF(AND(A76&gt;=Inputs!$F$27,A76&lt;=Inputs!$G$27),Inputs!$I$27,0))</f>
        <v>0</v>
      </c>
      <c r="S76" s="2" t="n">
        <f aca="false">IF(A76=0,Inputs!$E$28,IF(AND(A76&gt;=Inputs!$F$28,A76&lt;=Inputs!$G$28),Inputs!$I$28,0))</f>
        <v>0</v>
      </c>
      <c r="T76" s="2" t="n">
        <f aca="false">IF(A76=0,Inputs!$E$29,IF(AND(A76&gt;=Inputs!$F$29,A76&lt;=Inputs!$G$29),Inputs!$I$29,0))</f>
        <v>0</v>
      </c>
      <c r="U76" s="2" t="n">
        <f aca="false">SUM(C76:T76)</f>
        <v>1774821.25</v>
      </c>
      <c r="V76" s="2" t="n">
        <f aca="false">V75+U76</f>
        <v>700537333.750001</v>
      </c>
      <c r="W76" s="4" t="n">
        <f aca="false">V76/Inputs!$B$4</f>
        <v>0.700537333750001</v>
      </c>
    </row>
    <row r="77" customFormat="false" ht="15" hidden="false" customHeight="false" outlineLevel="0" collapsed="false">
      <c r="A77" s="0" t="n">
        <v>72</v>
      </c>
      <c r="B77" s="3" t="n">
        <f aca="false">EDATE(Inputs!$B$5,A77)</f>
        <v>48615</v>
      </c>
      <c r="C77" s="2" t="n">
        <f aca="false">IF(A77=0,Inputs!$E$12,IF(AND(A77&gt;=Inputs!$F$12,A77&lt;=Inputs!$G$12),Inputs!$I$12,0))</f>
        <v>0</v>
      </c>
      <c r="D77" s="2" t="n">
        <f aca="false">IF(A77=0,Inputs!$E$13,IF(AND(A77&gt;=Inputs!$F$13,A77&lt;=Inputs!$G$13),Inputs!$I$13,0))</f>
        <v>0</v>
      </c>
      <c r="E77" s="2" t="n">
        <f aca="false">IF(A77=0,Inputs!$E$14,IF(AND(A77&gt;=Inputs!$F$14,A77&lt;=Inputs!$G$14),Inputs!$I$14,0))</f>
        <v>0</v>
      </c>
      <c r="F77" s="2" t="n">
        <f aca="false">IF(A77=0,Inputs!$E$15,IF(AND(A77&gt;=Inputs!$F$15,A77&lt;=Inputs!$G$15),Inputs!$I$15,0))</f>
        <v>0</v>
      </c>
      <c r="G77" s="2" t="n">
        <f aca="false">IF(A77=0,Inputs!$E$16,IF(AND(A77&gt;=Inputs!$F$16,A77&lt;=Inputs!$G$16),Inputs!$I$16,0))</f>
        <v>0</v>
      </c>
      <c r="H77" s="2" t="n">
        <f aca="false">IF(A77=0,Inputs!$E$17,IF(AND(A77&gt;=Inputs!$F$17,A77&lt;=Inputs!$G$17),Inputs!$I$17,0))</f>
        <v>0</v>
      </c>
      <c r="I77" s="2" t="n">
        <f aca="false">IF(A77=0,Inputs!$E$18,IF(AND(A77&gt;=Inputs!$F$18,A77&lt;=Inputs!$G$18),Inputs!$I$18,0))</f>
        <v>0</v>
      </c>
      <c r="J77" s="2" t="n">
        <f aca="false">IF(A77=0,Inputs!$E$19,IF(AND(A77&gt;=Inputs!$F$19,A77&lt;=Inputs!$G$19),Inputs!$I$19,0))</f>
        <v>0</v>
      </c>
      <c r="K77" s="2" t="n">
        <f aca="false">IF(A77=0,Inputs!$E$20,IF(AND(A77&gt;=Inputs!$F$20,A77&lt;=Inputs!$G$20),Inputs!$I$20,0))</f>
        <v>0</v>
      </c>
      <c r="L77" s="2" t="n">
        <f aca="false">IF(A77=0,Inputs!$E$21,IF(AND(A77&gt;=Inputs!$F$21,A77&lt;=Inputs!$G$21),Inputs!$I$21,0))</f>
        <v>0</v>
      </c>
      <c r="M77" s="2" t="n">
        <f aca="false">IF(A77=0,Inputs!$E$22,IF(AND(A77&gt;=Inputs!$F$22,A77&lt;=Inputs!$G$22),Inputs!$I$22,0))</f>
        <v>0</v>
      </c>
      <c r="N77" s="2" t="n">
        <f aca="false">IF(A77&lt;Inputs!$B$9,0,IF(A77&lt;=12,Inputs!$B$8,Inputs!$B$6*(1-Inputs!$B$7)^(INT((A77-13)/12)+1)/12))</f>
        <v>1774821.25</v>
      </c>
      <c r="O77" s="2" t="n">
        <f aca="false">IF(A77=0,Inputs!$E$24,IF(AND(A77&gt;=Inputs!$F$24,A77&lt;=Inputs!$G$24),Inputs!$I$24,0))</f>
        <v>0</v>
      </c>
      <c r="P77" s="2" t="n">
        <f aca="false">IF(A77=0,Inputs!$E$25,IF(AND(A77&gt;=Inputs!$F$25,A77&lt;=Inputs!$G$25),Inputs!$I$25,0))</f>
        <v>0</v>
      </c>
      <c r="Q77" s="2" t="n">
        <f aca="false">IF(A77=0,Inputs!$E$26,IF(AND(A77&gt;=Inputs!$F$26,A77&lt;=Inputs!$G$26),Inputs!$I$26,0))</f>
        <v>0</v>
      </c>
      <c r="R77" s="2" t="n">
        <f aca="false">IF(A77=0,Inputs!$E$27,IF(AND(A77&gt;=Inputs!$F$27,A77&lt;=Inputs!$G$27),Inputs!$I$27,0))</f>
        <v>0</v>
      </c>
      <c r="S77" s="2" t="n">
        <f aca="false">IF(A77=0,Inputs!$E$28,IF(AND(A77&gt;=Inputs!$F$28,A77&lt;=Inputs!$G$28),Inputs!$I$28,0))</f>
        <v>0</v>
      </c>
      <c r="T77" s="2" t="n">
        <f aca="false">IF(A77=0,Inputs!$E$29,IF(AND(A77&gt;=Inputs!$F$29,A77&lt;=Inputs!$G$29),Inputs!$I$29,0))</f>
        <v>0</v>
      </c>
      <c r="U77" s="2" t="n">
        <f aca="false">SUM(C77:T77)</f>
        <v>1774821.25</v>
      </c>
      <c r="V77" s="2" t="n">
        <f aca="false">V76+U77</f>
        <v>702312155.000001</v>
      </c>
      <c r="W77" s="4" t="n">
        <f aca="false">V77/Inputs!$B$4</f>
        <v>0.702312155000001</v>
      </c>
    </row>
    <row r="78" customFormat="false" ht="15" hidden="false" customHeight="false" outlineLevel="0" collapsed="false">
      <c r="A78" s="0" t="n">
        <v>73</v>
      </c>
      <c r="B78" s="3" t="n">
        <f aca="false">EDATE(Inputs!$B$5,A78)</f>
        <v>48643</v>
      </c>
      <c r="C78" s="2" t="n">
        <f aca="false">IF(A78=0,Inputs!$E$12,IF(AND(A78&gt;=Inputs!$F$12,A78&lt;=Inputs!$G$12),Inputs!$I$12,0))</f>
        <v>0</v>
      </c>
      <c r="D78" s="2" t="n">
        <f aca="false">IF(A78=0,Inputs!$E$13,IF(AND(A78&gt;=Inputs!$F$13,A78&lt;=Inputs!$G$13),Inputs!$I$13,0))</f>
        <v>0</v>
      </c>
      <c r="E78" s="2" t="n">
        <f aca="false">IF(A78=0,Inputs!$E$14,IF(AND(A78&gt;=Inputs!$F$14,A78&lt;=Inputs!$G$14),Inputs!$I$14,0))</f>
        <v>0</v>
      </c>
      <c r="F78" s="2" t="n">
        <f aca="false">IF(A78=0,Inputs!$E$15,IF(AND(A78&gt;=Inputs!$F$15,A78&lt;=Inputs!$G$15),Inputs!$I$15,0))</f>
        <v>0</v>
      </c>
      <c r="G78" s="2" t="n">
        <f aca="false">IF(A78=0,Inputs!$E$16,IF(AND(A78&gt;=Inputs!$F$16,A78&lt;=Inputs!$G$16),Inputs!$I$16,0))</f>
        <v>0</v>
      </c>
      <c r="H78" s="2" t="n">
        <f aca="false">IF(A78=0,Inputs!$E$17,IF(AND(A78&gt;=Inputs!$F$17,A78&lt;=Inputs!$G$17),Inputs!$I$17,0))</f>
        <v>0</v>
      </c>
      <c r="I78" s="2" t="n">
        <f aca="false">IF(A78=0,Inputs!$E$18,IF(AND(A78&gt;=Inputs!$F$18,A78&lt;=Inputs!$G$18),Inputs!$I$18,0))</f>
        <v>0</v>
      </c>
      <c r="J78" s="2" t="n">
        <f aca="false">IF(A78=0,Inputs!$E$19,IF(AND(A78&gt;=Inputs!$F$19,A78&lt;=Inputs!$G$19),Inputs!$I$19,0))</f>
        <v>0</v>
      </c>
      <c r="K78" s="2" t="n">
        <f aca="false">IF(A78=0,Inputs!$E$20,IF(AND(A78&gt;=Inputs!$F$20,A78&lt;=Inputs!$G$20),Inputs!$I$20,0))</f>
        <v>0</v>
      </c>
      <c r="L78" s="2" t="n">
        <f aca="false">IF(A78=0,Inputs!$E$21,IF(AND(A78&gt;=Inputs!$F$21,A78&lt;=Inputs!$G$21),Inputs!$I$21,0))</f>
        <v>0</v>
      </c>
      <c r="M78" s="2" t="n">
        <f aca="false">IF(A78=0,Inputs!$E$22,IF(AND(A78&gt;=Inputs!$F$22,A78&lt;=Inputs!$G$22),Inputs!$I$22,0))</f>
        <v>0</v>
      </c>
      <c r="N78" s="2" t="n">
        <f aca="false">IF(A78&lt;Inputs!$B$9,0,IF(A78&lt;=12,Inputs!$B$8,Inputs!$B$6*(1-Inputs!$B$7)^(INT((A78-13)/12)+1)/12))</f>
        <v>1508598.0625</v>
      </c>
      <c r="O78" s="2" t="n">
        <f aca="false">IF(A78=0,Inputs!$E$24,IF(AND(A78&gt;=Inputs!$F$24,A78&lt;=Inputs!$G$24),Inputs!$I$24,0))</f>
        <v>0</v>
      </c>
      <c r="P78" s="2" t="n">
        <f aca="false">IF(A78=0,Inputs!$E$25,IF(AND(A78&gt;=Inputs!$F$25,A78&lt;=Inputs!$G$25),Inputs!$I$25,0))</f>
        <v>0</v>
      </c>
      <c r="Q78" s="2" t="n">
        <f aca="false">IF(A78=0,Inputs!$E$26,IF(AND(A78&gt;=Inputs!$F$26,A78&lt;=Inputs!$G$26),Inputs!$I$26,0))</f>
        <v>0</v>
      </c>
      <c r="R78" s="2" t="n">
        <f aca="false">IF(A78=0,Inputs!$E$27,IF(AND(A78&gt;=Inputs!$F$27,A78&lt;=Inputs!$G$27),Inputs!$I$27,0))</f>
        <v>0</v>
      </c>
      <c r="S78" s="2" t="n">
        <f aca="false">IF(A78=0,Inputs!$E$28,IF(AND(A78&gt;=Inputs!$F$28,A78&lt;=Inputs!$G$28),Inputs!$I$28,0))</f>
        <v>0</v>
      </c>
      <c r="T78" s="2" t="n">
        <f aca="false">IF(A78=0,Inputs!$E$29,IF(AND(A78&gt;=Inputs!$F$29,A78&lt;=Inputs!$G$29),Inputs!$I$29,0))</f>
        <v>0</v>
      </c>
      <c r="U78" s="2" t="n">
        <f aca="false">SUM(C78:T78)</f>
        <v>1508598.0625</v>
      </c>
      <c r="V78" s="2" t="n">
        <f aca="false">V77+U78</f>
        <v>703820753.062501</v>
      </c>
      <c r="W78" s="4" t="n">
        <f aca="false">V78/Inputs!$B$4</f>
        <v>0.703820753062501</v>
      </c>
    </row>
    <row r="79" customFormat="false" ht="15" hidden="false" customHeight="false" outlineLevel="0" collapsed="false">
      <c r="A79" s="0" t="n">
        <v>74</v>
      </c>
      <c r="B79" s="3" t="n">
        <f aca="false">EDATE(Inputs!$B$5,A79)</f>
        <v>48674</v>
      </c>
      <c r="C79" s="2" t="n">
        <f aca="false">IF(A79=0,Inputs!$E$12,IF(AND(A79&gt;=Inputs!$F$12,A79&lt;=Inputs!$G$12),Inputs!$I$12,0))</f>
        <v>0</v>
      </c>
      <c r="D79" s="2" t="n">
        <f aca="false">IF(A79=0,Inputs!$E$13,IF(AND(A79&gt;=Inputs!$F$13,A79&lt;=Inputs!$G$13),Inputs!$I$13,0))</f>
        <v>0</v>
      </c>
      <c r="E79" s="2" t="n">
        <f aca="false">IF(A79=0,Inputs!$E$14,IF(AND(A79&gt;=Inputs!$F$14,A79&lt;=Inputs!$G$14),Inputs!$I$14,0))</f>
        <v>0</v>
      </c>
      <c r="F79" s="2" t="n">
        <f aca="false">IF(A79=0,Inputs!$E$15,IF(AND(A79&gt;=Inputs!$F$15,A79&lt;=Inputs!$G$15),Inputs!$I$15,0))</f>
        <v>0</v>
      </c>
      <c r="G79" s="2" t="n">
        <f aca="false">IF(A79=0,Inputs!$E$16,IF(AND(A79&gt;=Inputs!$F$16,A79&lt;=Inputs!$G$16),Inputs!$I$16,0))</f>
        <v>0</v>
      </c>
      <c r="H79" s="2" t="n">
        <f aca="false">IF(A79=0,Inputs!$E$17,IF(AND(A79&gt;=Inputs!$F$17,A79&lt;=Inputs!$G$17),Inputs!$I$17,0))</f>
        <v>0</v>
      </c>
      <c r="I79" s="2" t="n">
        <f aca="false">IF(A79=0,Inputs!$E$18,IF(AND(A79&gt;=Inputs!$F$18,A79&lt;=Inputs!$G$18),Inputs!$I$18,0))</f>
        <v>0</v>
      </c>
      <c r="J79" s="2" t="n">
        <f aca="false">IF(A79=0,Inputs!$E$19,IF(AND(A79&gt;=Inputs!$F$19,A79&lt;=Inputs!$G$19),Inputs!$I$19,0))</f>
        <v>0</v>
      </c>
      <c r="K79" s="2" t="n">
        <f aca="false">IF(A79=0,Inputs!$E$20,IF(AND(A79&gt;=Inputs!$F$20,A79&lt;=Inputs!$G$20),Inputs!$I$20,0))</f>
        <v>0</v>
      </c>
      <c r="L79" s="2" t="n">
        <f aca="false">IF(A79=0,Inputs!$E$21,IF(AND(A79&gt;=Inputs!$F$21,A79&lt;=Inputs!$G$21),Inputs!$I$21,0))</f>
        <v>0</v>
      </c>
      <c r="M79" s="2" t="n">
        <f aca="false">IF(A79=0,Inputs!$E$22,IF(AND(A79&gt;=Inputs!$F$22,A79&lt;=Inputs!$G$22),Inputs!$I$22,0))</f>
        <v>0</v>
      </c>
      <c r="N79" s="2" t="n">
        <f aca="false">IF(A79&lt;Inputs!$B$9,0,IF(A79&lt;=12,Inputs!$B$8,Inputs!$B$6*(1-Inputs!$B$7)^(INT((A79-13)/12)+1)/12))</f>
        <v>1508598.0625</v>
      </c>
      <c r="O79" s="2" t="n">
        <f aca="false">IF(A79=0,Inputs!$E$24,IF(AND(A79&gt;=Inputs!$F$24,A79&lt;=Inputs!$G$24),Inputs!$I$24,0))</f>
        <v>0</v>
      </c>
      <c r="P79" s="2" t="n">
        <f aca="false">IF(A79=0,Inputs!$E$25,IF(AND(A79&gt;=Inputs!$F$25,A79&lt;=Inputs!$G$25),Inputs!$I$25,0))</f>
        <v>0</v>
      </c>
      <c r="Q79" s="2" t="n">
        <f aca="false">IF(A79=0,Inputs!$E$26,IF(AND(A79&gt;=Inputs!$F$26,A79&lt;=Inputs!$G$26),Inputs!$I$26,0))</f>
        <v>0</v>
      </c>
      <c r="R79" s="2" t="n">
        <f aca="false">IF(A79=0,Inputs!$E$27,IF(AND(A79&gt;=Inputs!$F$27,A79&lt;=Inputs!$G$27),Inputs!$I$27,0))</f>
        <v>0</v>
      </c>
      <c r="S79" s="2" t="n">
        <f aca="false">IF(A79=0,Inputs!$E$28,IF(AND(A79&gt;=Inputs!$F$28,A79&lt;=Inputs!$G$28),Inputs!$I$28,0))</f>
        <v>0</v>
      </c>
      <c r="T79" s="2" t="n">
        <f aca="false">IF(A79=0,Inputs!$E$29,IF(AND(A79&gt;=Inputs!$F$29,A79&lt;=Inputs!$G$29),Inputs!$I$29,0))</f>
        <v>0</v>
      </c>
      <c r="U79" s="2" t="n">
        <f aca="false">SUM(C79:T79)</f>
        <v>1508598.0625</v>
      </c>
      <c r="V79" s="2" t="n">
        <f aca="false">V78+U79</f>
        <v>705329351.125001</v>
      </c>
      <c r="W79" s="4" t="n">
        <f aca="false">V79/Inputs!$B$4</f>
        <v>0.705329351125001</v>
      </c>
    </row>
    <row r="80" customFormat="false" ht="15" hidden="false" customHeight="false" outlineLevel="0" collapsed="false">
      <c r="A80" s="0" t="n">
        <v>75</v>
      </c>
      <c r="B80" s="3" t="n">
        <f aca="false">EDATE(Inputs!$B$5,A80)</f>
        <v>48704</v>
      </c>
      <c r="C80" s="2" t="n">
        <f aca="false">IF(A80=0,Inputs!$E$12,IF(AND(A80&gt;=Inputs!$F$12,A80&lt;=Inputs!$G$12),Inputs!$I$12,0))</f>
        <v>0</v>
      </c>
      <c r="D80" s="2" t="n">
        <f aca="false">IF(A80=0,Inputs!$E$13,IF(AND(A80&gt;=Inputs!$F$13,A80&lt;=Inputs!$G$13),Inputs!$I$13,0))</f>
        <v>0</v>
      </c>
      <c r="E80" s="2" t="n">
        <f aca="false">IF(A80=0,Inputs!$E$14,IF(AND(A80&gt;=Inputs!$F$14,A80&lt;=Inputs!$G$14),Inputs!$I$14,0))</f>
        <v>0</v>
      </c>
      <c r="F80" s="2" t="n">
        <f aca="false">IF(A80=0,Inputs!$E$15,IF(AND(A80&gt;=Inputs!$F$15,A80&lt;=Inputs!$G$15),Inputs!$I$15,0))</f>
        <v>0</v>
      </c>
      <c r="G80" s="2" t="n">
        <f aca="false">IF(A80=0,Inputs!$E$16,IF(AND(A80&gt;=Inputs!$F$16,A80&lt;=Inputs!$G$16),Inputs!$I$16,0))</f>
        <v>0</v>
      </c>
      <c r="H80" s="2" t="n">
        <f aca="false">IF(A80=0,Inputs!$E$17,IF(AND(A80&gt;=Inputs!$F$17,A80&lt;=Inputs!$G$17),Inputs!$I$17,0))</f>
        <v>0</v>
      </c>
      <c r="I80" s="2" t="n">
        <f aca="false">IF(A80=0,Inputs!$E$18,IF(AND(A80&gt;=Inputs!$F$18,A80&lt;=Inputs!$G$18),Inputs!$I$18,0))</f>
        <v>0</v>
      </c>
      <c r="J80" s="2" t="n">
        <f aca="false">IF(A80=0,Inputs!$E$19,IF(AND(A80&gt;=Inputs!$F$19,A80&lt;=Inputs!$G$19),Inputs!$I$19,0))</f>
        <v>0</v>
      </c>
      <c r="K80" s="2" t="n">
        <f aca="false">IF(A80=0,Inputs!$E$20,IF(AND(A80&gt;=Inputs!$F$20,A80&lt;=Inputs!$G$20),Inputs!$I$20,0))</f>
        <v>0</v>
      </c>
      <c r="L80" s="2" t="n">
        <f aca="false">IF(A80=0,Inputs!$E$21,IF(AND(A80&gt;=Inputs!$F$21,A80&lt;=Inputs!$G$21),Inputs!$I$21,0))</f>
        <v>0</v>
      </c>
      <c r="M80" s="2" t="n">
        <f aca="false">IF(A80=0,Inputs!$E$22,IF(AND(A80&gt;=Inputs!$F$22,A80&lt;=Inputs!$G$22),Inputs!$I$22,0))</f>
        <v>0</v>
      </c>
      <c r="N80" s="2" t="n">
        <f aca="false">IF(A80&lt;Inputs!$B$9,0,IF(A80&lt;=12,Inputs!$B$8,Inputs!$B$6*(1-Inputs!$B$7)^(INT((A80-13)/12)+1)/12))</f>
        <v>1508598.0625</v>
      </c>
      <c r="O80" s="2" t="n">
        <f aca="false">IF(A80=0,Inputs!$E$24,IF(AND(A80&gt;=Inputs!$F$24,A80&lt;=Inputs!$G$24),Inputs!$I$24,0))</f>
        <v>0</v>
      </c>
      <c r="P80" s="2" t="n">
        <f aca="false">IF(A80=0,Inputs!$E$25,IF(AND(A80&gt;=Inputs!$F$25,A80&lt;=Inputs!$G$25),Inputs!$I$25,0))</f>
        <v>0</v>
      </c>
      <c r="Q80" s="2" t="n">
        <f aca="false">IF(A80=0,Inputs!$E$26,IF(AND(A80&gt;=Inputs!$F$26,A80&lt;=Inputs!$G$26),Inputs!$I$26,0))</f>
        <v>0</v>
      </c>
      <c r="R80" s="2" t="n">
        <f aca="false">IF(A80=0,Inputs!$E$27,IF(AND(A80&gt;=Inputs!$F$27,A80&lt;=Inputs!$G$27),Inputs!$I$27,0))</f>
        <v>0</v>
      </c>
      <c r="S80" s="2" t="n">
        <f aca="false">IF(A80=0,Inputs!$E$28,IF(AND(A80&gt;=Inputs!$F$28,A80&lt;=Inputs!$G$28),Inputs!$I$28,0))</f>
        <v>0</v>
      </c>
      <c r="T80" s="2" t="n">
        <f aca="false">IF(A80=0,Inputs!$E$29,IF(AND(A80&gt;=Inputs!$F$29,A80&lt;=Inputs!$G$29),Inputs!$I$29,0))</f>
        <v>0</v>
      </c>
      <c r="U80" s="2" t="n">
        <f aca="false">SUM(C80:T80)</f>
        <v>1508598.0625</v>
      </c>
      <c r="V80" s="2" t="n">
        <f aca="false">V79+U80</f>
        <v>706837949.187501</v>
      </c>
      <c r="W80" s="4" t="n">
        <f aca="false">V80/Inputs!$B$4</f>
        <v>0.706837949187501</v>
      </c>
    </row>
    <row r="81" customFormat="false" ht="15" hidden="false" customHeight="false" outlineLevel="0" collapsed="false">
      <c r="A81" s="0" t="n">
        <v>76</v>
      </c>
      <c r="B81" s="3" t="n">
        <f aca="false">EDATE(Inputs!$B$5,A81)</f>
        <v>48735</v>
      </c>
      <c r="C81" s="2" t="n">
        <f aca="false">IF(A81=0,Inputs!$E$12,IF(AND(A81&gt;=Inputs!$F$12,A81&lt;=Inputs!$G$12),Inputs!$I$12,0))</f>
        <v>0</v>
      </c>
      <c r="D81" s="2" t="n">
        <f aca="false">IF(A81=0,Inputs!$E$13,IF(AND(A81&gt;=Inputs!$F$13,A81&lt;=Inputs!$G$13),Inputs!$I$13,0))</f>
        <v>0</v>
      </c>
      <c r="E81" s="2" t="n">
        <f aca="false">IF(A81=0,Inputs!$E$14,IF(AND(A81&gt;=Inputs!$F$14,A81&lt;=Inputs!$G$14),Inputs!$I$14,0))</f>
        <v>0</v>
      </c>
      <c r="F81" s="2" t="n">
        <f aca="false">IF(A81=0,Inputs!$E$15,IF(AND(A81&gt;=Inputs!$F$15,A81&lt;=Inputs!$G$15),Inputs!$I$15,0))</f>
        <v>0</v>
      </c>
      <c r="G81" s="2" t="n">
        <f aca="false">IF(A81=0,Inputs!$E$16,IF(AND(A81&gt;=Inputs!$F$16,A81&lt;=Inputs!$G$16),Inputs!$I$16,0))</f>
        <v>0</v>
      </c>
      <c r="H81" s="2" t="n">
        <f aca="false">IF(A81=0,Inputs!$E$17,IF(AND(A81&gt;=Inputs!$F$17,A81&lt;=Inputs!$G$17),Inputs!$I$17,0))</f>
        <v>0</v>
      </c>
      <c r="I81" s="2" t="n">
        <f aca="false">IF(A81=0,Inputs!$E$18,IF(AND(A81&gt;=Inputs!$F$18,A81&lt;=Inputs!$G$18),Inputs!$I$18,0))</f>
        <v>0</v>
      </c>
      <c r="J81" s="2" t="n">
        <f aca="false">IF(A81=0,Inputs!$E$19,IF(AND(A81&gt;=Inputs!$F$19,A81&lt;=Inputs!$G$19),Inputs!$I$19,0))</f>
        <v>0</v>
      </c>
      <c r="K81" s="2" t="n">
        <f aca="false">IF(A81=0,Inputs!$E$20,IF(AND(A81&gt;=Inputs!$F$20,A81&lt;=Inputs!$G$20),Inputs!$I$20,0))</f>
        <v>0</v>
      </c>
      <c r="L81" s="2" t="n">
        <f aca="false">IF(A81=0,Inputs!$E$21,IF(AND(A81&gt;=Inputs!$F$21,A81&lt;=Inputs!$G$21),Inputs!$I$21,0))</f>
        <v>0</v>
      </c>
      <c r="M81" s="2" t="n">
        <f aca="false">IF(A81=0,Inputs!$E$22,IF(AND(A81&gt;=Inputs!$F$22,A81&lt;=Inputs!$G$22),Inputs!$I$22,0))</f>
        <v>0</v>
      </c>
      <c r="N81" s="2" t="n">
        <f aca="false">IF(A81&lt;Inputs!$B$9,0,IF(A81&lt;=12,Inputs!$B$8,Inputs!$B$6*(1-Inputs!$B$7)^(INT((A81-13)/12)+1)/12))</f>
        <v>1508598.0625</v>
      </c>
      <c r="O81" s="2" t="n">
        <f aca="false">IF(A81=0,Inputs!$E$24,IF(AND(A81&gt;=Inputs!$F$24,A81&lt;=Inputs!$G$24),Inputs!$I$24,0))</f>
        <v>0</v>
      </c>
      <c r="P81" s="2" t="n">
        <f aca="false">IF(A81=0,Inputs!$E$25,IF(AND(A81&gt;=Inputs!$F$25,A81&lt;=Inputs!$G$25),Inputs!$I$25,0))</f>
        <v>0</v>
      </c>
      <c r="Q81" s="2" t="n">
        <f aca="false">IF(A81=0,Inputs!$E$26,IF(AND(A81&gt;=Inputs!$F$26,A81&lt;=Inputs!$G$26),Inputs!$I$26,0))</f>
        <v>0</v>
      </c>
      <c r="R81" s="2" t="n">
        <f aca="false">IF(A81=0,Inputs!$E$27,IF(AND(A81&gt;=Inputs!$F$27,A81&lt;=Inputs!$G$27),Inputs!$I$27,0))</f>
        <v>0</v>
      </c>
      <c r="S81" s="2" t="n">
        <f aca="false">IF(A81=0,Inputs!$E$28,IF(AND(A81&gt;=Inputs!$F$28,A81&lt;=Inputs!$G$28),Inputs!$I$28,0))</f>
        <v>0</v>
      </c>
      <c r="T81" s="2" t="n">
        <f aca="false">IF(A81=0,Inputs!$E$29,IF(AND(A81&gt;=Inputs!$F$29,A81&lt;=Inputs!$G$29),Inputs!$I$29,0))</f>
        <v>0</v>
      </c>
      <c r="U81" s="2" t="n">
        <f aca="false">SUM(C81:T81)</f>
        <v>1508598.0625</v>
      </c>
      <c r="V81" s="2" t="n">
        <f aca="false">V80+U81</f>
        <v>708346547.250001</v>
      </c>
      <c r="W81" s="4" t="n">
        <f aca="false">V81/Inputs!$B$4</f>
        <v>0.708346547250001</v>
      </c>
    </row>
    <row r="82" customFormat="false" ht="15" hidden="false" customHeight="false" outlineLevel="0" collapsed="false">
      <c r="A82" s="0" t="n">
        <v>77</v>
      </c>
      <c r="B82" s="3" t="n">
        <f aca="false">EDATE(Inputs!$B$5,A82)</f>
        <v>48765</v>
      </c>
      <c r="C82" s="2" t="n">
        <f aca="false">IF(A82=0,Inputs!$E$12,IF(AND(A82&gt;=Inputs!$F$12,A82&lt;=Inputs!$G$12),Inputs!$I$12,0))</f>
        <v>0</v>
      </c>
      <c r="D82" s="2" t="n">
        <f aca="false">IF(A82=0,Inputs!$E$13,IF(AND(A82&gt;=Inputs!$F$13,A82&lt;=Inputs!$G$13),Inputs!$I$13,0))</f>
        <v>0</v>
      </c>
      <c r="E82" s="2" t="n">
        <f aca="false">IF(A82=0,Inputs!$E$14,IF(AND(A82&gt;=Inputs!$F$14,A82&lt;=Inputs!$G$14),Inputs!$I$14,0))</f>
        <v>0</v>
      </c>
      <c r="F82" s="2" t="n">
        <f aca="false">IF(A82=0,Inputs!$E$15,IF(AND(A82&gt;=Inputs!$F$15,A82&lt;=Inputs!$G$15),Inputs!$I$15,0))</f>
        <v>0</v>
      </c>
      <c r="G82" s="2" t="n">
        <f aca="false">IF(A82=0,Inputs!$E$16,IF(AND(A82&gt;=Inputs!$F$16,A82&lt;=Inputs!$G$16),Inputs!$I$16,0))</f>
        <v>0</v>
      </c>
      <c r="H82" s="2" t="n">
        <f aca="false">IF(A82=0,Inputs!$E$17,IF(AND(A82&gt;=Inputs!$F$17,A82&lt;=Inputs!$G$17),Inputs!$I$17,0))</f>
        <v>0</v>
      </c>
      <c r="I82" s="2" t="n">
        <f aca="false">IF(A82=0,Inputs!$E$18,IF(AND(A82&gt;=Inputs!$F$18,A82&lt;=Inputs!$G$18),Inputs!$I$18,0))</f>
        <v>0</v>
      </c>
      <c r="J82" s="2" t="n">
        <f aca="false">IF(A82=0,Inputs!$E$19,IF(AND(A82&gt;=Inputs!$F$19,A82&lt;=Inputs!$G$19),Inputs!$I$19,0))</f>
        <v>0</v>
      </c>
      <c r="K82" s="2" t="n">
        <f aca="false">IF(A82=0,Inputs!$E$20,IF(AND(A82&gt;=Inputs!$F$20,A82&lt;=Inputs!$G$20),Inputs!$I$20,0))</f>
        <v>0</v>
      </c>
      <c r="L82" s="2" t="n">
        <f aca="false">IF(A82=0,Inputs!$E$21,IF(AND(A82&gt;=Inputs!$F$21,A82&lt;=Inputs!$G$21),Inputs!$I$21,0))</f>
        <v>0</v>
      </c>
      <c r="M82" s="2" t="n">
        <f aca="false">IF(A82=0,Inputs!$E$22,IF(AND(A82&gt;=Inputs!$F$22,A82&lt;=Inputs!$G$22),Inputs!$I$22,0))</f>
        <v>0</v>
      </c>
      <c r="N82" s="2" t="n">
        <f aca="false">IF(A82&lt;Inputs!$B$9,0,IF(A82&lt;=12,Inputs!$B$8,Inputs!$B$6*(1-Inputs!$B$7)^(INT((A82-13)/12)+1)/12))</f>
        <v>1508598.0625</v>
      </c>
      <c r="O82" s="2" t="n">
        <f aca="false">IF(A82=0,Inputs!$E$24,IF(AND(A82&gt;=Inputs!$F$24,A82&lt;=Inputs!$G$24),Inputs!$I$24,0))</f>
        <v>0</v>
      </c>
      <c r="P82" s="2" t="n">
        <f aca="false">IF(A82=0,Inputs!$E$25,IF(AND(A82&gt;=Inputs!$F$25,A82&lt;=Inputs!$G$25),Inputs!$I$25,0))</f>
        <v>0</v>
      </c>
      <c r="Q82" s="2" t="n">
        <f aca="false">IF(A82=0,Inputs!$E$26,IF(AND(A82&gt;=Inputs!$F$26,A82&lt;=Inputs!$G$26),Inputs!$I$26,0))</f>
        <v>0</v>
      </c>
      <c r="R82" s="2" t="n">
        <f aca="false">IF(A82=0,Inputs!$E$27,IF(AND(A82&gt;=Inputs!$F$27,A82&lt;=Inputs!$G$27),Inputs!$I$27,0))</f>
        <v>0</v>
      </c>
      <c r="S82" s="2" t="n">
        <f aca="false">IF(A82=0,Inputs!$E$28,IF(AND(A82&gt;=Inputs!$F$28,A82&lt;=Inputs!$G$28),Inputs!$I$28,0))</f>
        <v>0</v>
      </c>
      <c r="T82" s="2" t="n">
        <f aca="false">IF(A82=0,Inputs!$E$29,IF(AND(A82&gt;=Inputs!$F$29,A82&lt;=Inputs!$G$29),Inputs!$I$29,0))</f>
        <v>0</v>
      </c>
      <c r="U82" s="2" t="n">
        <f aca="false">SUM(C82:T82)</f>
        <v>1508598.0625</v>
      </c>
      <c r="V82" s="2" t="n">
        <f aca="false">V81+U82</f>
        <v>709855145.312501</v>
      </c>
      <c r="W82" s="4" t="n">
        <f aca="false">V82/Inputs!$B$4</f>
        <v>0.709855145312501</v>
      </c>
    </row>
    <row r="83" customFormat="false" ht="15" hidden="false" customHeight="false" outlineLevel="0" collapsed="false">
      <c r="A83" s="0" t="n">
        <v>78</v>
      </c>
      <c r="B83" s="3" t="n">
        <f aca="false">EDATE(Inputs!$B$5,A83)</f>
        <v>48796</v>
      </c>
      <c r="C83" s="2" t="n">
        <f aca="false">IF(A83=0,Inputs!$E$12,IF(AND(A83&gt;=Inputs!$F$12,A83&lt;=Inputs!$G$12),Inputs!$I$12,0))</f>
        <v>0</v>
      </c>
      <c r="D83" s="2" t="n">
        <f aca="false">IF(A83=0,Inputs!$E$13,IF(AND(A83&gt;=Inputs!$F$13,A83&lt;=Inputs!$G$13),Inputs!$I$13,0))</f>
        <v>0</v>
      </c>
      <c r="E83" s="2" t="n">
        <f aca="false">IF(A83=0,Inputs!$E$14,IF(AND(A83&gt;=Inputs!$F$14,A83&lt;=Inputs!$G$14),Inputs!$I$14,0))</f>
        <v>0</v>
      </c>
      <c r="F83" s="2" t="n">
        <f aca="false">IF(A83=0,Inputs!$E$15,IF(AND(A83&gt;=Inputs!$F$15,A83&lt;=Inputs!$G$15),Inputs!$I$15,0))</f>
        <v>0</v>
      </c>
      <c r="G83" s="2" t="n">
        <f aca="false">IF(A83=0,Inputs!$E$16,IF(AND(A83&gt;=Inputs!$F$16,A83&lt;=Inputs!$G$16),Inputs!$I$16,0))</f>
        <v>0</v>
      </c>
      <c r="H83" s="2" t="n">
        <f aca="false">IF(A83=0,Inputs!$E$17,IF(AND(A83&gt;=Inputs!$F$17,A83&lt;=Inputs!$G$17),Inputs!$I$17,0))</f>
        <v>0</v>
      </c>
      <c r="I83" s="2" t="n">
        <f aca="false">IF(A83=0,Inputs!$E$18,IF(AND(A83&gt;=Inputs!$F$18,A83&lt;=Inputs!$G$18),Inputs!$I$18,0))</f>
        <v>0</v>
      </c>
      <c r="J83" s="2" t="n">
        <f aca="false">IF(A83=0,Inputs!$E$19,IF(AND(A83&gt;=Inputs!$F$19,A83&lt;=Inputs!$G$19),Inputs!$I$19,0))</f>
        <v>0</v>
      </c>
      <c r="K83" s="2" t="n">
        <f aca="false">IF(A83=0,Inputs!$E$20,IF(AND(A83&gt;=Inputs!$F$20,A83&lt;=Inputs!$G$20),Inputs!$I$20,0))</f>
        <v>0</v>
      </c>
      <c r="L83" s="2" t="n">
        <f aca="false">IF(A83=0,Inputs!$E$21,IF(AND(A83&gt;=Inputs!$F$21,A83&lt;=Inputs!$G$21),Inputs!$I$21,0))</f>
        <v>0</v>
      </c>
      <c r="M83" s="2" t="n">
        <f aca="false">IF(A83=0,Inputs!$E$22,IF(AND(A83&gt;=Inputs!$F$22,A83&lt;=Inputs!$G$22),Inputs!$I$22,0))</f>
        <v>0</v>
      </c>
      <c r="N83" s="2" t="n">
        <f aca="false">IF(A83&lt;Inputs!$B$9,0,IF(A83&lt;=12,Inputs!$B$8,Inputs!$B$6*(1-Inputs!$B$7)^(INT((A83-13)/12)+1)/12))</f>
        <v>1508598.0625</v>
      </c>
      <c r="O83" s="2" t="n">
        <f aca="false">IF(A83=0,Inputs!$E$24,IF(AND(A83&gt;=Inputs!$F$24,A83&lt;=Inputs!$G$24),Inputs!$I$24,0))</f>
        <v>0</v>
      </c>
      <c r="P83" s="2" t="n">
        <f aca="false">IF(A83=0,Inputs!$E$25,IF(AND(A83&gt;=Inputs!$F$25,A83&lt;=Inputs!$G$25),Inputs!$I$25,0))</f>
        <v>0</v>
      </c>
      <c r="Q83" s="2" t="n">
        <f aca="false">IF(A83=0,Inputs!$E$26,IF(AND(A83&gt;=Inputs!$F$26,A83&lt;=Inputs!$G$26),Inputs!$I$26,0))</f>
        <v>0</v>
      </c>
      <c r="R83" s="2" t="n">
        <f aca="false">IF(A83=0,Inputs!$E$27,IF(AND(A83&gt;=Inputs!$F$27,A83&lt;=Inputs!$G$27),Inputs!$I$27,0))</f>
        <v>0</v>
      </c>
      <c r="S83" s="2" t="n">
        <f aca="false">IF(A83=0,Inputs!$E$28,IF(AND(A83&gt;=Inputs!$F$28,A83&lt;=Inputs!$G$28),Inputs!$I$28,0))</f>
        <v>0</v>
      </c>
      <c r="T83" s="2" t="n">
        <f aca="false">IF(A83=0,Inputs!$E$29,IF(AND(A83&gt;=Inputs!$F$29,A83&lt;=Inputs!$G$29),Inputs!$I$29,0))</f>
        <v>0</v>
      </c>
      <c r="U83" s="2" t="n">
        <f aca="false">SUM(C83:T83)</f>
        <v>1508598.0625</v>
      </c>
      <c r="V83" s="2" t="n">
        <f aca="false">V82+U83</f>
        <v>711363743.375001</v>
      </c>
      <c r="W83" s="4" t="n">
        <f aca="false">V83/Inputs!$B$4</f>
        <v>0.711363743375001</v>
      </c>
    </row>
    <row r="84" customFormat="false" ht="15" hidden="false" customHeight="false" outlineLevel="0" collapsed="false">
      <c r="A84" s="0" t="n">
        <v>79</v>
      </c>
      <c r="B84" s="3" t="n">
        <f aca="false">EDATE(Inputs!$B$5,A84)</f>
        <v>48827</v>
      </c>
      <c r="C84" s="2" t="n">
        <f aca="false">IF(A84=0,Inputs!$E$12,IF(AND(A84&gt;=Inputs!$F$12,A84&lt;=Inputs!$G$12),Inputs!$I$12,0))</f>
        <v>0</v>
      </c>
      <c r="D84" s="2" t="n">
        <f aca="false">IF(A84=0,Inputs!$E$13,IF(AND(A84&gt;=Inputs!$F$13,A84&lt;=Inputs!$G$13),Inputs!$I$13,0))</f>
        <v>0</v>
      </c>
      <c r="E84" s="2" t="n">
        <f aca="false">IF(A84=0,Inputs!$E$14,IF(AND(A84&gt;=Inputs!$F$14,A84&lt;=Inputs!$G$14),Inputs!$I$14,0))</f>
        <v>0</v>
      </c>
      <c r="F84" s="2" t="n">
        <f aca="false">IF(A84=0,Inputs!$E$15,IF(AND(A84&gt;=Inputs!$F$15,A84&lt;=Inputs!$G$15),Inputs!$I$15,0))</f>
        <v>0</v>
      </c>
      <c r="G84" s="2" t="n">
        <f aca="false">IF(A84=0,Inputs!$E$16,IF(AND(A84&gt;=Inputs!$F$16,A84&lt;=Inputs!$G$16),Inputs!$I$16,0))</f>
        <v>0</v>
      </c>
      <c r="H84" s="2" t="n">
        <f aca="false">IF(A84=0,Inputs!$E$17,IF(AND(A84&gt;=Inputs!$F$17,A84&lt;=Inputs!$G$17),Inputs!$I$17,0))</f>
        <v>0</v>
      </c>
      <c r="I84" s="2" t="n">
        <f aca="false">IF(A84=0,Inputs!$E$18,IF(AND(A84&gt;=Inputs!$F$18,A84&lt;=Inputs!$G$18),Inputs!$I$18,0))</f>
        <v>0</v>
      </c>
      <c r="J84" s="2" t="n">
        <f aca="false">IF(A84=0,Inputs!$E$19,IF(AND(A84&gt;=Inputs!$F$19,A84&lt;=Inputs!$G$19),Inputs!$I$19,0))</f>
        <v>0</v>
      </c>
      <c r="K84" s="2" t="n">
        <f aca="false">IF(A84=0,Inputs!$E$20,IF(AND(A84&gt;=Inputs!$F$20,A84&lt;=Inputs!$G$20),Inputs!$I$20,0))</f>
        <v>0</v>
      </c>
      <c r="L84" s="2" t="n">
        <f aca="false">IF(A84=0,Inputs!$E$21,IF(AND(A84&gt;=Inputs!$F$21,A84&lt;=Inputs!$G$21),Inputs!$I$21,0))</f>
        <v>0</v>
      </c>
      <c r="M84" s="2" t="n">
        <f aca="false">IF(A84=0,Inputs!$E$22,IF(AND(A84&gt;=Inputs!$F$22,A84&lt;=Inputs!$G$22),Inputs!$I$22,0))</f>
        <v>0</v>
      </c>
      <c r="N84" s="2" t="n">
        <f aca="false">IF(A84&lt;Inputs!$B$9,0,IF(A84&lt;=12,Inputs!$B$8,Inputs!$B$6*(1-Inputs!$B$7)^(INT((A84-13)/12)+1)/12))</f>
        <v>1508598.0625</v>
      </c>
      <c r="O84" s="2" t="n">
        <f aca="false">IF(A84=0,Inputs!$E$24,IF(AND(A84&gt;=Inputs!$F$24,A84&lt;=Inputs!$G$24),Inputs!$I$24,0))</f>
        <v>0</v>
      </c>
      <c r="P84" s="2" t="n">
        <f aca="false">IF(A84=0,Inputs!$E$25,IF(AND(A84&gt;=Inputs!$F$25,A84&lt;=Inputs!$G$25),Inputs!$I$25,0))</f>
        <v>0</v>
      </c>
      <c r="Q84" s="2" t="n">
        <f aca="false">IF(A84=0,Inputs!$E$26,IF(AND(A84&gt;=Inputs!$F$26,A84&lt;=Inputs!$G$26),Inputs!$I$26,0))</f>
        <v>0</v>
      </c>
      <c r="R84" s="2" t="n">
        <f aca="false">IF(A84=0,Inputs!$E$27,IF(AND(A84&gt;=Inputs!$F$27,A84&lt;=Inputs!$G$27),Inputs!$I$27,0))</f>
        <v>0</v>
      </c>
      <c r="S84" s="2" t="n">
        <f aca="false">IF(A84=0,Inputs!$E$28,IF(AND(A84&gt;=Inputs!$F$28,A84&lt;=Inputs!$G$28),Inputs!$I$28,0))</f>
        <v>0</v>
      </c>
      <c r="T84" s="2" t="n">
        <f aca="false">IF(A84=0,Inputs!$E$29,IF(AND(A84&gt;=Inputs!$F$29,A84&lt;=Inputs!$G$29),Inputs!$I$29,0))</f>
        <v>0</v>
      </c>
      <c r="U84" s="2" t="n">
        <f aca="false">SUM(C84:T84)</f>
        <v>1508598.0625</v>
      </c>
      <c r="V84" s="2" t="n">
        <f aca="false">V83+U84</f>
        <v>712872341.437501</v>
      </c>
      <c r="W84" s="4" t="n">
        <f aca="false">V84/Inputs!$B$4</f>
        <v>0.712872341437501</v>
      </c>
    </row>
    <row r="85" customFormat="false" ht="15" hidden="false" customHeight="false" outlineLevel="0" collapsed="false">
      <c r="A85" s="0" t="n">
        <v>80</v>
      </c>
      <c r="B85" s="3" t="n">
        <f aca="false">EDATE(Inputs!$B$5,A85)</f>
        <v>48857</v>
      </c>
      <c r="C85" s="2" t="n">
        <f aca="false">IF(A85=0,Inputs!$E$12,IF(AND(A85&gt;=Inputs!$F$12,A85&lt;=Inputs!$G$12),Inputs!$I$12,0))</f>
        <v>0</v>
      </c>
      <c r="D85" s="2" t="n">
        <f aca="false">IF(A85=0,Inputs!$E$13,IF(AND(A85&gt;=Inputs!$F$13,A85&lt;=Inputs!$G$13),Inputs!$I$13,0))</f>
        <v>0</v>
      </c>
      <c r="E85" s="2" t="n">
        <f aca="false">IF(A85=0,Inputs!$E$14,IF(AND(A85&gt;=Inputs!$F$14,A85&lt;=Inputs!$G$14),Inputs!$I$14,0))</f>
        <v>0</v>
      </c>
      <c r="F85" s="2" t="n">
        <f aca="false">IF(A85=0,Inputs!$E$15,IF(AND(A85&gt;=Inputs!$F$15,A85&lt;=Inputs!$G$15),Inputs!$I$15,0))</f>
        <v>0</v>
      </c>
      <c r="G85" s="2" t="n">
        <f aca="false">IF(A85=0,Inputs!$E$16,IF(AND(A85&gt;=Inputs!$F$16,A85&lt;=Inputs!$G$16),Inputs!$I$16,0))</f>
        <v>0</v>
      </c>
      <c r="H85" s="2" t="n">
        <f aca="false">IF(A85=0,Inputs!$E$17,IF(AND(A85&gt;=Inputs!$F$17,A85&lt;=Inputs!$G$17),Inputs!$I$17,0))</f>
        <v>0</v>
      </c>
      <c r="I85" s="2" t="n">
        <f aca="false">IF(A85=0,Inputs!$E$18,IF(AND(A85&gt;=Inputs!$F$18,A85&lt;=Inputs!$G$18),Inputs!$I$18,0))</f>
        <v>0</v>
      </c>
      <c r="J85" s="2" t="n">
        <f aca="false">IF(A85=0,Inputs!$E$19,IF(AND(A85&gt;=Inputs!$F$19,A85&lt;=Inputs!$G$19),Inputs!$I$19,0))</f>
        <v>0</v>
      </c>
      <c r="K85" s="2" t="n">
        <f aca="false">IF(A85=0,Inputs!$E$20,IF(AND(A85&gt;=Inputs!$F$20,A85&lt;=Inputs!$G$20),Inputs!$I$20,0))</f>
        <v>0</v>
      </c>
      <c r="L85" s="2" t="n">
        <f aca="false">IF(A85=0,Inputs!$E$21,IF(AND(A85&gt;=Inputs!$F$21,A85&lt;=Inputs!$G$21),Inputs!$I$21,0))</f>
        <v>0</v>
      </c>
      <c r="M85" s="2" t="n">
        <f aca="false">IF(A85=0,Inputs!$E$22,IF(AND(A85&gt;=Inputs!$F$22,A85&lt;=Inputs!$G$22),Inputs!$I$22,0))</f>
        <v>0</v>
      </c>
      <c r="N85" s="2" t="n">
        <f aca="false">IF(A85&lt;Inputs!$B$9,0,IF(A85&lt;=12,Inputs!$B$8,Inputs!$B$6*(1-Inputs!$B$7)^(INT((A85-13)/12)+1)/12))</f>
        <v>1508598.0625</v>
      </c>
      <c r="O85" s="2" t="n">
        <f aca="false">IF(A85=0,Inputs!$E$24,IF(AND(A85&gt;=Inputs!$F$24,A85&lt;=Inputs!$G$24),Inputs!$I$24,0))</f>
        <v>0</v>
      </c>
      <c r="P85" s="2" t="n">
        <f aca="false">IF(A85=0,Inputs!$E$25,IF(AND(A85&gt;=Inputs!$F$25,A85&lt;=Inputs!$G$25),Inputs!$I$25,0))</f>
        <v>0</v>
      </c>
      <c r="Q85" s="2" t="n">
        <f aca="false">IF(A85=0,Inputs!$E$26,IF(AND(A85&gt;=Inputs!$F$26,A85&lt;=Inputs!$G$26),Inputs!$I$26,0))</f>
        <v>0</v>
      </c>
      <c r="R85" s="2" t="n">
        <f aca="false">IF(A85=0,Inputs!$E$27,IF(AND(A85&gt;=Inputs!$F$27,A85&lt;=Inputs!$G$27),Inputs!$I$27,0))</f>
        <v>0</v>
      </c>
      <c r="S85" s="2" t="n">
        <f aca="false">IF(A85=0,Inputs!$E$28,IF(AND(A85&gt;=Inputs!$F$28,A85&lt;=Inputs!$G$28),Inputs!$I$28,0))</f>
        <v>0</v>
      </c>
      <c r="T85" s="2" t="n">
        <f aca="false">IF(A85=0,Inputs!$E$29,IF(AND(A85&gt;=Inputs!$F$29,A85&lt;=Inputs!$G$29),Inputs!$I$29,0))</f>
        <v>0</v>
      </c>
      <c r="U85" s="2" t="n">
        <f aca="false">SUM(C85:T85)</f>
        <v>1508598.0625</v>
      </c>
      <c r="V85" s="2" t="n">
        <f aca="false">V84+U85</f>
        <v>714380939.500001</v>
      </c>
      <c r="W85" s="4" t="n">
        <f aca="false">V85/Inputs!$B$4</f>
        <v>0.714380939500001</v>
      </c>
    </row>
    <row r="86" customFormat="false" ht="15" hidden="false" customHeight="false" outlineLevel="0" collapsed="false">
      <c r="A86" s="0" t="n">
        <v>81</v>
      </c>
      <c r="B86" s="3" t="n">
        <f aca="false">EDATE(Inputs!$B$5,A86)</f>
        <v>48888</v>
      </c>
      <c r="C86" s="2" t="n">
        <f aca="false">IF(A86=0,Inputs!$E$12,IF(AND(A86&gt;=Inputs!$F$12,A86&lt;=Inputs!$G$12),Inputs!$I$12,0))</f>
        <v>0</v>
      </c>
      <c r="D86" s="2" t="n">
        <f aca="false">IF(A86=0,Inputs!$E$13,IF(AND(A86&gt;=Inputs!$F$13,A86&lt;=Inputs!$G$13),Inputs!$I$13,0))</f>
        <v>0</v>
      </c>
      <c r="E86" s="2" t="n">
        <f aca="false">IF(A86=0,Inputs!$E$14,IF(AND(A86&gt;=Inputs!$F$14,A86&lt;=Inputs!$G$14),Inputs!$I$14,0))</f>
        <v>0</v>
      </c>
      <c r="F86" s="2" t="n">
        <f aca="false">IF(A86=0,Inputs!$E$15,IF(AND(A86&gt;=Inputs!$F$15,A86&lt;=Inputs!$G$15),Inputs!$I$15,0))</f>
        <v>0</v>
      </c>
      <c r="G86" s="2" t="n">
        <f aca="false">IF(A86=0,Inputs!$E$16,IF(AND(A86&gt;=Inputs!$F$16,A86&lt;=Inputs!$G$16),Inputs!$I$16,0))</f>
        <v>0</v>
      </c>
      <c r="H86" s="2" t="n">
        <f aca="false">IF(A86=0,Inputs!$E$17,IF(AND(A86&gt;=Inputs!$F$17,A86&lt;=Inputs!$G$17),Inputs!$I$17,0))</f>
        <v>0</v>
      </c>
      <c r="I86" s="2" t="n">
        <f aca="false">IF(A86=0,Inputs!$E$18,IF(AND(A86&gt;=Inputs!$F$18,A86&lt;=Inputs!$G$18),Inputs!$I$18,0))</f>
        <v>0</v>
      </c>
      <c r="J86" s="2" t="n">
        <f aca="false">IF(A86=0,Inputs!$E$19,IF(AND(A86&gt;=Inputs!$F$19,A86&lt;=Inputs!$G$19),Inputs!$I$19,0))</f>
        <v>0</v>
      </c>
      <c r="K86" s="2" t="n">
        <f aca="false">IF(A86=0,Inputs!$E$20,IF(AND(A86&gt;=Inputs!$F$20,A86&lt;=Inputs!$G$20),Inputs!$I$20,0))</f>
        <v>0</v>
      </c>
      <c r="L86" s="2" t="n">
        <f aca="false">IF(A86=0,Inputs!$E$21,IF(AND(A86&gt;=Inputs!$F$21,A86&lt;=Inputs!$G$21),Inputs!$I$21,0))</f>
        <v>0</v>
      </c>
      <c r="M86" s="2" t="n">
        <f aca="false">IF(A86=0,Inputs!$E$22,IF(AND(A86&gt;=Inputs!$F$22,A86&lt;=Inputs!$G$22),Inputs!$I$22,0))</f>
        <v>0</v>
      </c>
      <c r="N86" s="2" t="n">
        <f aca="false">IF(A86&lt;Inputs!$B$9,0,IF(A86&lt;=12,Inputs!$B$8,Inputs!$B$6*(1-Inputs!$B$7)^(INT((A86-13)/12)+1)/12))</f>
        <v>1508598.0625</v>
      </c>
      <c r="O86" s="2" t="n">
        <f aca="false">IF(A86=0,Inputs!$E$24,IF(AND(A86&gt;=Inputs!$F$24,A86&lt;=Inputs!$G$24),Inputs!$I$24,0))</f>
        <v>0</v>
      </c>
      <c r="P86" s="2" t="n">
        <f aca="false">IF(A86=0,Inputs!$E$25,IF(AND(A86&gt;=Inputs!$F$25,A86&lt;=Inputs!$G$25),Inputs!$I$25,0))</f>
        <v>0</v>
      </c>
      <c r="Q86" s="2" t="n">
        <f aca="false">IF(A86=0,Inputs!$E$26,IF(AND(A86&gt;=Inputs!$F$26,A86&lt;=Inputs!$G$26),Inputs!$I$26,0))</f>
        <v>0</v>
      </c>
      <c r="R86" s="2" t="n">
        <f aca="false">IF(A86=0,Inputs!$E$27,IF(AND(A86&gt;=Inputs!$F$27,A86&lt;=Inputs!$G$27),Inputs!$I$27,0))</f>
        <v>0</v>
      </c>
      <c r="S86" s="2" t="n">
        <f aca="false">IF(A86=0,Inputs!$E$28,IF(AND(A86&gt;=Inputs!$F$28,A86&lt;=Inputs!$G$28),Inputs!$I$28,0))</f>
        <v>0</v>
      </c>
      <c r="T86" s="2" t="n">
        <f aca="false">IF(A86=0,Inputs!$E$29,IF(AND(A86&gt;=Inputs!$F$29,A86&lt;=Inputs!$G$29),Inputs!$I$29,0))</f>
        <v>0</v>
      </c>
      <c r="U86" s="2" t="n">
        <f aca="false">SUM(C86:T86)</f>
        <v>1508598.0625</v>
      </c>
      <c r="V86" s="2" t="n">
        <f aca="false">V85+U86</f>
        <v>715889537.562501</v>
      </c>
      <c r="W86" s="4" t="n">
        <f aca="false">V86/Inputs!$B$4</f>
        <v>0.715889537562501</v>
      </c>
    </row>
    <row r="87" customFormat="false" ht="15" hidden="false" customHeight="false" outlineLevel="0" collapsed="false">
      <c r="A87" s="0" t="n">
        <v>82</v>
      </c>
      <c r="B87" s="3" t="n">
        <f aca="false">EDATE(Inputs!$B$5,A87)</f>
        <v>48918</v>
      </c>
      <c r="C87" s="2" t="n">
        <f aca="false">IF(A87=0,Inputs!$E$12,IF(AND(A87&gt;=Inputs!$F$12,A87&lt;=Inputs!$G$12),Inputs!$I$12,0))</f>
        <v>0</v>
      </c>
      <c r="D87" s="2" t="n">
        <f aca="false">IF(A87=0,Inputs!$E$13,IF(AND(A87&gt;=Inputs!$F$13,A87&lt;=Inputs!$G$13),Inputs!$I$13,0))</f>
        <v>0</v>
      </c>
      <c r="E87" s="2" t="n">
        <f aca="false">IF(A87=0,Inputs!$E$14,IF(AND(A87&gt;=Inputs!$F$14,A87&lt;=Inputs!$G$14),Inputs!$I$14,0))</f>
        <v>0</v>
      </c>
      <c r="F87" s="2" t="n">
        <f aca="false">IF(A87=0,Inputs!$E$15,IF(AND(A87&gt;=Inputs!$F$15,A87&lt;=Inputs!$G$15),Inputs!$I$15,0))</f>
        <v>0</v>
      </c>
      <c r="G87" s="2" t="n">
        <f aca="false">IF(A87=0,Inputs!$E$16,IF(AND(A87&gt;=Inputs!$F$16,A87&lt;=Inputs!$G$16),Inputs!$I$16,0))</f>
        <v>0</v>
      </c>
      <c r="H87" s="2" t="n">
        <f aca="false">IF(A87=0,Inputs!$E$17,IF(AND(A87&gt;=Inputs!$F$17,A87&lt;=Inputs!$G$17),Inputs!$I$17,0))</f>
        <v>0</v>
      </c>
      <c r="I87" s="2" t="n">
        <f aca="false">IF(A87=0,Inputs!$E$18,IF(AND(A87&gt;=Inputs!$F$18,A87&lt;=Inputs!$G$18),Inputs!$I$18,0))</f>
        <v>0</v>
      </c>
      <c r="J87" s="2" t="n">
        <f aca="false">IF(A87=0,Inputs!$E$19,IF(AND(A87&gt;=Inputs!$F$19,A87&lt;=Inputs!$G$19),Inputs!$I$19,0))</f>
        <v>0</v>
      </c>
      <c r="K87" s="2" t="n">
        <f aca="false">IF(A87=0,Inputs!$E$20,IF(AND(A87&gt;=Inputs!$F$20,A87&lt;=Inputs!$G$20),Inputs!$I$20,0))</f>
        <v>0</v>
      </c>
      <c r="L87" s="2" t="n">
        <f aca="false">IF(A87=0,Inputs!$E$21,IF(AND(A87&gt;=Inputs!$F$21,A87&lt;=Inputs!$G$21),Inputs!$I$21,0))</f>
        <v>0</v>
      </c>
      <c r="M87" s="2" t="n">
        <f aca="false">IF(A87=0,Inputs!$E$22,IF(AND(A87&gt;=Inputs!$F$22,A87&lt;=Inputs!$G$22),Inputs!$I$22,0))</f>
        <v>0</v>
      </c>
      <c r="N87" s="2" t="n">
        <f aca="false">IF(A87&lt;Inputs!$B$9,0,IF(A87&lt;=12,Inputs!$B$8,Inputs!$B$6*(1-Inputs!$B$7)^(INT((A87-13)/12)+1)/12))</f>
        <v>1508598.0625</v>
      </c>
      <c r="O87" s="2" t="n">
        <f aca="false">IF(A87=0,Inputs!$E$24,IF(AND(A87&gt;=Inputs!$F$24,A87&lt;=Inputs!$G$24),Inputs!$I$24,0))</f>
        <v>0</v>
      </c>
      <c r="P87" s="2" t="n">
        <f aca="false">IF(A87=0,Inputs!$E$25,IF(AND(A87&gt;=Inputs!$F$25,A87&lt;=Inputs!$G$25),Inputs!$I$25,0))</f>
        <v>0</v>
      </c>
      <c r="Q87" s="2" t="n">
        <f aca="false">IF(A87=0,Inputs!$E$26,IF(AND(A87&gt;=Inputs!$F$26,A87&lt;=Inputs!$G$26),Inputs!$I$26,0))</f>
        <v>0</v>
      </c>
      <c r="R87" s="2" t="n">
        <f aca="false">IF(A87=0,Inputs!$E$27,IF(AND(A87&gt;=Inputs!$F$27,A87&lt;=Inputs!$G$27),Inputs!$I$27,0))</f>
        <v>0</v>
      </c>
      <c r="S87" s="2" t="n">
        <f aca="false">IF(A87=0,Inputs!$E$28,IF(AND(A87&gt;=Inputs!$F$28,A87&lt;=Inputs!$G$28),Inputs!$I$28,0))</f>
        <v>0</v>
      </c>
      <c r="T87" s="2" t="n">
        <f aca="false">IF(A87=0,Inputs!$E$29,IF(AND(A87&gt;=Inputs!$F$29,A87&lt;=Inputs!$G$29),Inputs!$I$29,0))</f>
        <v>0</v>
      </c>
      <c r="U87" s="2" t="n">
        <f aca="false">SUM(C87:T87)</f>
        <v>1508598.0625</v>
      </c>
      <c r="V87" s="2" t="n">
        <f aca="false">V86+U87</f>
        <v>717398135.625001</v>
      </c>
      <c r="W87" s="4" t="n">
        <f aca="false">V87/Inputs!$B$4</f>
        <v>0.717398135625001</v>
      </c>
    </row>
    <row r="88" customFormat="false" ht="15" hidden="false" customHeight="false" outlineLevel="0" collapsed="false">
      <c r="A88" s="0" t="n">
        <v>83</v>
      </c>
      <c r="B88" s="3" t="n">
        <f aca="false">EDATE(Inputs!$B$5,A88)</f>
        <v>48949</v>
      </c>
      <c r="C88" s="2" t="n">
        <f aca="false">IF(A88=0,Inputs!$E$12,IF(AND(A88&gt;=Inputs!$F$12,A88&lt;=Inputs!$G$12),Inputs!$I$12,0))</f>
        <v>0</v>
      </c>
      <c r="D88" s="2" t="n">
        <f aca="false">IF(A88=0,Inputs!$E$13,IF(AND(A88&gt;=Inputs!$F$13,A88&lt;=Inputs!$G$13),Inputs!$I$13,0))</f>
        <v>0</v>
      </c>
      <c r="E88" s="2" t="n">
        <f aca="false">IF(A88=0,Inputs!$E$14,IF(AND(A88&gt;=Inputs!$F$14,A88&lt;=Inputs!$G$14),Inputs!$I$14,0))</f>
        <v>0</v>
      </c>
      <c r="F88" s="2" t="n">
        <f aca="false">IF(A88=0,Inputs!$E$15,IF(AND(A88&gt;=Inputs!$F$15,A88&lt;=Inputs!$G$15),Inputs!$I$15,0))</f>
        <v>0</v>
      </c>
      <c r="G88" s="2" t="n">
        <f aca="false">IF(A88=0,Inputs!$E$16,IF(AND(A88&gt;=Inputs!$F$16,A88&lt;=Inputs!$G$16),Inputs!$I$16,0))</f>
        <v>0</v>
      </c>
      <c r="H88" s="2" t="n">
        <f aca="false">IF(A88=0,Inputs!$E$17,IF(AND(A88&gt;=Inputs!$F$17,A88&lt;=Inputs!$G$17),Inputs!$I$17,0))</f>
        <v>0</v>
      </c>
      <c r="I88" s="2" t="n">
        <f aca="false">IF(A88=0,Inputs!$E$18,IF(AND(A88&gt;=Inputs!$F$18,A88&lt;=Inputs!$G$18),Inputs!$I$18,0))</f>
        <v>0</v>
      </c>
      <c r="J88" s="2" t="n">
        <f aca="false">IF(A88=0,Inputs!$E$19,IF(AND(A88&gt;=Inputs!$F$19,A88&lt;=Inputs!$G$19),Inputs!$I$19,0))</f>
        <v>0</v>
      </c>
      <c r="K88" s="2" t="n">
        <f aca="false">IF(A88=0,Inputs!$E$20,IF(AND(A88&gt;=Inputs!$F$20,A88&lt;=Inputs!$G$20),Inputs!$I$20,0))</f>
        <v>0</v>
      </c>
      <c r="L88" s="2" t="n">
        <f aca="false">IF(A88=0,Inputs!$E$21,IF(AND(A88&gt;=Inputs!$F$21,A88&lt;=Inputs!$G$21),Inputs!$I$21,0))</f>
        <v>0</v>
      </c>
      <c r="M88" s="2" t="n">
        <f aca="false">IF(A88=0,Inputs!$E$22,IF(AND(A88&gt;=Inputs!$F$22,A88&lt;=Inputs!$G$22),Inputs!$I$22,0))</f>
        <v>0</v>
      </c>
      <c r="N88" s="2" t="n">
        <f aca="false">IF(A88&lt;Inputs!$B$9,0,IF(A88&lt;=12,Inputs!$B$8,Inputs!$B$6*(1-Inputs!$B$7)^(INT((A88-13)/12)+1)/12))</f>
        <v>1508598.0625</v>
      </c>
      <c r="O88" s="2" t="n">
        <f aca="false">IF(A88=0,Inputs!$E$24,IF(AND(A88&gt;=Inputs!$F$24,A88&lt;=Inputs!$G$24),Inputs!$I$24,0))</f>
        <v>0</v>
      </c>
      <c r="P88" s="2" t="n">
        <f aca="false">IF(A88=0,Inputs!$E$25,IF(AND(A88&gt;=Inputs!$F$25,A88&lt;=Inputs!$G$25),Inputs!$I$25,0))</f>
        <v>0</v>
      </c>
      <c r="Q88" s="2" t="n">
        <f aca="false">IF(A88=0,Inputs!$E$26,IF(AND(A88&gt;=Inputs!$F$26,A88&lt;=Inputs!$G$26),Inputs!$I$26,0))</f>
        <v>0</v>
      </c>
      <c r="R88" s="2" t="n">
        <f aca="false">IF(A88=0,Inputs!$E$27,IF(AND(A88&gt;=Inputs!$F$27,A88&lt;=Inputs!$G$27),Inputs!$I$27,0))</f>
        <v>0</v>
      </c>
      <c r="S88" s="2" t="n">
        <f aca="false">IF(A88=0,Inputs!$E$28,IF(AND(A88&gt;=Inputs!$F$28,A88&lt;=Inputs!$G$28),Inputs!$I$28,0))</f>
        <v>0</v>
      </c>
      <c r="T88" s="2" t="n">
        <f aca="false">IF(A88=0,Inputs!$E$29,IF(AND(A88&gt;=Inputs!$F$29,A88&lt;=Inputs!$G$29),Inputs!$I$29,0))</f>
        <v>0</v>
      </c>
      <c r="U88" s="2" t="n">
        <f aca="false">SUM(C88:T88)</f>
        <v>1508598.0625</v>
      </c>
      <c r="V88" s="2" t="n">
        <f aca="false">V87+U88</f>
        <v>718906733.687501</v>
      </c>
      <c r="W88" s="4" t="n">
        <f aca="false">V88/Inputs!$B$4</f>
        <v>0.718906733687501</v>
      </c>
    </row>
    <row r="89" customFormat="false" ht="15" hidden="false" customHeight="false" outlineLevel="0" collapsed="false">
      <c r="A89" s="0" t="n">
        <v>84</v>
      </c>
      <c r="B89" s="3" t="n">
        <f aca="false">EDATE(Inputs!$B$5,A89)</f>
        <v>48980</v>
      </c>
      <c r="C89" s="2" t="n">
        <f aca="false">IF(A89=0,Inputs!$E$12,IF(AND(A89&gt;=Inputs!$F$12,A89&lt;=Inputs!$G$12),Inputs!$I$12,0))</f>
        <v>0</v>
      </c>
      <c r="D89" s="2" t="n">
        <f aca="false">IF(A89=0,Inputs!$E$13,IF(AND(A89&gt;=Inputs!$F$13,A89&lt;=Inputs!$G$13),Inputs!$I$13,0))</f>
        <v>0</v>
      </c>
      <c r="E89" s="2" t="n">
        <f aca="false">IF(A89=0,Inputs!$E$14,IF(AND(A89&gt;=Inputs!$F$14,A89&lt;=Inputs!$G$14),Inputs!$I$14,0))</f>
        <v>0</v>
      </c>
      <c r="F89" s="2" t="n">
        <f aca="false">IF(A89=0,Inputs!$E$15,IF(AND(A89&gt;=Inputs!$F$15,A89&lt;=Inputs!$G$15),Inputs!$I$15,0))</f>
        <v>0</v>
      </c>
      <c r="G89" s="2" t="n">
        <f aca="false">IF(A89=0,Inputs!$E$16,IF(AND(A89&gt;=Inputs!$F$16,A89&lt;=Inputs!$G$16),Inputs!$I$16,0))</f>
        <v>0</v>
      </c>
      <c r="H89" s="2" t="n">
        <f aca="false">IF(A89=0,Inputs!$E$17,IF(AND(A89&gt;=Inputs!$F$17,A89&lt;=Inputs!$G$17),Inputs!$I$17,0))</f>
        <v>0</v>
      </c>
      <c r="I89" s="2" t="n">
        <f aca="false">IF(A89=0,Inputs!$E$18,IF(AND(A89&gt;=Inputs!$F$18,A89&lt;=Inputs!$G$18),Inputs!$I$18,0))</f>
        <v>0</v>
      </c>
      <c r="J89" s="2" t="n">
        <f aca="false">IF(A89=0,Inputs!$E$19,IF(AND(A89&gt;=Inputs!$F$19,A89&lt;=Inputs!$G$19),Inputs!$I$19,0))</f>
        <v>0</v>
      </c>
      <c r="K89" s="2" t="n">
        <f aca="false">IF(A89=0,Inputs!$E$20,IF(AND(A89&gt;=Inputs!$F$20,A89&lt;=Inputs!$G$20),Inputs!$I$20,0))</f>
        <v>0</v>
      </c>
      <c r="L89" s="2" t="n">
        <f aca="false">IF(A89=0,Inputs!$E$21,IF(AND(A89&gt;=Inputs!$F$21,A89&lt;=Inputs!$G$21),Inputs!$I$21,0))</f>
        <v>0</v>
      </c>
      <c r="M89" s="2" t="n">
        <f aca="false">IF(A89=0,Inputs!$E$22,IF(AND(A89&gt;=Inputs!$F$22,A89&lt;=Inputs!$G$22),Inputs!$I$22,0))</f>
        <v>0</v>
      </c>
      <c r="N89" s="2" t="n">
        <f aca="false">IF(A89&lt;Inputs!$B$9,0,IF(A89&lt;=12,Inputs!$B$8,Inputs!$B$6*(1-Inputs!$B$7)^(INT((A89-13)/12)+1)/12))</f>
        <v>1508598.0625</v>
      </c>
      <c r="O89" s="2" t="n">
        <f aca="false">IF(A89=0,Inputs!$E$24,IF(AND(A89&gt;=Inputs!$F$24,A89&lt;=Inputs!$G$24),Inputs!$I$24,0))</f>
        <v>0</v>
      </c>
      <c r="P89" s="2" t="n">
        <f aca="false">IF(A89=0,Inputs!$E$25,IF(AND(A89&gt;=Inputs!$F$25,A89&lt;=Inputs!$G$25),Inputs!$I$25,0))</f>
        <v>0</v>
      </c>
      <c r="Q89" s="2" t="n">
        <f aca="false">IF(A89=0,Inputs!$E$26,IF(AND(A89&gt;=Inputs!$F$26,A89&lt;=Inputs!$G$26),Inputs!$I$26,0))</f>
        <v>0</v>
      </c>
      <c r="R89" s="2" t="n">
        <f aca="false">IF(A89=0,Inputs!$E$27,IF(AND(A89&gt;=Inputs!$F$27,A89&lt;=Inputs!$G$27),Inputs!$I$27,0))</f>
        <v>0</v>
      </c>
      <c r="S89" s="2" t="n">
        <f aca="false">IF(A89=0,Inputs!$E$28,IF(AND(A89&gt;=Inputs!$F$28,A89&lt;=Inputs!$G$28),Inputs!$I$28,0))</f>
        <v>0</v>
      </c>
      <c r="T89" s="2" t="n">
        <f aca="false">IF(A89=0,Inputs!$E$29,IF(AND(A89&gt;=Inputs!$F$29,A89&lt;=Inputs!$G$29),Inputs!$I$29,0))</f>
        <v>0</v>
      </c>
      <c r="U89" s="2" t="n">
        <f aca="false">SUM(C89:T89)</f>
        <v>1508598.0625</v>
      </c>
      <c r="V89" s="2" t="n">
        <f aca="false">V88+U89</f>
        <v>720415331.750001</v>
      </c>
      <c r="W89" s="4" t="n">
        <f aca="false">V89/Inputs!$B$4</f>
        <v>0.720415331750001</v>
      </c>
    </row>
    <row r="90" customFormat="false" ht="15" hidden="false" customHeight="false" outlineLevel="0" collapsed="false">
      <c r="A90" s="8" t="s">
        <v>83</v>
      </c>
      <c r="C90" s="2" t="n">
        <f aca="false">SUM(C5:C89)</f>
        <v>10331395</v>
      </c>
      <c r="D90" s="2" t="n">
        <f aca="false">SUM(D5:D89)</f>
        <v>27309255</v>
      </c>
      <c r="E90" s="2" t="n">
        <f aca="false">SUM(E5:E89)</f>
        <v>16385554</v>
      </c>
      <c r="F90" s="2" t="n">
        <f aca="false">SUM(F5:F89)</f>
        <v>10923703</v>
      </c>
      <c r="G90" s="2" t="n">
        <f aca="false">SUM(G5:G89)</f>
        <v>10923703</v>
      </c>
      <c r="H90" s="2" t="n">
        <f aca="false">SUM(H5:H89)</f>
        <v>10923703</v>
      </c>
      <c r="I90" s="2" t="n">
        <f aca="false">SUM(I5:I89)</f>
        <v>10923703</v>
      </c>
      <c r="J90" s="2" t="n">
        <f aca="false">SUM(J5:J89)</f>
        <v>2278984</v>
      </c>
      <c r="K90" s="2" t="n">
        <f aca="false">SUM(K5:K89)</f>
        <v>175000000</v>
      </c>
      <c r="L90" s="2" t="n">
        <f aca="false">SUM(L5:L89)</f>
        <v>20000000</v>
      </c>
      <c r="M90" s="2" t="n">
        <f aca="false">SUM(M5:M89)</f>
        <v>15000000</v>
      </c>
      <c r="N90" s="2" t="n">
        <f aca="false">SUM(N5:N89)</f>
        <v>205415331.75</v>
      </c>
      <c r="O90" s="2" t="n">
        <f aca="false">SUM(O5:O89)</f>
        <v>50000000</v>
      </c>
      <c r="P90" s="2" t="n">
        <f aca="false">SUM(P5:P89)</f>
        <v>50000000</v>
      </c>
      <c r="Q90" s="2" t="n">
        <f aca="false">SUM(Q5:Q89)</f>
        <v>40000000</v>
      </c>
      <c r="R90" s="2" t="n">
        <f aca="false">SUM(R5:R89)</f>
        <v>50000000</v>
      </c>
      <c r="S90" s="2" t="n">
        <f aca="false">SUM(S5:S89)</f>
        <v>10000000</v>
      </c>
      <c r="T90" s="2" t="n">
        <f aca="false">SUM(T5:T89)</f>
        <v>5000000</v>
      </c>
      <c r="U90" s="2" t="n">
        <f aca="false">SUM(U5:U89)</f>
        <v>720415331.75</v>
      </c>
    </row>
    <row r="91" customFormat="false" ht="15" hidden="false" customHeight="false" outlineLevel="0" collapsed="false">
      <c r="A91" s="0" t="s">
        <v>84</v>
      </c>
      <c r="N91" s="2" t="n">
        <f aca="false">Inputs!D23-N90</f>
        <v>279584668.25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20" min="3" style="0" width="16"/>
    <col collapsed="false" customWidth="true" hidden="false" outlineLevel="0" max="21" min="21" style="0" width="18"/>
    <col collapsed="false" customWidth="true" hidden="false" outlineLevel="0" max="22" min="22" style="0" width="12"/>
  </cols>
  <sheetData>
    <row r="1" customFormat="false" ht="16.15" hidden="false" customHeight="false" outlineLevel="0" collapsed="false">
      <c r="A1" s="1" t="s">
        <v>85</v>
      </c>
    </row>
    <row r="4" customFormat="false" ht="68.65" hidden="false" customHeight="false" outlineLevel="0" collapsed="false">
      <c r="A4" s="6" t="s">
        <v>78</v>
      </c>
      <c r="B4" s="6" t="s">
        <v>79</v>
      </c>
      <c r="C4" s="6" t="s">
        <v>19</v>
      </c>
      <c r="D4" s="6" t="s">
        <v>23</v>
      </c>
      <c r="E4" s="6" t="s">
        <v>25</v>
      </c>
      <c r="F4" s="6" t="s">
        <v>27</v>
      </c>
      <c r="G4" s="6" t="s">
        <v>29</v>
      </c>
      <c r="H4" s="6" t="s">
        <v>31</v>
      </c>
      <c r="I4" s="6" t="s">
        <v>33</v>
      </c>
      <c r="J4" s="6" t="s">
        <v>35</v>
      </c>
      <c r="K4" s="6" t="s">
        <v>37</v>
      </c>
      <c r="L4" s="6" t="s">
        <v>41</v>
      </c>
      <c r="M4" s="6" t="s">
        <v>43</v>
      </c>
      <c r="N4" s="6" t="s">
        <v>47</v>
      </c>
      <c r="O4" s="6" t="s">
        <v>53</v>
      </c>
      <c r="P4" s="6" t="s">
        <v>57</v>
      </c>
      <c r="Q4" s="6" t="s">
        <v>61</v>
      </c>
      <c r="R4" s="6" t="s">
        <v>64</v>
      </c>
      <c r="S4" s="6" t="s">
        <v>68</v>
      </c>
      <c r="T4" s="6" t="s">
        <v>72</v>
      </c>
      <c r="U4" s="6" t="s">
        <v>81</v>
      </c>
      <c r="V4" s="6" t="s">
        <v>82</v>
      </c>
    </row>
    <row r="5" customFormat="false" ht="15" hidden="false" customHeight="false" outlineLevel="0" collapsed="false">
      <c r="A5" s="0" t="n">
        <v>0</v>
      </c>
      <c r="B5" s="3" t="n">
        <f aca="false">Grid!B5</f>
        <v>46423</v>
      </c>
      <c r="C5" s="2" t="n">
        <f aca="false">Grid!C5</f>
        <v>0</v>
      </c>
      <c r="D5" s="2" t="n">
        <f aca="false">Grid!D5</f>
        <v>0</v>
      </c>
      <c r="E5" s="2" t="n">
        <f aca="false">Grid!E5</f>
        <v>0</v>
      </c>
      <c r="F5" s="2" t="n">
        <f aca="false">Grid!F5</f>
        <v>0</v>
      </c>
      <c r="G5" s="2" t="n">
        <f aca="false">Grid!G5</f>
        <v>0</v>
      </c>
      <c r="H5" s="2" t="n">
        <f aca="false">Grid!H5</f>
        <v>0</v>
      </c>
      <c r="I5" s="2" t="n">
        <f aca="false">Grid!I5</f>
        <v>0</v>
      </c>
      <c r="J5" s="2" t="n">
        <f aca="false">Grid!J5</f>
        <v>0</v>
      </c>
      <c r="K5" s="2" t="n">
        <f aca="false">Grid!K5</f>
        <v>0</v>
      </c>
      <c r="L5" s="2" t="n">
        <f aca="false">Grid!L5</f>
        <v>0</v>
      </c>
      <c r="M5" s="2" t="n">
        <f aca="false">Grid!M5</f>
        <v>3000000</v>
      </c>
      <c r="N5" s="2" t="n">
        <f aca="false">Grid!N5</f>
        <v>0</v>
      </c>
      <c r="O5" s="2" t="n">
        <f aca="false">Grid!O5</f>
        <v>35000000</v>
      </c>
      <c r="P5" s="2" t="n">
        <f aca="false">Grid!P5</f>
        <v>0</v>
      </c>
      <c r="Q5" s="2" t="n">
        <f aca="false">Grid!Q5</f>
        <v>0</v>
      </c>
      <c r="R5" s="2" t="n">
        <f aca="false">Grid!R5</f>
        <v>0</v>
      </c>
      <c r="S5" s="2" t="n">
        <f aca="false">Grid!S5</f>
        <v>10000000</v>
      </c>
      <c r="T5" s="2" t="n">
        <f aca="false">Grid!T5</f>
        <v>5000000</v>
      </c>
      <c r="U5" s="2" t="n">
        <f aca="false">SUM(C5:T5)</f>
        <v>53000000</v>
      </c>
      <c r="V5" s="4" t="n">
        <f aca="false">U5/Inputs!$B$4</f>
        <v>0.053</v>
      </c>
    </row>
    <row r="6" customFormat="false" ht="15" hidden="false" customHeight="false" outlineLevel="0" collapsed="false">
      <c r="A6" s="0" t="n">
        <v>1</v>
      </c>
      <c r="B6" s="3" t="n">
        <f aca="false">Grid!B6</f>
        <v>46451</v>
      </c>
      <c r="C6" s="2" t="n">
        <f aca="false">C5+Grid!C6</f>
        <v>0</v>
      </c>
      <c r="D6" s="2" t="n">
        <f aca="false">D5+Grid!D6</f>
        <v>0</v>
      </c>
      <c r="E6" s="2" t="n">
        <f aca="false">E5+Grid!E6</f>
        <v>0</v>
      </c>
      <c r="F6" s="2" t="n">
        <f aca="false">F5+Grid!F6</f>
        <v>0</v>
      </c>
      <c r="G6" s="2" t="n">
        <f aca="false">G5+Grid!G6</f>
        <v>0</v>
      </c>
      <c r="H6" s="2" t="n">
        <f aca="false">H5+Grid!H6</f>
        <v>0</v>
      </c>
      <c r="I6" s="2" t="n">
        <f aca="false">I5+Grid!I6</f>
        <v>0</v>
      </c>
      <c r="J6" s="2" t="n">
        <f aca="false">J5+Grid!J6</f>
        <v>0</v>
      </c>
      <c r="K6" s="2" t="n">
        <f aca="false">K5+Grid!K6</f>
        <v>0</v>
      </c>
      <c r="L6" s="2" t="n">
        <f aca="false">L5+Grid!L6</f>
        <v>0</v>
      </c>
      <c r="M6" s="2" t="n">
        <f aca="false">M5+Grid!M6</f>
        <v>9000000</v>
      </c>
      <c r="N6" s="2" t="n">
        <f aca="false">N5+Grid!N6</f>
        <v>0</v>
      </c>
      <c r="O6" s="2" t="n">
        <f aca="false">O5+Grid!O6</f>
        <v>35500000</v>
      </c>
      <c r="P6" s="2" t="n">
        <f aca="false">P5+Grid!P6</f>
        <v>0</v>
      </c>
      <c r="Q6" s="2" t="n">
        <f aca="false">Q5+Grid!Q6</f>
        <v>0</v>
      </c>
      <c r="R6" s="2" t="n">
        <f aca="false">R5+Grid!R6</f>
        <v>0</v>
      </c>
      <c r="S6" s="2" t="n">
        <f aca="false">S5+Grid!S6</f>
        <v>10000000</v>
      </c>
      <c r="T6" s="2" t="n">
        <f aca="false">T5+Grid!T6</f>
        <v>5000000</v>
      </c>
      <c r="U6" s="2" t="n">
        <f aca="false">SUM(C6:T6)</f>
        <v>59500000</v>
      </c>
      <c r="V6" s="4" t="n">
        <f aca="false">U6/Inputs!$B$4</f>
        <v>0.0595</v>
      </c>
    </row>
    <row r="7" customFormat="false" ht="15" hidden="false" customHeight="false" outlineLevel="0" collapsed="false">
      <c r="A7" s="0" t="n">
        <v>2</v>
      </c>
      <c r="B7" s="3" t="n">
        <f aca="false">Grid!B7</f>
        <v>46482</v>
      </c>
      <c r="C7" s="2" t="n">
        <f aca="false">C6+Grid!C7</f>
        <v>0</v>
      </c>
      <c r="D7" s="2" t="n">
        <f aca="false">D6+Grid!D7</f>
        <v>0</v>
      </c>
      <c r="E7" s="2" t="n">
        <f aca="false">E6+Grid!E7</f>
        <v>0</v>
      </c>
      <c r="F7" s="2" t="n">
        <f aca="false">F6+Grid!F7</f>
        <v>0</v>
      </c>
      <c r="G7" s="2" t="n">
        <f aca="false">G6+Grid!G7</f>
        <v>0</v>
      </c>
      <c r="H7" s="2" t="n">
        <f aca="false">H6+Grid!H7</f>
        <v>0</v>
      </c>
      <c r="I7" s="2" t="n">
        <f aca="false">I6+Grid!I7</f>
        <v>0</v>
      </c>
      <c r="J7" s="2" t="n">
        <f aca="false">J6+Grid!J7</f>
        <v>0</v>
      </c>
      <c r="K7" s="2" t="n">
        <f aca="false">K6+Grid!K7</f>
        <v>0</v>
      </c>
      <c r="L7" s="2" t="n">
        <f aca="false">L6+Grid!L7</f>
        <v>0</v>
      </c>
      <c r="M7" s="2" t="n">
        <f aca="false">M6+Grid!M7</f>
        <v>15000000</v>
      </c>
      <c r="N7" s="2" t="n">
        <f aca="false">N6+Grid!N7</f>
        <v>0</v>
      </c>
      <c r="O7" s="2" t="n">
        <f aca="false">O6+Grid!O7</f>
        <v>36000000</v>
      </c>
      <c r="P7" s="2" t="n">
        <f aca="false">P6+Grid!P7</f>
        <v>0</v>
      </c>
      <c r="Q7" s="2" t="n">
        <f aca="false">Q6+Grid!Q7</f>
        <v>0</v>
      </c>
      <c r="R7" s="2" t="n">
        <f aca="false">R6+Grid!R7</f>
        <v>0</v>
      </c>
      <c r="S7" s="2" t="n">
        <f aca="false">S6+Grid!S7</f>
        <v>10000000</v>
      </c>
      <c r="T7" s="2" t="n">
        <f aca="false">T6+Grid!T7</f>
        <v>5000000</v>
      </c>
      <c r="U7" s="2" t="n">
        <f aca="false">SUM(C7:T7)</f>
        <v>66000000</v>
      </c>
      <c r="V7" s="4" t="n">
        <f aca="false">U7/Inputs!$B$4</f>
        <v>0.066</v>
      </c>
    </row>
    <row r="8" customFormat="false" ht="15" hidden="false" customHeight="false" outlineLevel="0" collapsed="false">
      <c r="A8" s="0" t="n">
        <v>3</v>
      </c>
      <c r="B8" s="3" t="n">
        <f aca="false">Grid!B8</f>
        <v>46512</v>
      </c>
      <c r="C8" s="2" t="n">
        <f aca="false">C7+Grid!C8</f>
        <v>0</v>
      </c>
      <c r="D8" s="2" t="n">
        <f aca="false">D7+Grid!D8</f>
        <v>0</v>
      </c>
      <c r="E8" s="2" t="n">
        <f aca="false">E7+Grid!E8</f>
        <v>0</v>
      </c>
      <c r="F8" s="2" t="n">
        <f aca="false">F7+Grid!F8</f>
        <v>0</v>
      </c>
      <c r="G8" s="2" t="n">
        <f aca="false">G7+Grid!G8</f>
        <v>0</v>
      </c>
      <c r="H8" s="2" t="n">
        <f aca="false">H7+Grid!H8</f>
        <v>0</v>
      </c>
      <c r="I8" s="2" t="n">
        <f aca="false">I7+Grid!I8</f>
        <v>0</v>
      </c>
      <c r="J8" s="2" t="n">
        <f aca="false">J7+Grid!J8</f>
        <v>0</v>
      </c>
      <c r="K8" s="2" t="n">
        <f aca="false">K7+Grid!K8</f>
        <v>0</v>
      </c>
      <c r="L8" s="2" t="n">
        <f aca="false">L7+Grid!L8</f>
        <v>0</v>
      </c>
      <c r="M8" s="2" t="n">
        <f aca="false">M7+Grid!M8</f>
        <v>15000000</v>
      </c>
      <c r="N8" s="2" t="n">
        <f aca="false">N7+Grid!N8</f>
        <v>0</v>
      </c>
      <c r="O8" s="2" t="n">
        <f aca="false">O7+Grid!O8</f>
        <v>36500000</v>
      </c>
      <c r="P8" s="2" t="n">
        <f aca="false">P7+Grid!P8</f>
        <v>0</v>
      </c>
      <c r="Q8" s="2" t="n">
        <f aca="false">Q7+Grid!Q8</f>
        <v>0</v>
      </c>
      <c r="R8" s="2" t="n">
        <f aca="false">R7+Grid!R8</f>
        <v>0</v>
      </c>
      <c r="S8" s="2" t="n">
        <f aca="false">S7+Grid!S8</f>
        <v>10000000</v>
      </c>
      <c r="T8" s="2" t="n">
        <f aca="false">T7+Grid!T8</f>
        <v>5000000</v>
      </c>
      <c r="U8" s="2" t="n">
        <f aca="false">SUM(C8:T8)</f>
        <v>66500000</v>
      </c>
      <c r="V8" s="4" t="n">
        <f aca="false">U8/Inputs!$B$4</f>
        <v>0.0665</v>
      </c>
    </row>
    <row r="9" customFormat="false" ht="15" hidden="false" customHeight="false" outlineLevel="0" collapsed="false">
      <c r="A9" s="0" t="n">
        <v>4</v>
      </c>
      <c r="B9" s="3" t="n">
        <f aca="false">Grid!B9</f>
        <v>46543</v>
      </c>
      <c r="C9" s="2" t="n">
        <f aca="false">C8+Grid!C9</f>
        <v>0</v>
      </c>
      <c r="D9" s="2" t="n">
        <f aca="false">D8+Grid!D9</f>
        <v>0</v>
      </c>
      <c r="E9" s="2" t="n">
        <f aca="false">E8+Grid!E9</f>
        <v>0</v>
      </c>
      <c r="F9" s="2" t="n">
        <f aca="false">F8+Grid!F9</f>
        <v>0</v>
      </c>
      <c r="G9" s="2" t="n">
        <f aca="false">G8+Grid!G9</f>
        <v>0</v>
      </c>
      <c r="H9" s="2" t="n">
        <f aca="false">H8+Grid!H9</f>
        <v>0</v>
      </c>
      <c r="I9" s="2" t="n">
        <f aca="false">I8+Grid!I9</f>
        <v>0</v>
      </c>
      <c r="J9" s="2" t="n">
        <f aca="false">J8+Grid!J9</f>
        <v>0</v>
      </c>
      <c r="K9" s="2" t="n">
        <f aca="false">K8+Grid!K9</f>
        <v>0</v>
      </c>
      <c r="L9" s="2" t="n">
        <f aca="false">L8+Grid!L9</f>
        <v>0</v>
      </c>
      <c r="M9" s="2" t="n">
        <f aca="false">M8+Grid!M9</f>
        <v>15000000</v>
      </c>
      <c r="N9" s="2" t="n">
        <f aca="false">N8+Grid!N9</f>
        <v>4000000</v>
      </c>
      <c r="O9" s="2" t="n">
        <f aca="false">O8+Grid!O9</f>
        <v>37000000</v>
      </c>
      <c r="P9" s="2" t="n">
        <f aca="false">P8+Grid!P9</f>
        <v>0</v>
      </c>
      <c r="Q9" s="2" t="n">
        <f aca="false">Q8+Grid!Q9</f>
        <v>0</v>
      </c>
      <c r="R9" s="2" t="n">
        <f aca="false">R8+Grid!R9</f>
        <v>0</v>
      </c>
      <c r="S9" s="2" t="n">
        <f aca="false">S8+Grid!S9</f>
        <v>10000000</v>
      </c>
      <c r="T9" s="2" t="n">
        <f aca="false">T8+Grid!T9</f>
        <v>5000000</v>
      </c>
      <c r="U9" s="2" t="n">
        <f aca="false">SUM(C9:T9)</f>
        <v>71000000</v>
      </c>
      <c r="V9" s="4" t="n">
        <f aca="false">U9/Inputs!$B$4</f>
        <v>0.071</v>
      </c>
    </row>
    <row r="10" customFormat="false" ht="15" hidden="false" customHeight="false" outlineLevel="0" collapsed="false">
      <c r="A10" s="0" t="n">
        <v>5</v>
      </c>
      <c r="B10" s="3" t="n">
        <f aca="false">Grid!B10</f>
        <v>46573</v>
      </c>
      <c r="C10" s="2" t="n">
        <f aca="false">C9+Grid!C10</f>
        <v>0</v>
      </c>
      <c r="D10" s="2" t="n">
        <f aca="false">D9+Grid!D10</f>
        <v>0</v>
      </c>
      <c r="E10" s="2" t="n">
        <f aca="false">E9+Grid!E10</f>
        <v>0</v>
      </c>
      <c r="F10" s="2" t="n">
        <f aca="false">F9+Grid!F10</f>
        <v>0</v>
      </c>
      <c r="G10" s="2" t="n">
        <f aca="false">G9+Grid!G10</f>
        <v>0</v>
      </c>
      <c r="H10" s="2" t="n">
        <f aca="false">H9+Grid!H10</f>
        <v>0</v>
      </c>
      <c r="I10" s="2" t="n">
        <f aca="false">I9+Grid!I10</f>
        <v>0</v>
      </c>
      <c r="J10" s="2" t="n">
        <f aca="false">J9+Grid!J10</f>
        <v>0</v>
      </c>
      <c r="K10" s="2" t="n">
        <f aca="false">K9+Grid!K10</f>
        <v>0</v>
      </c>
      <c r="L10" s="2" t="n">
        <f aca="false">L9+Grid!L10</f>
        <v>0</v>
      </c>
      <c r="M10" s="2" t="n">
        <f aca="false">M9+Grid!M10</f>
        <v>15000000</v>
      </c>
      <c r="N10" s="2" t="n">
        <f aca="false">N9+Grid!N10</f>
        <v>8000000</v>
      </c>
      <c r="O10" s="2" t="n">
        <f aca="false">O9+Grid!O10</f>
        <v>37500000</v>
      </c>
      <c r="P10" s="2" t="n">
        <f aca="false">P9+Grid!P10</f>
        <v>0</v>
      </c>
      <c r="Q10" s="2" t="n">
        <f aca="false">Q9+Grid!Q10</f>
        <v>0</v>
      </c>
      <c r="R10" s="2" t="n">
        <f aca="false">R9+Grid!R10</f>
        <v>0</v>
      </c>
      <c r="S10" s="2" t="n">
        <f aca="false">S9+Grid!S10</f>
        <v>10000000</v>
      </c>
      <c r="T10" s="2" t="n">
        <f aca="false">T9+Grid!T10</f>
        <v>5000000</v>
      </c>
      <c r="U10" s="2" t="n">
        <f aca="false">SUM(C10:T10)</f>
        <v>75500000</v>
      </c>
      <c r="V10" s="4" t="n">
        <f aca="false">U10/Inputs!$B$4</f>
        <v>0.0755</v>
      </c>
    </row>
    <row r="11" customFormat="false" ht="15" hidden="false" customHeight="false" outlineLevel="0" collapsed="false">
      <c r="A11" s="0" t="n">
        <v>6</v>
      </c>
      <c r="B11" s="3" t="n">
        <f aca="false">Grid!B11</f>
        <v>46604</v>
      </c>
      <c r="C11" s="2" t="n">
        <f aca="false">C10+Grid!C11</f>
        <v>0</v>
      </c>
      <c r="D11" s="2" t="n">
        <f aca="false">D10+Grid!D11</f>
        <v>0</v>
      </c>
      <c r="E11" s="2" t="n">
        <f aca="false">E10+Grid!E11</f>
        <v>0</v>
      </c>
      <c r="F11" s="2" t="n">
        <f aca="false">F10+Grid!F11</f>
        <v>0</v>
      </c>
      <c r="G11" s="2" t="n">
        <f aca="false">G10+Grid!G11</f>
        <v>0</v>
      </c>
      <c r="H11" s="2" t="n">
        <f aca="false">H10+Grid!H11</f>
        <v>0</v>
      </c>
      <c r="I11" s="2" t="n">
        <f aca="false">I10+Grid!I11</f>
        <v>0</v>
      </c>
      <c r="J11" s="2" t="n">
        <f aca="false">J10+Grid!J11</f>
        <v>0</v>
      </c>
      <c r="K11" s="2" t="n">
        <f aca="false">K10+Grid!K11</f>
        <v>0</v>
      </c>
      <c r="L11" s="2" t="n">
        <f aca="false">L10+Grid!L11</f>
        <v>0</v>
      </c>
      <c r="M11" s="2" t="n">
        <f aca="false">M10+Grid!M11</f>
        <v>15000000</v>
      </c>
      <c r="N11" s="2" t="n">
        <f aca="false">N10+Grid!N11</f>
        <v>12000000</v>
      </c>
      <c r="O11" s="2" t="n">
        <f aca="false">O10+Grid!O11</f>
        <v>38000000</v>
      </c>
      <c r="P11" s="2" t="n">
        <f aca="false">P10+Grid!P11</f>
        <v>0</v>
      </c>
      <c r="Q11" s="2" t="n">
        <f aca="false">Q10+Grid!Q11</f>
        <v>0</v>
      </c>
      <c r="R11" s="2" t="n">
        <f aca="false">R10+Grid!R11</f>
        <v>0</v>
      </c>
      <c r="S11" s="2" t="n">
        <f aca="false">S10+Grid!S11</f>
        <v>10000000</v>
      </c>
      <c r="T11" s="2" t="n">
        <f aca="false">T10+Grid!T11</f>
        <v>5000000</v>
      </c>
      <c r="U11" s="2" t="n">
        <f aca="false">SUM(C11:T11)</f>
        <v>80000000</v>
      </c>
      <c r="V11" s="4" t="n">
        <f aca="false">U11/Inputs!$B$4</f>
        <v>0.08</v>
      </c>
    </row>
    <row r="12" customFormat="false" ht="15" hidden="false" customHeight="false" outlineLevel="0" collapsed="false">
      <c r="A12" s="0" t="n">
        <v>7</v>
      </c>
      <c r="B12" s="3" t="n">
        <f aca="false">Grid!B12</f>
        <v>46635</v>
      </c>
      <c r="C12" s="2" t="n">
        <f aca="false">C11+Grid!C12</f>
        <v>0</v>
      </c>
      <c r="D12" s="2" t="n">
        <f aca="false">D11+Grid!D12</f>
        <v>0</v>
      </c>
      <c r="E12" s="2" t="n">
        <f aca="false">E11+Grid!E12</f>
        <v>0</v>
      </c>
      <c r="F12" s="2" t="n">
        <f aca="false">F11+Grid!F12</f>
        <v>0</v>
      </c>
      <c r="G12" s="2" t="n">
        <f aca="false">G11+Grid!G12</f>
        <v>0</v>
      </c>
      <c r="H12" s="2" t="n">
        <f aca="false">H11+Grid!H12</f>
        <v>0</v>
      </c>
      <c r="I12" s="2" t="n">
        <f aca="false">I11+Grid!I12</f>
        <v>0</v>
      </c>
      <c r="J12" s="2" t="n">
        <f aca="false">J11+Grid!J12</f>
        <v>0</v>
      </c>
      <c r="K12" s="2" t="n">
        <f aca="false">K11+Grid!K12</f>
        <v>0</v>
      </c>
      <c r="L12" s="2" t="n">
        <f aca="false">L11+Grid!L12</f>
        <v>0</v>
      </c>
      <c r="M12" s="2" t="n">
        <f aca="false">M11+Grid!M12</f>
        <v>15000000</v>
      </c>
      <c r="N12" s="2" t="n">
        <f aca="false">N11+Grid!N12</f>
        <v>16000000</v>
      </c>
      <c r="O12" s="2" t="n">
        <f aca="false">O11+Grid!O12</f>
        <v>38500000</v>
      </c>
      <c r="P12" s="2" t="n">
        <f aca="false">P11+Grid!P12</f>
        <v>1666666.66666667</v>
      </c>
      <c r="Q12" s="2" t="n">
        <f aca="false">Q11+Grid!Q12</f>
        <v>0</v>
      </c>
      <c r="R12" s="2" t="n">
        <f aca="false">R11+Grid!R12</f>
        <v>0</v>
      </c>
      <c r="S12" s="2" t="n">
        <f aca="false">S11+Grid!S12</f>
        <v>10000000</v>
      </c>
      <c r="T12" s="2" t="n">
        <f aca="false">T11+Grid!T12</f>
        <v>5000000</v>
      </c>
      <c r="U12" s="2" t="n">
        <f aca="false">SUM(C12:T12)</f>
        <v>86166666.6666667</v>
      </c>
      <c r="V12" s="4" t="n">
        <f aca="false">U12/Inputs!$B$4</f>
        <v>0.0861666666666667</v>
      </c>
    </row>
    <row r="13" customFormat="false" ht="15" hidden="false" customHeight="false" outlineLevel="0" collapsed="false">
      <c r="A13" s="0" t="n">
        <v>8</v>
      </c>
      <c r="B13" s="3" t="n">
        <f aca="false">Grid!B13</f>
        <v>46665</v>
      </c>
      <c r="C13" s="2" t="n">
        <f aca="false">C12+Grid!C13</f>
        <v>0</v>
      </c>
      <c r="D13" s="2" t="n">
        <f aca="false">D12+Grid!D13</f>
        <v>0</v>
      </c>
      <c r="E13" s="2" t="n">
        <f aca="false">E12+Grid!E13</f>
        <v>0</v>
      </c>
      <c r="F13" s="2" t="n">
        <f aca="false">F12+Grid!F13</f>
        <v>0</v>
      </c>
      <c r="G13" s="2" t="n">
        <f aca="false">G12+Grid!G13</f>
        <v>0</v>
      </c>
      <c r="H13" s="2" t="n">
        <f aca="false">H12+Grid!H13</f>
        <v>0</v>
      </c>
      <c r="I13" s="2" t="n">
        <f aca="false">I12+Grid!I13</f>
        <v>0</v>
      </c>
      <c r="J13" s="2" t="n">
        <f aca="false">J12+Grid!J13</f>
        <v>0</v>
      </c>
      <c r="K13" s="2" t="n">
        <f aca="false">K12+Grid!K13</f>
        <v>0</v>
      </c>
      <c r="L13" s="2" t="n">
        <f aca="false">L12+Grid!L13</f>
        <v>0</v>
      </c>
      <c r="M13" s="2" t="n">
        <f aca="false">M12+Grid!M13</f>
        <v>15000000</v>
      </c>
      <c r="N13" s="2" t="n">
        <f aca="false">N12+Grid!N13</f>
        <v>20000000</v>
      </c>
      <c r="O13" s="2" t="n">
        <f aca="false">O12+Grid!O13</f>
        <v>39000000</v>
      </c>
      <c r="P13" s="2" t="n">
        <f aca="false">P12+Grid!P13</f>
        <v>3333333.33333333</v>
      </c>
      <c r="Q13" s="2" t="n">
        <f aca="false">Q12+Grid!Q13</f>
        <v>0</v>
      </c>
      <c r="R13" s="2" t="n">
        <f aca="false">R12+Grid!R13</f>
        <v>0</v>
      </c>
      <c r="S13" s="2" t="n">
        <f aca="false">S12+Grid!S13</f>
        <v>10000000</v>
      </c>
      <c r="T13" s="2" t="n">
        <f aca="false">T12+Grid!T13</f>
        <v>5000000</v>
      </c>
      <c r="U13" s="2" t="n">
        <f aca="false">SUM(C13:T13)</f>
        <v>92333333.3333333</v>
      </c>
      <c r="V13" s="4" t="n">
        <f aca="false">U13/Inputs!$B$4</f>
        <v>0.0923333333333333</v>
      </c>
    </row>
    <row r="14" customFormat="false" ht="15" hidden="false" customHeight="false" outlineLevel="0" collapsed="false">
      <c r="A14" s="0" t="n">
        <v>9</v>
      </c>
      <c r="B14" s="3" t="n">
        <f aca="false">Grid!B14</f>
        <v>46696</v>
      </c>
      <c r="C14" s="2" t="n">
        <f aca="false">C13+Grid!C14</f>
        <v>0</v>
      </c>
      <c r="D14" s="2" t="n">
        <f aca="false">D13+Grid!D14</f>
        <v>0</v>
      </c>
      <c r="E14" s="2" t="n">
        <f aca="false">E13+Grid!E14</f>
        <v>0</v>
      </c>
      <c r="F14" s="2" t="n">
        <f aca="false">F13+Grid!F14</f>
        <v>0</v>
      </c>
      <c r="G14" s="2" t="n">
        <f aca="false">G13+Grid!G14</f>
        <v>0</v>
      </c>
      <c r="H14" s="2" t="n">
        <f aca="false">H13+Grid!H14</f>
        <v>0</v>
      </c>
      <c r="I14" s="2" t="n">
        <f aca="false">I13+Grid!I14</f>
        <v>0</v>
      </c>
      <c r="J14" s="2" t="n">
        <f aca="false">J13+Grid!J14</f>
        <v>0</v>
      </c>
      <c r="K14" s="2" t="n">
        <f aca="false">K13+Grid!K14</f>
        <v>0</v>
      </c>
      <c r="L14" s="2" t="n">
        <f aca="false">L13+Grid!L14</f>
        <v>0</v>
      </c>
      <c r="M14" s="2" t="n">
        <f aca="false">M13+Grid!M14</f>
        <v>15000000</v>
      </c>
      <c r="N14" s="2" t="n">
        <f aca="false">N13+Grid!N14</f>
        <v>24000000</v>
      </c>
      <c r="O14" s="2" t="n">
        <f aca="false">O13+Grid!O14</f>
        <v>39500000</v>
      </c>
      <c r="P14" s="2" t="n">
        <f aca="false">P13+Grid!P14</f>
        <v>5000000</v>
      </c>
      <c r="Q14" s="2" t="n">
        <f aca="false">Q13+Grid!Q14</f>
        <v>0</v>
      </c>
      <c r="R14" s="2" t="n">
        <f aca="false">R13+Grid!R14</f>
        <v>0</v>
      </c>
      <c r="S14" s="2" t="n">
        <f aca="false">S13+Grid!S14</f>
        <v>10000000</v>
      </c>
      <c r="T14" s="2" t="n">
        <f aca="false">T13+Grid!T14</f>
        <v>5000000</v>
      </c>
      <c r="U14" s="2" t="n">
        <f aca="false">SUM(C14:T14)</f>
        <v>98500000</v>
      </c>
      <c r="V14" s="4" t="n">
        <f aca="false">U14/Inputs!$B$4</f>
        <v>0.0985</v>
      </c>
    </row>
    <row r="15" customFormat="false" ht="15" hidden="false" customHeight="false" outlineLevel="0" collapsed="false">
      <c r="A15" s="0" t="n">
        <v>10</v>
      </c>
      <c r="B15" s="3" t="n">
        <f aca="false">Grid!B15</f>
        <v>46726</v>
      </c>
      <c r="C15" s="2" t="n">
        <f aca="false">C14+Grid!C15</f>
        <v>0</v>
      </c>
      <c r="D15" s="2" t="n">
        <f aca="false">D14+Grid!D15</f>
        <v>0</v>
      </c>
      <c r="E15" s="2" t="n">
        <f aca="false">E14+Grid!E15</f>
        <v>0</v>
      </c>
      <c r="F15" s="2" t="n">
        <f aca="false">F14+Grid!F15</f>
        <v>0</v>
      </c>
      <c r="G15" s="2" t="n">
        <f aca="false">G14+Grid!G15</f>
        <v>0</v>
      </c>
      <c r="H15" s="2" t="n">
        <f aca="false">H14+Grid!H15</f>
        <v>0</v>
      </c>
      <c r="I15" s="2" t="n">
        <f aca="false">I14+Grid!I15</f>
        <v>0</v>
      </c>
      <c r="J15" s="2" t="n">
        <f aca="false">J14+Grid!J15</f>
        <v>0</v>
      </c>
      <c r="K15" s="2" t="n">
        <f aca="false">K14+Grid!K15</f>
        <v>0</v>
      </c>
      <c r="L15" s="2" t="n">
        <f aca="false">L14+Grid!L15</f>
        <v>0</v>
      </c>
      <c r="M15" s="2" t="n">
        <f aca="false">M14+Grid!M15</f>
        <v>15000000</v>
      </c>
      <c r="N15" s="2" t="n">
        <f aca="false">N14+Grid!N15</f>
        <v>28000000</v>
      </c>
      <c r="O15" s="2" t="n">
        <f aca="false">O14+Grid!O15</f>
        <v>40000000</v>
      </c>
      <c r="P15" s="2" t="n">
        <f aca="false">P14+Grid!P15</f>
        <v>6666666.66666667</v>
      </c>
      <c r="Q15" s="2" t="n">
        <f aca="false">Q14+Grid!Q15</f>
        <v>0</v>
      </c>
      <c r="R15" s="2" t="n">
        <f aca="false">R14+Grid!R15</f>
        <v>0</v>
      </c>
      <c r="S15" s="2" t="n">
        <f aca="false">S14+Grid!S15</f>
        <v>10000000</v>
      </c>
      <c r="T15" s="2" t="n">
        <f aca="false">T14+Grid!T15</f>
        <v>5000000</v>
      </c>
      <c r="U15" s="2" t="n">
        <f aca="false">SUM(C15:T15)</f>
        <v>104666666.666667</v>
      </c>
      <c r="V15" s="4" t="n">
        <f aca="false">U15/Inputs!$B$4</f>
        <v>0.104666666666667</v>
      </c>
    </row>
    <row r="16" customFormat="false" ht="15" hidden="false" customHeight="false" outlineLevel="0" collapsed="false">
      <c r="A16" s="0" t="n">
        <v>11</v>
      </c>
      <c r="B16" s="3" t="n">
        <f aca="false">Grid!B16</f>
        <v>46757</v>
      </c>
      <c r="C16" s="2" t="n">
        <f aca="false">C15+Grid!C16</f>
        <v>0</v>
      </c>
      <c r="D16" s="2" t="n">
        <f aca="false">D15+Grid!D16</f>
        <v>0</v>
      </c>
      <c r="E16" s="2" t="n">
        <f aca="false">E15+Grid!E16</f>
        <v>0</v>
      </c>
      <c r="F16" s="2" t="n">
        <f aca="false">F15+Grid!F16</f>
        <v>0</v>
      </c>
      <c r="G16" s="2" t="n">
        <f aca="false">G15+Grid!G16</f>
        <v>0</v>
      </c>
      <c r="H16" s="2" t="n">
        <f aca="false">H15+Grid!H16</f>
        <v>0</v>
      </c>
      <c r="I16" s="2" t="n">
        <f aca="false">I15+Grid!I16</f>
        <v>0</v>
      </c>
      <c r="J16" s="2" t="n">
        <f aca="false">J15+Grid!J16</f>
        <v>0</v>
      </c>
      <c r="K16" s="2" t="n">
        <f aca="false">K15+Grid!K16</f>
        <v>0</v>
      </c>
      <c r="L16" s="2" t="n">
        <f aca="false">L15+Grid!L16</f>
        <v>0</v>
      </c>
      <c r="M16" s="2" t="n">
        <f aca="false">M15+Grid!M16</f>
        <v>15000000</v>
      </c>
      <c r="N16" s="2" t="n">
        <f aca="false">N15+Grid!N16</f>
        <v>32000000</v>
      </c>
      <c r="O16" s="2" t="n">
        <f aca="false">O15+Grid!O16</f>
        <v>40500000</v>
      </c>
      <c r="P16" s="2" t="n">
        <f aca="false">P15+Grid!P16</f>
        <v>8333333.33333333</v>
      </c>
      <c r="Q16" s="2" t="n">
        <f aca="false">Q15+Grid!Q16</f>
        <v>0</v>
      </c>
      <c r="R16" s="2" t="n">
        <f aca="false">R15+Grid!R16</f>
        <v>0</v>
      </c>
      <c r="S16" s="2" t="n">
        <f aca="false">S15+Grid!S16</f>
        <v>10000000</v>
      </c>
      <c r="T16" s="2" t="n">
        <f aca="false">T15+Grid!T16</f>
        <v>5000000</v>
      </c>
      <c r="U16" s="2" t="n">
        <f aca="false">SUM(C16:T16)</f>
        <v>110833333.333333</v>
      </c>
      <c r="V16" s="4" t="n">
        <f aca="false">U16/Inputs!$B$4</f>
        <v>0.110833333333333</v>
      </c>
    </row>
    <row r="17" customFormat="false" ht="15" hidden="false" customHeight="false" outlineLevel="0" collapsed="false">
      <c r="A17" s="0" t="n">
        <v>12</v>
      </c>
      <c r="B17" s="3" t="n">
        <f aca="false">Grid!B17</f>
        <v>46788</v>
      </c>
      <c r="C17" s="2" t="n">
        <f aca="false">C16+Grid!C17</f>
        <v>0</v>
      </c>
      <c r="D17" s="2" t="n">
        <f aca="false">D16+Grid!D17</f>
        <v>0</v>
      </c>
      <c r="E17" s="2" t="n">
        <f aca="false">E16+Grid!E17</f>
        <v>0</v>
      </c>
      <c r="F17" s="2" t="n">
        <f aca="false">F16+Grid!F17</f>
        <v>0</v>
      </c>
      <c r="G17" s="2" t="n">
        <f aca="false">G16+Grid!G17</f>
        <v>0</v>
      </c>
      <c r="H17" s="2" t="n">
        <f aca="false">H16+Grid!H17</f>
        <v>0</v>
      </c>
      <c r="I17" s="2" t="n">
        <f aca="false">I16+Grid!I17</f>
        <v>0</v>
      </c>
      <c r="J17" s="2" t="n">
        <f aca="false">J16+Grid!J17</f>
        <v>0</v>
      </c>
      <c r="K17" s="2" t="n">
        <f aca="false">K16+Grid!K17</f>
        <v>0</v>
      </c>
      <c r="L17" s="2" t="n">
        <f aca="false">L16+Grid!L17</f>
        <v>0</v>
      </c>
      <c r="M17" s="2" t="n">
        <f aca="false">M16+Grid!M17</f>
        <v>15000000</v>
      </c>
      <c r="N17" s="2" t="n">
        <f aca="false">N16+Grid!N17</f>
        <v>36000000</v>
      </c>
      <c r="O17" s="2" t="n">
        <f aca="false">O16+Grid!O17</f>
        <v>41000000</v>
      </c>
      <c r="P17" s="2" t="n">
        <f aca="false">P16+Grid!P17</f>
        <v>10000000</v>
      </c>
      <c r="Q17" s="2" t="n">
        <f aca="false">Q16+Grid!Q17</f>
        <v>0</v>
      </c>
      <c r="R17" s="2" t="n">
        <f aca="false">R16+Grid!R17</f>
        <v>0</v>
      </c>
      <c r="S17" s="2" t="n">
        <f aca="false">S16+Grid!S17</f>
        <v>10000000</v>
      </c>
      <c r="T17" s="2" t="n">
        <f aca="false">T16+Grid!T17</f>
        <v>5000000</v>
      </c>
      <c r="U17" s="2" t="n">
        <f aca="false">SUM(C17:T17)</f>
        <v>117000000</v>
      </c>
      <c r="V17" s="4" t="n">
        <f aca="false">U17/Inputs!$B$4</f>
        <v>0.117</v>
      </c>
    </row>
    <row r="18" customFormat="false" ht="15" hidden="false" customHeight="false" outlineLevel="0" collapsed="false">
      <c r="A18" s="0" t="n">
        <v>13</v>
      </c>
      <c r="B18" s="3" t="n">
        <f aca="false">Grid!B18</f>
        <v>46817</v>
      </c>
      <c r="C18" s="2" t="n">
        <f aca="false">C17+Grid!C18</f>
        <v>215237.395833333</v>
      </c>
      <c r="D18" s="2" t="n">
        <f aca="false">D17+Grid!D18</f>
        <v>568942.8125</v>
      </c>
      <c r="E18" s="2" t="n">
        <f aca="false">E17+Grid!E18</f>
        <v>341365.708333333</v>
      </c>
      <c r="F18" s="2" t="n">
        <f aca="false">F17+Grid!F18</f>
        <v>227577.145833333</v>
      </c>
      <c r="G18" s="2" t="n">
        <f aca="false">G17+Grid!G18</f>
        <v>227577.145833333</v>
      </c>
      <c r="H18" s="2" t="n">
        <f aca="false">H17+Grid!H18</f>
        <v>227577.145833333</v>
      </c>
      <c r="I18" s="2" t="n">
        <f aca="false">I17+Grid!I18</f>
        <v>227577.145833333</v>
      </c>
      <c r="J18" s="2" t="n">
        <f aca="false">J17+Grid!J18</f>
        <v>47478.8333333333</v>
      </c>
      <c r="K18" s="2" t="n">
        <f aca="false">K17+Grid!K18</f>
        <v>7291666.66666667</v>
      </c>
      <c r="L18" s="2" t="n">
        <f aca="false">L17+Grid!L18</f>
        <v>833333.333333333</v>
      </c>
      <c r="M18" s="2" t="n">
        <f aca="false">M17+Grid!M18</f>
        <v>15000000</v>
      </c>
      <c r="N18" s="2" t="n">
        <f aca="false">N17+Grid!N18</f>
        <v>39400000</v>
      </c>
      <c r="O18" s="2" t="n">
        <f aca="false">O17+Grid!O18</f>
        <v>41500000</v>
      </c>
      <c r="P18" s="2" t="n">
        <f aca="false">P17+Grid!P18</f>
        <v>11666666.6666667</v>
      </c>
      <c r="Q18" s="2" t="n">
        <f aca="false">Q17+Grid!Q18</f>
        <v>1666666.66666667</v>
      </c>
      <c r="R18" s="2" t="n">
        <f aca="false">R17+Grid!R18</f>
        <v>0</v>
      </c>
      <c r="S18" s="2" t="n">
        <f aca="false">S17+Grid!S18</f>
        <v>10000000</v>
      </c>
      <c r="T18" s="2" t="n">
        <f aca="false">T17+Grid!T18</f>
        <v>5000000</v>
      </c>
      <c r="U18" s="2" t="n">
        <f aca="false">SUM(C18:T18)</f>
        <v>134441666.666667</v>
      </c>
      <c r="V18" s="4" t="n">
        <f aca="false">U18/Inputs!$B$4</f>
        <v>0.134441666666667</v>
      </c>
    </row>
    <row r="19" customFormat="false" ht="15" hidden="false" customHeight="false" outlineLevel="0" collapsed="false">
      <c r="A19" s="0" t="n">
        <v>14</v>
      </c>
      <c r="B19" s="3" t="n">
        <f aca="false">Grid!B19</f>
        <v>46848</v>
      </c>
      <c r="C19" s="2" t="n">
        <f aca="false">C18+Grid!C19</f>
        <v>430474.791666667</v>
      </c>
      <c r="D19" s="2" t="n">
        <f aca="false">D18+Grid!D19</f>
        <v>1137885.625</v>
      </c>
      <c r="E19" s="2" t="n">
        <f aca="false">E18+Grid!E19</f>
        <v>682731.416666667</v>
      </c>
      <c r="F19" s="2" t="n">
        <f aca="false">F18+Grid!F19</f>
        <v>455154.291666667</v>
      </c>
      <c r="G19" s="2" t="n">
        <f aca="false">G18+Grid!G19</f>
        <v>455154.291666667</v>
      </c>
      <c r="H19" s="2" t="n">
        <f aca="false">H18+Grid!H19</f>
        <v>455154.291666667</v>
      </c>
      <c r="I19" s="2" t="n">
        <f aca="false">I18+Grid!I19</f>
        <v>455154.291666667</v>
      </c>
      <c r="J19" s="2" t="n">
        <f aca="false">J18+Grid!J19</f>
        <v>94957.6666666667</v>
      </c>
      <c r="K19" s="2" t="n">
        <f aca="false">K18+Grid!K19</f>
        <v>14583333.3333333</v>
      </c>
      <c r="L19" s="2" t="n">
        <f aca="false">L18+Grid!L19</f>
        <v>1666666.66666667</v>
      </c>
      <c r="M19" s="2" t="n">
        <f aca="false">M18+Grid!M19</f>
        <v>15000000</v>
      </c>
      <c r="N19" s="2" t="n">
        <f aca="false">N18+Grid!N19</f>
        <v>42800000</v>
      </c>
      <c r="O19" s="2" t="n">
        <f aca="false">O18+Grid!O19</f>
        <v>42000000</v>
      </c>
      <c r="P19" s="2" t="n">
        <f aca="false">P18+Grid!P19</f>
        <v>13333333.3333333</v>
      </c>
      <c r="Q19" s="2" t="n">
        <f aca="false">Q18+Grid!Q19</f>
        <v>3333333.33333333</v>
      </c>
      <c r="R19" s="2" t="n">
        <f aca="false">R18+Grid!R19</f>
        <v>2000000</v>
      </c>
      <c r="S19" s="2" t="n">
        <f aca="false">S18+Grid!S19</f>
        <v>10000000</v>
      </c>
      <c r="T19" s="2" t="n">
        <f aca="false">T18+Grid!T19</f>
        <v>5000000</v>
      </c>
      <c r="U19" s="2" t="n">
        <f aca="false">SUM(C19:T19)</f>
        <v>153883333.333333</v>
      </c>
      <c r="V19" s="4" t="n">
        <f aca="false">U19/Inputs!$B$4</f>
        <v>0.153883333333333</v>
      </c>
    </row>
    <row r="20" customFormat="false" ht="15" hidden="false" customHeight="false" outlineLevel="0" collapsed="false">
      <c r="A20" s="0" t="n">
        <v>15</v>
      </c>
      <c r="B20" s="3" t="n">
        <f aca="false">Grid!B20</f>
        <v>46878</v>
      </c>
      <c r="C20" s="2" t="n">
        <f aca="false">C19+Grid!C20</f>
        <v>645712.1875</v>
      </c>
      <c r="D20" s="2" t="n">
        <f aca="false">D19+Grid!D20</f>
        <v>1706828.4375</v>
      </c>
      <c r="E20" s="2" t="n">
        <f aca="false">E19+Grid!E20</f>
        <v>1024097.125</v>
      </c>
      <c r="F20" s="2" t="n">
        <f aca="false">F19+Grid!F20</f>
        <v>682731.4375</v>
      </c>
      <c r="G20" s="2" t="n">
        <f aca="false">G19+Grid!G20</f>
        <v>682731.4375</v>
      </c>
      <c r="H20" s="2" t="n">
        <f aca="false">H19+Grid!H20</f>
        <v>682731.4375</v>
      </c>
      <c r="I20" s="2" t="n">
        <f aca="false">I19+Grid!I20</f>
        <v>682731.4375</v>
      </c>
      <c r="J20" s="2" t="n">
        <f aca="false">J19+Grid!J20</f>
        <v>142436.5</v>
      </c>
      <c r="K20" s="2" t="n">
        <f aca="false">K19+Grid!K20</f>
        <v>21875000</v>
      </c>
      <c r="L20" s="2" t="n">
        <f aca="false">L19+Grid!L20</f>
        <v>2500000</v>
      </c>
      <c r="M20" s="2" t="n">
        <f aca="false">M19+Grid!M20</f>
        <v>15000000</v>
      </c>
      <c r="N20" s="2" t="n">
        <f aca="false">N19+Grid!N20</f>
        <v>46200000</v>
      </c>
      <c r="O20" s="2" t="n">
        <f aca="false">O19+Grid!O20</f>
        <v>42500000</v>
      </c>
      <c r="P20" s="2" t="n">
        <f aca="false">P19+Grid!P20</f>
        <v>15000000</v>
      </c>
      <c r="Q20" s="2" t="n">
        <f aca="false">Q19+Grid!Q20</f>
        <v>5000000</v>
      </c>
      <c r="R20" s="2" t="n">
        <f aca="false">R19+Grid!R20</f>
        <v>4000000</v>
      </c>
      <c r="S20" s="2" t="n">
        <f aca="false">S19+Grid!S20</f>
        <v>10000000</v>
      </c>
      <c r="T20" s="2" t="n">
        <f aca="false">T19+Grid!T20</f>
        <v>5000000</v>
      </c>
      <c r="U20" s="2" t="n">
        <f aca="false">SUM(C20:T20)</f>
        <v>173325000</v>
      </c>
      <c r="V20" s="4" t="n">
        <f aca="false">U20/Inputs!$B$4</f>
        <v>0.173325</v>
      </c>
    </row>
    <row r="21" customFormat="false" ht="15" hidden="false" customHeight="false" outlineLevel="0" collapsed="false">
      <c r="A21" s="0" t="n">
        <v>16</v>
      </c>
      <c r="B21" s="3" t="n">
        <f aca="false">Grid!B21</f>
        <v>46909</v>
      </c>
      <c r="C21" s="2" t="n">
        <f aca="false">C20+Grid!C21</f>
        <v>860949.583333333</v>
      </c>
      <c r="D21" s="2" t="n">
        <f aca="false">D20+Grid!D21</f>
        <v>2275771.25</v>
      </c>
      <c r="E21" s="2" t="n">
        <f aca="false">E20+Grid!E21</f>
        <v>1365462.83333333</v>
      </c>
      <c r="F21" s="2" t="n">
        <f aca="false">F20+Grid!F21</f>
        <v>910308.583333333</v>
      </c>
      <c r="G21" s="2" t="n">
        <f aca="false">G20+Grid!G21</f>
        <v>910308.583333333</v>
      </c>
      <c r="H21" s="2" t="n">
        <f aca="false">H20+Grid!H21</f>
        <v>910308.583333333</v>
      </c>
      <c r="I21" s="2" t="n">
        <f aca="false">I20+Grid!I21</f>
        <v>910308.583333333</v>
      </c>
      <c r="J21" s="2" t="n">
        <f aca="false">J20+Grid!J21</f>
        <v>189915.333333333</v>
      </c>
      <c r="K21" s="2" t="n">
        <f aca="false">K20+Grid!K21</f>
        <v>29166666.6666667</v>
      </c>
      <c r="L21" s="2" t="n">
        <f aca="false">L20+Grid!L21</f>
        <v>3333333.33333333</v>
      </c>
      <c r="M21" s="2" t="n">
        <f aca="false">M20+Grid!M21</f>
        <v>15000000</v>
      </c>
      <c r="N21" s="2" t="n">
        <f aca="false">N20+Grid!N21</f>
        <v>49600000</v>
      </c>
      <c r="O21" s="2" t="n">
        <f aca="false">O20+Grid!O21</f>
        <v>43000000</v>
      </c>
      <c r="P21" s="2" t="n">
        <f aca="false">P20+Grid!P21</f>
        <v>16666666.6666667</v>
      </c>
      <c r="Q21" s="2" t="n">
        <f aca="false">Q20+Grid!Q21</f>
        <v>6666666.66666667</v>
      </c>
      <c r="R21" s="2" t="n">
        <f aca="false">R20+Grid!R21</f>
        <v>6000000</v>
      </c>
      <c r="S21" s="2" t="n">
        <f aca="false">S20+Grid!S21</f>
        <v>10000000</v>
      </c>
      <c r="T21" s="2" t="n">
        <f aca="false">T20+Grid!T21</f>
        <v>5000000</v>
      </c>
      <c r="U21" s="2" t="n">
        <f aca="false">SUM(C21:T21)</f>
        <v>192766666.666667</v>
      </c>
      <c r="V21" s="4" t="n">
        <f aca="false">U21/Inputs!$B$4</f>
        <v>0.192766666666667</v>
      </c>
    </row>
    <row r="22" customFormat="false" ht="15" hidden="false" customHeight="false" outlineLevel="0" collapsed="false">
      <c r="A22" s="0" t="n">
        <v>17</v>
      </c>
      <c r="B22" s="3" t="n">
        <f aca="false">Grid!B22</f>
        <v>46939</v>
      </c>
      <c r="C22" s="2" t="n">
        <f aca="false">C21+Grid!C22</f>
        <v>1076186.97916667</v>
      </c>
      <c r="D22" s="2" t="n">
        <f aca="false">D21+Grid!D22</f>
        <v>2844714.0625</v>
      </c>
      <c r="E22" s="2" t="n">
        <f aca="false">E21+Grid!E22</f>
        <v>1706828.54166667</v>
      </c>
      <c r="F22" s="2" t="n">
        <f aca="false">F21+Grid!F22</f>
        <v>1137885.72916667</v>
      </c>
      <c r="G22" s="2" t="n">
        <f aca="false">G21+Grid!G22</f>
        <v>1137885.72916667</v>
      </c>
      <c r="H22" s="2" t="n">
        <f aca="false">H21+Grid!H22</f>
        <v>1137885.72916667</v>
      </c>
      <c r="I22" s="2" t="n">
        <f aca="false">I21+Grid!I22</f>
        <v>1137885.72916667</v>
      </c>
      <c r="J22" s="2" t="n">
        <f aca="false">J21+Grid!J22</f>
        <v>237394.166666667</v>
      </c>
      <c r="K22" s="2" t="n">
        <f aca="false">K21+Grid!K22</f>
        <v>36458333.3333333</v>
      </c>
      <c r="L22" s="2" t="n">
        <f aca="false">L21+Grid!L22</f>
        <v>4166666.66666667</v>
      </c>
      <c r="M22" s="2" t="n">
        <f aca="false">M21+Grid!M22</f>
        <v>15000000</v>
      </c>
      <c r="N22" s="2" t="n">
        <f aca="false">N21+Grid!N22</f>
        <v>53000000</v>
      </c>
      <c r="O22" s="2" t="n">
        <f aca="false">O21+Grid!O22</f>
        <v>43500000</v>
      </c>
      <c r="P22" s="2" t="n">
        <f aca="false">P21+Grid!P22</f>
        <v>18333333.3333333</v>
      </c>
      <c r="Q22" s="2" t="n">
        <f aca="false">Q21+Grid!Q22</f>
        <v>8333333.33333333</v>
      </c>
      <c r="R22" s="2" t="n">
        <f aca="false">R21+Grid!R22</f>
        <v>8000000</v>
      </c>
      <c r="S22" s="2" t="n">
        <f aca="false">S21+Grid!S22</f>
        <v>10000000</v>
      </c>
      <c r="T22" s="2" t="n">
        <f aca="false">T21+Grid!T22</f>
        <v>5000000</v>
      </c>
      <c r="U22" s="2" t="n">
        <f aca="false">SUM(C22:T22)</f>
        <v>212208333.333333</v>
      </c>
      <c r="V22" s="4" t="n">
        <f aca="false">U22/Inputs!$B$4</f>
        <v>0.212208333333333</v>
      </c>
    </row>
    <row r="23" customFormat="false" ht="15" hidden="false" customHeight="false" outlineLevel="0" collapsed="false">
      <c r="A23" s="0" t="n">
        <v>18</v>
      </c>
      <c r="B23" s="3" t="n">
        <f aca="false">Grid!B23</f>
        <v>46970</v>
      </c>
      <c r="C23" s="2" t="n">
        <f aca="false">C22+Grid!C23</f>
        <v>1291424.375</v>
      </c>
      <c r="D23" s="2" t="n">
        <f aca="false">D22+Grid!D23</f>
        <v>3413656.875</v>
      </c>
      <c r="E23" s="2" t="n">
        <f aca="false">E22+Grid!E23</f>
        <v>2048194.25</v>
      </c>
      <c r="F23" s="2" t="n">
        <f aca="false">F22+Grid!F23</f>
        <v>1365462.875</v>
      </c>
      <c r="G23" s="2" t="n">
        <f aca="false">G22+Grid!G23</f>
        <v>1365462.875</v>
      </c>
      <c r="H23" s="2" t="n">
        <f aca="false">H22+Grid!H23</f>
        <v>1365462.875</v>
      </c>
      <c r="I23" s="2" t="n">
        <f aca="false">I22+Grid!I23</f>
        <v>1365462.875</v>
      </c>
      <c r="J23" s="2" t="n">
        <f aca="false">J22+Grid!J23</f>
        <v>284873</v>
      </c>
      <c r="K23" s="2" t="n">
        <f aca="false">K22+Grid!K23</f>
        <v>43750000</v>
      </c>
      <c r="L23" s="2" t="n">
        <f aca="false">L22+Grid!L23</f>
        <v>5000000</v>
      </c>
      <c r="M23" s="2" t="n">
        <f aca="false">M22+Grid!M23</f>
        <v>15000000</v>
      </c>
      <c r="N23" s="2" t="n">
        <f aca="false">N22+Grid!N23</f>
        <v>56400000</v>
      </c>
      <c r="O23" s="2" t="n">
        <f aca="false">O22+Grid!O23</f>
        <v>44000000</v>
      </c>
      <c r="P23" s="2" t="n">
        <f aca="false">P22+Grid!P23</f>
        <v>20000000</v>
      </c>
      <c r="Q23" s="2" t="n">
        <f aca="false">Q22+Grid!Q23</f>
        <v>10000000</v>
      </c>
      <c r="R23" s="2" t="n">
        <f aca="false">R22+Grid!R23</f>
        <v>10000000</v>
      </c>
      <c r="S23" s="2" t="n">
        <f aca="false">S22+Grid!S23</f>
        <v>10000000</v>
      </c>
      <c r="T23" s="2" t="n">
        <f aca="false">T22+Grid!T23</f>
        <v>5000000</v>
      </c>
      <c r="U23" s="2" t="n">
        <f aca="false">SUM(C23:T23)</f>
        <v>231650000</v>
      </c>
      <c r="V23" s="4" t="n">
        <f aca="false">U23/Inputs!$B$4</f>
        <v>0.23165</v>
      </c>
    </row>
    <row r="24" customFormat="false" ht="15" hidden="false" customHeight="false" outlineLevel="0" collapsed="false">
      <c r="A24" s="0" t="n">
        <v>19</v>
      </c>
      <c r="B24" s="3" t="n">
        <f aca="false">Grid!B24</f>
        <v>47001</v>
      </c>
      <c r="C24" s="2" t="n">
        <f aca="false">C23+Grid!C24</f>
        <v>1506661.77083333</v>
      </c>
      <c r="D24" s="2" t="n">
        <f aca="false">D23+Grid!D24</f>
        <v>3982599.6875</v>
      </c>
      <c r="E24" s="2" t="n">
        <f aca="false">E23+Grid!E24</f>
        <v>2389559.95833333</v>
      </c>
      <c r="F24" s="2" t="n">
        <f aca="false">F23+Grid!F24</f>
        <v>1593040.02083333</v>
      </c>
      <c r="G24" s="2" t="n">
        <f aca="false">G23+Grid!G24</f>
        <v>1593040.02083333</v>
      </c>
      <c r="H24" s="2" t="n">
        <f aca="false">H23+Grid!H24</f>
        <v>1593040.02083333</v>
      </c>
      <c r="I24" s="2" t="n">
        <f aca="false">I23+Grid!I24</f>
        <v>1593040.02083333</v>
      </c>
      <c r="J24" s="2" t="n">
        <f aca="false">J23+Grid!J24</f>
        <v>332351.833333333</v>
      </c>
      <c r="K24" s="2" t="n">
        <f aca="false">K23+Grid!K24</f>
        <v>51041666.6666667</v>
      </c>
      <c r="L24" s="2" t="n">
        <f aca="false">L23+Grid!L24</f>
        <v>5833333.33333333</v>
      </c>
      <c r="M24" s="2" t="n">
        <f aca="false">M23+Grid!M24</f>
        <v>15000000</v>
      </c>
      <c r="N24" s="2" t="n">
        <f aca="false">N23+Grid!N24</f>
        <v>59800000</v>
      </c>
      <c r="O24" s="2" t="n">
        <f aca="false">O23+Grid!O24</f>
        <v>44500000</v>
      </c>
      <c r="P24" s="2" t="n">
        <f aca="false">P23+Grid!P24</f>
        <v>21666666.6666667</v>
      </c>
      <c r="Q24" s="2" t="n">
        <f aca="false">Q23+Grid!Q24</f>
        <v>11666666.6666667</v>
      </c>
      <c r="R24" s="2" t="n">
        <f aca="false">R23+Grid!R24</f>
        <v>12000000</v>
      </c>
      <c r="S24" s="2" t="n">
        <f aca="false">S23+Grid!S24</f>
        <v>10000000</v>
      </c>
      <c r="T24" s="2" t="n">
        <f aca="false">T23+Grid!T24</f>
        <v>5000000</v>
      </c>
      <c r="U24" s="2" t="n">
        <f aca="false">SUM(C24:T24)</f>
        <v>251091666.666667</v>
      </c>
      <c r="V24" s="4" t="n">
        <f aca="false">U24/Inputs!$B$4</f>
        <v>0.251091666666667</v>
      </c>
    </row>
    <row r="25" customFormat="false" ht="15" hidden="false" customHeight="false" outlineLevel="0" collapsed="false">
      <c r="A25" s="0" t="n">
        <v>20</v>
      </c>
      <c r="B25" s="3" t="n">
        <f aca="false">Grid!B25</f>
        <v>47031</v>
      </c>
      <c r="C25" s="2" t="n">
        <f aca="false">C24+Grid!C25</f>
        <v>1721899.16666667</v>
      </c>
      <c r="D25" s="2" t="n">
        <f aca="false">D24+Grid!D25</f>
        <v>4551542.5</v>
      </c>
      <c r="E25" s="2" t="n">
        <f aca="false">E24+Grid!E25</f>
        <v>2730925.66666667</v>
      </c>
      <c r="F25" s="2" t="n">
        <f aca="false">F24+Grid!F25</f>
        <v>1820617.16666667</v>
      </c>
      <c r="G25" s="2" t="n">
        <f aca="false">G24+Grid!G25</f>
        <v>1820617.16666667</v>
      </c>
      <c r="H25" s="2" t="n">
        <f aca="false">H24+Grid!H25</f>
        <v>1820617.16666667</v>
      </c>
      <c r="I25" s="2" t="n">
        <f aca="false">I24+Grid!I25</f>
        <v>1820617.16666667</v>
      </c>
      <c r="J25" s="2" t="n">
        <f aca="false">J24+Grid!J25</f>
        <v>379830.666666667</v>
      </c>
      <c r="K25" s="2" t="n">
        <f aca="false">K24+Grid!K25</f>
        <v>58333333.3333333</v>
      </c>
      <c r="L25" s="2" t="n">
        <f aca="false">L24+Grid!L25</f>
        <v>6666666.66666667</v>
      </c>
      <c r="M25" s="2" t="n">
        <f aca="false">M24+Grid!M25</f>
        <v>15000000</v>
      </c>
      <c r="N25" s="2" t="n">
        <f aca="false">N24+Grid!N25</f>
        <v>63200000</v>
      </c>
      <c r="O25" s="2" t="n">
        <f aca="false">O24+Grid!O25</f>
        <v>45000000</v>
      </c>
      <c r="P25" s="2" t="n">
        <f aca="false">P24+Grid!P25</f>
        <v>23333333.3333333</v>
      </c>
      <c r="Q25" s="2" t="n">
        <f aca="false">Q24+Grid!Q25</f>
        <v>13333333.3333333</v>
      </c>
      <c r="R25" s="2" t="n">
        <f aca="false">R24+Grid!R25</f>
        <v>14000000</v>
      </c>
      <c r="S25" s="2" t="n">
        <f aca="false">S24+Grid!S25</f>
        <v>10000000</v>
      </c>
      <c r="T25" s="2" t="n">
        <f aca="false">T24+Grid!T25</f>
        <v>5000000</v>
      </c>
      <c r="U25" s="2" t="n">
        <f aca="false">SUM(C25:T25)</f>
        <v>270533333.333333</v>
      </c>
      <c r="V25" s="4" t="n">
        <f aca="false">U25/Inputs!$B$4</f>
        <v>0.270533333333333</v>
      </c>
    </row>
    <row r="26" customFormat="false" ht="15" hidden="false" customHeight="false" outlineLevel="0" collapsed="false">
      <c r="A26" s="0" t="n">
        <v>21</v>
      </c>
      <c r="B26" s="3" t="n">
        <f aca="false">Grid!B26</f>
        <v>47062</v>
      </c>
      <c r="C26" s="2" t="n">
        <f aca="false">C25+Grid!C26</f>
        <v>1937136.5625</v>
      </c>
      <c r="D26" s="2" t="n">
        <f aca="false">D25+Grid!D26</f>
        <v>5120485.3125</v>
      </c>
      <c r="E26" s="2" t="n">
        <f aca="false">E25+Grid!E26</f>
        <v>3072291.375</v>
      </c>
      <c r="F26" s="2" t="n">
        <f aca="false">F25+Grid!F26</f>
        <v>2048194.3125</v>
      </c>
      <c r="G26" s="2" t="n">
        <f aca="false">G25+Grid!G26</f>
        <v>2048194.3125</v>
      </c>
      <c r="H26" s="2" t="n">
        <f aca="false">H25+Grid!H26</f>
        <v>2048194.3125</v>
      </c>
      <c r="I26" s="2" t="n">
        <f aca="false">I25+Grid!I26</f>
        <v>2048194.3125</v>
      </c>
      <c r="J26" s="2" t="n">
        <f aca="false">J25+Grid!J26</f>
        <v>427309.5</v>
      </c>
      <c r="K26" s="2" t="n">
        <f aca="false">K25+Grid!K26</f>
        <v>65625000</v>
      </c>
      <c r="L26" s="2" t="n">
        <f aca="false">L25+Grid!L26</f>
        <v>7500000</v>
      </c>
      <c r="M26" s="2" t="n">
        <f aca="false">M25+Grid!M26</f>
        <v>15000000</v>
      </c>
      <c r="N26" s="2" t="n">
        <f aca="false">N25+Grid!N26</f>
        <v>66600000</v>
      </c>
      <c r="O26" s="2" t="n">
        <f aca="false">O25+Grid!O26</f>
        <v>45500000</v>
      </c>
      <c r="P26" s="2" t="n">
        <f aca="false">P25+Grid!P26</f>
        <v>25000000</v>
      </c>
      <c r="Q26" s="2" t="n">
        <f aca="false">Q25+Grid!Q26</f>
        <v>15000000</v>
      </c>
      <c r="R26" s="2" t="n">
        <f aca="false">R25+Grid!R26</f>
        <v>16000000</v>
      </c>
      <c r="S26" s="2" t="n">
        <f aca="false">S25+Grid!S26</f>
        <v>10000000</v>
      </c>
      <c r="T26" s="2" t="n">
        <f aca="false">T25+Grid!T26</f>
        <v>5000000</v>
      </c>
      <c r="U26" s="2" t="n">
        <f aca="false">SUM(C26:T26)</f>
        <v>289975000</v>
      </c>
      <c r="V26" s="4" t="n">
        <f aca="false">U26/Inputs!$B$4</f>
        <v>0.289975</v>
      </c>
    </row>
    <row r="27" customFormat="false" ht="15" hidden="false" customHeight="false" outlineLevel="0" collapsed="false">
      <c r="A27" s="0" t="n">
        <v>22</v>
      </c>
      <c r="B27" s="3" t="n">
        <f aca="false">Grid!B27</f>
        <v>47092</v>
      </c>
      <c r="C27" s="2" t="n">
        <f aca="false">C26+Grid!C27</f>
        <v>2152373.95833333</v>
      </c>
      <c r="D27" s="2" t="n">
        <f aca="false">D26+Grid!D27</f>
        <v>5689428.125</v>
      </c>
      <c r="E27" s="2" t="n">
        <f aca="false">E26+Grid!E27</f>
        <v>3413657.08333333</v>
      </c>
      <c r="F27" s="2" t="n">
        <f aca="false">F26+Grid!F27</f>
        <v>2275771.45833333</v>
      </c>
      <c r="G27" s="2" t="n">
        <f aca="false">G26+Grid!G27</f>
        <v>2275771.45833333</v>
      </c>
      <c r="H27" s="2" t="n">
        <f aca="false">H26+Grid!H27</f>
        <v>2275771.45833333</v>
      </c>
      <c r="I27" s="2" t="n">
        <f aca="false">I26+Grid!I27</f>
        <v>2275771.45833333</v>
      </c>
      <c r="J27" s="2" t="n">
        <f aca="false">J26+Grid!J27</f>
        <v>474788.333333333</v>
      </c>
      <c r="K27" s="2" t="n">
        <f aca="false">K26+Grid!K27</f>
        <v>72916666.6666667</v>
      </c>
      <c r="L27" s="2" t="n">
        <f aca="false">L26+Grid!L27</f>
        <v>8333333.33333333</v>
      </c>
      <c r="M27" s="2" t="n">
        <f aca="false">M26+Grid!M27</f>
        <v>15000000</v>
      </c>
      <c r="N27" s="2" t="n">
        <f aca="false">N26+Grid!N27</f>
        <v>70000000</v>
      </c>
      <c r="O27" s="2" t="n">
        <f aca="false">O26+Grid!O27</f>
        <v>46000000</v>
      </c>
      <c r="P27" s="2" t="n">
        <f aca="false">P26+Grid!P27</f>
        <v>26666666.6666667</v>
      </c>
      <c r="Q27" s="2" t="n">
        <f aca="false">Q26+Grid!Q27</f>
        <v>16666666.6666667</v>
      </c>
      <c r="R27" s="2" t="n">
        <f aca="false">R26+Grid!R27</f>
        <v>18000000</v>
      </c>
      <c r="S27" s="2" t="n">
        <f aca="false">S26+Grid!S27</f>
        <v>10000000</v>
      </c>
      <c r="T27" s="2" t="n">
        <f aca="false">T26+Grid!T27</f>
        <v>5000000</v>
      </c>
      <c r="U27" s="2" t="n">
        <f aca="false">SUM(C27:T27)</f>
        <v>309416666.666667</v>
      </c>
      <c r="V27" s="4" t="n">
        <f aca="false">U27/Inputs!$B$4</f>
        <v>0.309416666666667</v>
      </c>
    </row>
    <row r="28" customFormat="false" ht="15" hidden="false" customHeight="false" outlineLevel="0" collapsed="false">
      <c r="A28" s="0" t="n">
        <v>23</v>
      </c>
      <c r="B28" s="3" t="n">
        <f aca="false">Grid!B28</f>
        <v>47123</v>
      </c>
      <c r="C28" s="2" t="n">
        <f aca="false">C27+Grid!C28</f>
        <v>2367611.35416667</v>
      </c>
      <c r="D28" s="2" t="n">
        <f aca="false">D27+Grid!D28</f>
        <v>6258370.9375</v>
      </c>
      <c r="E28" s="2" t="n">
        <f aca="false">E27+Grid!E28</f>
        <v>3755022.79166667</v>
      </c>
      <c r="F28" s="2" t="n">
        <f aca="false">F27+Grid!F28</f>
        <v>2503348.60416667</v>
      </c>
      <c r="G28" s="2" t="n">
        <f aca="false">G27+Grid!G28</f>
        <v>2503348.60416667</v>
      </c>
      <c r="H28" s="2" t="n">
        <f aca="false">H27+Grid!H28</f>
        <v>2503348.60416667</v>
      </c>
      <c r="I28" s="2" t="n">
        <f aca="false">I27+Grid!I28</f>
        <v>2503348.60416667</v>
      </c>
      <c r="J28" s="2" t="n">
        <f aca="false">J27+Grid!J28</f>
        <v>522267.166666667</v>
      </c>
      <c r="K28" s="2" t="n">
        <f aca="false">K27+Grid!K28</f>
        <v>80208333.3333333</v>
      </c>
      <c r="L28" s="2" t="n">
        <f aca="false">L27+Grid!L28</f>
        <v>9166666.66666667</v>
      </c>
      <c r="M28" s="2" t="n">
        <f aca="false">M27+Grid!M28</f>
        <v>15000000</v>
      </c>
      <c r="N28" s="2" t="n">
        <f aca="false">N27+Grid!N28</f>
        <v>73400000</v>
      </c>
      <c r="O28" s="2" t="n">
        <f aca="false">O27+Grid!O28</f>
        <v>46500000</v>
      </c>
      <c r="P28" s="2" t="n">
        <f aca="false">P27+Grid!P28</f>
        <v>28333333.3333333</v>
      </c>
      <c r="Q28" s="2" t="n">
        <f aca="false">Q27+Grid!Q28</f>
        <v>18333333.3333333</v>
      </c>
      <c r="R28" s="2" t="n">
        <f aca="false">R27+Grid!R28</f>
        <v>20000000</v>
      </c>
      <c r="S28" s="2" t="n">
        <f aca="false">S27+Grid!S28</f>
        <v>10000000</v>
      </c>
      <c r="T28" s="2" t="n">
        <f aca="false">T27+Grid!T28</f>
        <v>5000000</v>
      </c>
      <c r="U28" s="2" t="n">
        <f aca="false">SUM(C28:T28)</f>
        <v>328858333.333333</v>
      </c>
      <c r="V28" s="4" t="n">
        <f aca="false">U28/Inputs!$B$4</f>
        <v>0.328858333333333</v>
      </c>
    </row>
    <row r="29" customFormat="false" ht="15" hidden="false" customHeight="false" outlineLevel="0" collapsed="false">
      <c r="A29" s="0" t="n">
        <v>24</v>
      </c>
      <c r="B29" s="3" t="n">
        <f aca="false">Grid!B29</f>
        <v>47154</v>
      </c>
      <c r="C29" s="2" t="n">
        <f aca="false">C28+Grid!C29</f>
        <v>2582848.75</v>
      </c>
      <c r="D29" s="2" t="n">
        <f aca="false">D28+Grid!D29</f>
        <v>6827313.75</v>
      </c>
      <c r="E29" s="2" t="n">
        <f aca="false">E28+Grid!E29</f>
        <v>4096388.5</v>
      </c>
      <c r="F29" s="2" t="n">
        <f aca="false">F28+Grid!F29</f>
        <v>2730925.75</v>
      </c>
      <c r="G29" s="2" t="n">
        <f aca="false">G28+Grid!G29</f>
        <v>2730925.75</v>
      </c>
      <c r="H29" s="2" t="n">
        <f aca="false">H28+Grid!H29</f>
        <v>2730925.75</v>
      </c>
      <c r="I29" s="2" t="n">
        <f aca="false">I28+Grid!I29</f>
        <v>2730925.75</v>
      </c>
      <c r="J29" s="2" t="n">
        <f aca="false">J28+Grid!J29</f>
        <v>569746</v>
      </c>
      <c r="K29" s="2" t="n">
        <f aca="false">K28+Grid!K29</f>
        <v>87500000</v>
      </c>
      <c r="L29" s="2" t="n">
        <f aca="false">L28+Grid!L29</f>
        <v>10000000</v>
      </c>
      <c r="M29" s="2" t="n">
        <f aca="false">M28+Grid!M29</f>
        <v>15000000</v>
      </c>
      <c r="N29" s="2" t="n">
        <f aca="false">N28+Grid!N29</f>
        <v>76800000</v>
      </c>
      <c r="O29" s="2" t="n">
        <f aca="false">O28+Grid!O29</f>
        <v>47000000</v>
      </c>
      <c r="P29" s="2" t="n">
        <f aca="false">P28+Grid!P29</f>
        <v>30000000</v>
      </c>
      <c r="Q29" s="2" t="n">
        <f aca="false">Q28+Grid!Q29</f>
        <v>20000000</v>
      </c>
      <c r="R29" s="2" t="n">
        <f aca="false">R28+Grid!R29</f>
        <v>22000000</v>
      </c>
      <c r="S29" s="2" t="n">
        <f aca="false">S28+Grid!S29</f>
        <v>10000000</v>
      </c>
      <c r="T29" s="2" t="n">
        <f aca="false">T28+Grid!T29</f>
        <v>5000000</v>
      </c>
      <c r="U29" s="2" t="n">
        <f aca="false">SUM(C29:T29)</f>
        <v>348300000</v>
      </c>
      <c r="V29" s="4" t="n">
        <f aca="false">U29/Inputs!$B$4</f>
        <v>0.3483</v>
      </c>
    </row>
    <row r="30" customFormat="false" ht="15" hidden="false" customHeight="false" outlineLevel="0" collapsed="false">
      <c r="A30" s="0" t="n">
        <v>25</v>
      </c>
      <c r="B30" s="3" t="n">
        <f aca="false">Grid!B30</f>
        <v>47182</v>
      </c>
      <c r="C30" s="2" t="n">
        <f aca="false">C29+Grid!C30</f>
        <v>2798086.14583333</v>
      </c>
      <c r="D30" s="2" t="n">
        <f aca="false">D29+Grid!D30</f>
        <v>7396256.5625</v>
      </c>
      <c r="E30" s="2" t="n">
        <f aca="false">E29+Grid!E30</f>
        <v>4437754.20833333</v>
      </c>
      <c r="F30" s="2" t="n">
        <f aca="false">F29+Grid!F30</f>
        <v>2958502.89583333</v>
      </c>
      <c r="G30" s="2" t="n">
        <f aca="false">G29+Grid!G30</f>
        <v>2958502.89583333</v>
      </c>
      <c r="H30" s="2" t="n">
        <f aca="false">H29+Grid!H30</f>
        <v>2958502.89583333</v>
      </c>
      <c r="I30" s="2" t="n">
        <f aca="false">I29+Grid!I30</f>
        <v>2958502.89583333</v>
      </c>
      <c r="J30" s="2" t="n">
        <f aca="false">J29+Grid!J30</f>
        <v>617224.833333333</v>
      </c>
      <c r="K30" s="2" t="n">
        <f aca="false">K29+Grid!K30</f>
        <v>94791666.6666667</v>
      </c>
      <c r="L30" s="2" t="n">
        <f aca="false">L29+Grid!L30</f>
        <v>10833333.3333333</v>
      </c>
      <c r="M30" s="2" t="n">
        <f aca="false">M29+Grid!M30</f>
        <v>15000000</v>
      </c>
      <c r="N30" s="2" t="n">
        <f aca="false">N29+Grid!N30</f>
        <v>79690000</v>
      </c>
      <c r="O30" s="2" t="n">
        <f aca="false">O29+Grid!O30</f>
        <v>47500000</v>
      </c>
      <c r="P30" s="2" t="n">
        <f aca="false">P29+Grid!P30</f>
        <v>31666666.6666667</v>
      </c>
      <c r="Q30" s="2" t="n">
        <f aca="false">Q29+Grid!Q30</f>
        <v>21666666.6666667</v>
      </c>
      <c r="R30" s="2" t="n">
        <f aca="false">R29+Grid!R30</f>
        <v>24000000</v>
      </c>
      <c r="S30" s="2" t="n">
        <f aca="false">S29+Grid!S30</f>
        <v>10000000</v>
      </c>
      <c r="T30" s="2" t="n">
        <f aca="false">T29+Grid!T30</f>
        <v>5000000</v>
      </c>
      <c r="U30" s="2" t="n">
        <f aca="false">SUM(C30:T30)</f>
        <v>367231666.666667</v>
      </c>
      <c r="V30" s="4" t="n">
        <f aca="false">U30/Inputs!$B$4</f>
        <v>0.367231666666667</v>
      </c>
    </row>
    <row r="31" customFormat="false" ht="15" hidden="false" customHeight="false" outlineLevel="0" collapsed="false">
      <c r="A31" s="0" t="n">
        <v>26</v>
      </c>
      <c r="B31" s="3" t="n">
        <f aca="false">Grid!B31</f>
        <v>47213</v>
      </c>
      <c r="C31" s="2" t="n">
        <f aca="false">C30+Grid!C31</f>
        <v>3013323.54166667</v>
      </c>
      <c r="D31" s="2" t="n">
        <f aca="false">D30+Grid!D31</f>
        <v>7965199.375</v>
      </c>
      <c r="E31" s="2" t="n">
        <f aca="false">E30+Grid!E31</f>
        <v>4779119.91666667</v>
      </c>
      <c r="F31" s="2" t="n">
        <f aca="false">F30+Grid!F31</f>
        <v>3186080.04166667</v>
      </c>
      <c r="G31" s="2" t="n">
        <f aca="false">G30+Grid!G31</f>
        <v>3186080.04166667</v>
      </c>
      <c r="H31" s="2" t="n">
        <f aca="false">H30+Grid!H31</f>
        <v>3186080.04166667</v>
      </c>
      <c r="I31" s="2" t="n">
        <f aca="false">I30+Grid!I31</f>
        <v>3186080.04166667</v>
      </c>
      <c r="J31" s="2" t="n">
        <f aca="false">J30+Grid!J31</f>
        <v>664703.666666667</v>
      </c>
      <c r="K31" s="2" t="n">
        <f aca="false">K30+Grid!K31</f>
        <v>102083333.333333</v>
      </c>
      <c r="L31" s="2" t="n">
        <f aca="false">L30+Grid!L31</f>
        <v>11666666.6666667</v>
      </c>
      <c r="M31" s="2" t="n">
        <f aca="false">M30+Grid!M31</f>
        <v>15000000</v>
      </c>
      <c r="N31" s="2" t="n">
        <f aca="false">N30+Grid!N31</f>
        <v>82580000</v>
      </c>
      <c r="O31" s="2" t="n">
        <f aca="false">O30+Grid!O31</f>
        <v>48000000</v>
      </c>
      <c r="P31" s="2" t="n">
        <f aca="false">P30+Grid!P31</f>
        <v>33333333.3333333</v>
      </c>
      <c r="Q31" s="2" t="n">
        <f aca="false">Q30+Grid!Q31</f>
        <v>23333333.3333333</v>
      </c>
      <c r="R31" s="2" t="n">
        <f aca="false">R30+Grid!R31</f>
        <v>26000000</v>
      </c>
      <c r="S31" s="2" t="n">
        <f aca="false">S30+Grid!S31</f>
        <v>10000000</v>
      </c>
      <c r="T31" s="2" t="n">
        <f aca="false">T30+Grid!T31</f>
        <v>5000000</v>
      </c>
      <c r="U31" s="2" t="n">
        <f aca="false">SUM(C31:T31)</f>
        <v>386163333.333333</v>
      </c>
      <c r="V31" s="4" t="n">
        <f aca="false">U31/Inputs!$B$4</f>
        <v>0.386163333333333</v>
      </c>
    </row>
    <row r="32" customFormat="false" ht="15" hidden="false" customHeight="false" outlineLevel="0" collapsed="false">
      <c r="A32" s="0" t="n">
        <v>27</v>
      </c>
      <c r="B32" s="3" t="n">
        <f aca="false">Grid!B32</f>
        <v>47243</v>
      </c>
      <c r="C32" s="2" t="n">
        <f aca="false">C31+Grid!C32</f>
        <v>3228560.9375</v>
      </c>
      <c r="D32" s="2" t="n">
        <f aca="false">D31+Grid!D32</f>
        <v>8534142.1875</v>
      </c>
      <c r="E32" s="2" t="n">
        <f aca="false">E31+Grid!E32</f>
        <v>5120485.625</v>
      </c>
      <c r="F32" s="2" t="n">
        <f aca="false">F31+Grid!F32</f>
        <v>3413657.1875</v>
      </c>
      <c r="G32" s="2" t="n">
        <f aca="false">G31+Grid!G32</f>
        <v>3413657.1875</v>
      </c>
      <c r="H32" s="2" t="n">
        <f aca="false">H31+Grid!H32</f>
        <v>3413657.1875</v>
      </c>
      <c r="I32" s="2" t="n">
        <f aca="false">I31+Grid!I32</f>
        <v>3413657.1875</v>
      </c>
      <c r="J32" s="2" t="n">
        <f aca="false">J31+Grid!J32</f>
        <v>712182.5</v>
      </c>
      <c r="K32" s="2" t="n">
        <f aca="false">K31+Grid!K32</f>
        <v>109375000</v>
      </c>
      <c r="L32" s="2" t="n">
        <f aca="false">L31+Grid!L32</f>
        <v>12500000</v>
      </c>
      <c r="M32" s="2" t="n">
        <f aca="false">M31+Grid!M32</f>
        <v>15000000</v>
      </c>
      <c r="N32" s="2" t="n">
        <f aca="false">N31+Grid!N32</f>
        <v>85470000</v>
      </c>
      <c r="O32" s="2" t="n">
        <f aca="false">O31+Grid!O32</f>
        <v>48500000</v>
      </c>
      <c r="P32" s="2" t="n">
        <f aca="false">P31+Grid!P32</f>
        <v>35000000</v>
      </c>
      <c r="Q32" s="2" t="n">
        <f aca="false">Q31+Grid!Q32</f>
        <v>25000000</v>
      </c>
      <c r="R32" s="2" t="n">
        <f aca="false">R31+Grid!R32</f>
        <v>28000000</v>
      </c>
      <c r="S32" s="2" t="n">
        <f aca="false">S31+Grid!S32</f>
        <v>10000000</v>
      </c>
      <c r="T32" s="2" t="n">
        <f aca="false">T31+Grid!T32</f>
        <v>5000000</v>
      </c>
      <c r="U32" s="2" t="n">
        <f aca="false">SUM(C32:T32)</f>
        <v>405095000</v>
      </c>
      <c r="V32" s="4" t="n">
        <f aca="false">U32/Inputs!$B$4</f>
        <v>0.405095</v>
      </c>
    </row>
    <row r="33" customFormat="false" ht="15" hidden="false" customHeight="false" outlineLevel="0" collapsed="false">
      <c r="A33" s="0" t="n">
        <v>28</v>
      </c>
      <c r="B33" s="3" t="n">
        <f aca="false">Grid!B33</f>
        <v>47274</v>
      </c>
      <c r="C33" s="2" t="n">
        <f aca="false">C32+Grid!C33</f>
        <v>3443798.33333333</v>
      </c>
      <c r="D33" s="2" t="n">
        <f aca="false">D32+Grid!D33</f>
        <v>9103085</v>
      </c>
      <c r="E33" s="2" t="n">
        <f aca="false">E32+Grid!E33</f>
        <v>5461851.33333333</v>
      </c>
      <c r="F33" s="2" t="n">
        <f aca="false">F32+Grid!F33</f>
        <v>3641234.33333333</v>
      </c>
      <c r="G33" s="2" t="n">
        <f aca="false">G32+Grid!G33</f>
        <v>3641234.33333333</v>
      </c>
      <c r="H33" s="2" t="n">
        <f aca="false">H32+Grid!H33</f>
        <v>3641234.33333333</v>
      </c>
      <c r="I33" s="2" t="n">
        <f aca="false">I32+Grid!I33</f>
        <v>3641234.33333333</v>
      </c>
      <c r="J33" s="2" t="n">
        <f aca="false">J32+Grid!J33</f>
        <v>759661.333333333</v>
      </c>
      <c r="K33" s="2" t="n">
        <f aca="false">K32+Grid!K33</f>
        <v>116666666.666667</v>
      </c>
      <c r="L33" s="2" t="n">
        <f aca="false">L32+Grid!L33</f>
        <v>13333333.3333333</v>
      </c>
      <c r="M33" s="2" t="n">
        <f aca="false">M32+Grid!M33</f>
        <v>15000000</v>
      </c>
      <c r="N33" s="2" t="n">
        <f aca="false">N32+Grid!N33</f>
        <v>88360000</v>
      </c>
      <c r="O33" s="2" t="n">
        <f aca="false">O32+Grid!O33</f>
        <v>49000000</v>
      </c>
      <c r="P33" s="2" t="n">
        <f aca="false">P32+Grid!P33</f>
        <v>36666666.6666667</v>
      </c>
      <c r="Q33" s="2" t="n">
        <f aca="false">Q32+Grid!Q33</f>
        <v>26666666.6666667</v>
      </c>
      <c r="R33" s="2" t="n">
        <f aca="false">R32+Grid!R33</f>
        <v>30000000</v>
      </c>
      <c r="S33" s="2" t="n">
        <f aca="false">S32+Grid!S33</f>
        <v>10000000</v>
      </c>
      <c r="T33" s="2" t="n">
        <f aca="false">T32+Grid!T33</f>
        <v>5000000</v>
      </c>
      <c r="U33" s="2" t="n">
        <f aca="false">SUM(C33:T33)</f>
        <v>424026666.666667</v>
      </c>
      <c r="V33" s="4" t="n">
        <f aca="false">U33/Inputs!$B$4</f>
        <v>0.424026666666667</v>
      </c>
    </row>
    <row r="34" customFormat="false" ht="15" hidden="false" customHeight="false" outlineLevel="0" collapsed="false">
      <c r="A34" s="0" t="n">
        <v>29</v>
      </c>
      <c r="B34" s="3" t="n">
        <f aca="false">Grid!B34</f>
        <v>47304</v>
      </c>
      <c r="C34" s="2" t="n">
        <f aca="false">C33+Grid!C34</f>
        <v>3659035.72916667</v>
      </c>
      <c r="D34" s="2" t="n">
        <f aca="false">D33+Grid!D34</f>
        <v>9672027.8125</v>
      </c>
      <c r="E34" s="2" t="n">
        <f aca="false">E33+Grid!E34</f>
        <v>5803217.04166667</v>
      </c>
      <c r="F34" s="2" t="n">
        <f aca="false">F33+Grid!F34</f>
        <v>3868811.47916667</v>
      </c>
      <c r="G34" s="2" t="n">
        <f aca="false">G33+Grid!G34</f>
        <v>3868811.47916667</v>
      </c>
      <c r="H34" s="2" t="n">
        <f aca="false">H33+Grid!H34</f>
        <v>3868811.47916667</v>
      </c>
      <c r="I34" s="2" t="n">
        <f aca="false">I33+Grid!I34</f>
        <v>3868811.47916667</v>
      </c>
      <c r="J34" s="2" t="n">
        <f aca="false">J33+Grid!J34</f>
        <v>807140.166666667</v>
      </c>
      <c r="K34" s="2" t="n">
        <f aca="false">K33+Grid!K34</f>
        <v>123958333.333333</v>
      </c>
      <c r="L34" s="2" t="n">
        <f aca="false">L33+Grid!L34</f>
        <v>14166666.6666667</v>
      </c>
      <c r="M34" s="2" t="n">
        <f aca="false">M33+Grid!M34</f>
        <v>15000000</v>
      </c>
      <c r="N34" s="2" t="n">
        <f aca="false">N33+Grid!N34</f>
        <v>91250000</v>
      </c>
      <c r="O34" s="2" t="n">
        <f aca="false">O33+Grid!O34</f>
        <v>49500000</v>
      </c>
      <c r="P34" s="2" t="n">
        <f aca="false">P33+Grid!P34</f>
        <v>38333333.3333333</v>
      </c>
      <c r="Q34" s="2" t="n">
        <f aca="false">Q33+Grid!Q34</f>
        <v>28333333.3333333</v>
      </c>
      <c r="R34" s="2" t="n">
        <f aca="false">R33+Grid!R34</f>
        <v>32000000</v>
      </c>
      <c r="S34" s="2" t="n">
        <f aca="false">S33+Grid!S34</f>
        <v>10000000</v>
      </c>
      <c r="T34" s="2" t="n">
        <f aca="false">T33+Grid!T34</f>
        <v>5000000</v>
      </c>
      <c r="U34" s="2" t="n">
        <f aca="false">SUM(C34:T34)</f>
        <v>442958333.333333</v>
      </c>
      <c r="V34" s="4" t="n">
        <f aca="false">U34/Inputs!$B$4</f>
        <v>0.442958333333333</v>
      </c>
    </row>
    <row r="35" customFormat="false" ht="15" hidden="false" customHeight="false" outlineLevel="0" collapsed="false">
      <c r="A35" s="0" t="n">
        <v>30</v>
      </c>
      <c r="B35" s="3" t="n">
        <f aca="false">Grid!B35</f>
        <v>47335</v>
      </c>
      <c r="C35" s="2" t="n">
        <f aca="false">C34+Grid!C35</f>
        <v>3874273.125</v>
      </c>
      <c r="D35" s="2" t="n">
        <f aca="false">D34+Grid!D35</f>
        <v>10240970.625</v>
      </c>
      <c r="E35" s="2" t="n">
        <f aca="false">E34+Grid!E35</f>
        <v>6144582.75</v>
      </c>
      <c r="F35" s="2" t="n">
        <f aca="false">F34+Grid!F35</f>
        <v>4096388.625</v>
      </c>
      <c r="G35" s="2" t="n">
        <f aca="false">G34+Grid!G35</f>
        <v>4096388.625</v>
      </c>
      <c r="H35" s="2" t="n">
        <f aca="false">H34+Grid!H35</f>
        <v>4096388.625</v>
      </c>
      <c r="I35" s="2" t="n">
        <f aca="false">I34+Grid!I35</f>
        <v>4096388.625</v>
      </c>
      <c r="J35" s="2" t="n">
        <f aca="false">J34+Grid!J35</f>
        <v>854619</v>
      </c>
      <c r="K35" s="2" t="n">
        <f aca="false">K34+Grid!K35</f>
        <v>131250000</v>
      </c>
      <c r="L35" s="2" t="n">
        <f aca="false">L34+Grid!L35</f>
        <v>15000000</v>
      </c>
      <c r="M35" s="2" t="n">
        <f aca="false">M34+Grid!M35</f>
        <v>15000000</v>
      </c>
      <c r="N35" s="2" t="n">
        <f aca="false">N34+Grid!N35</f>
        <v>94140000</v>
      </c>
      <c r="O35" s="2" t="n">
        <f aca="false">O34+Grid!O35</f>
        <v>50000000</v>
      </c>
      <c r="P35" s="2" t="n">
        <f aca="false">P34+Grid!P35</f>
        <v>40000000</v>
      </c>
      <c r="Q35" s="2" t="n">
        <f aca="false">Q34+Grid!Q35</f>
        <v>30000000</v>
      </c>
      <c r="R35" s="2" t="n">
        <f aca="false">R34+Grid!R35</f>
        <v>34000000</v>
      </c>
      <c r="S35" s="2" t="n">
        <f aca="false">S34+Grid!S35</f>
        <v>10000000</v>
      </c>
      <c r="T35" s="2" t="n">
        <f aca="false">T34+Grid!T35</f>
        <v>5000000</v>
      </c>
      <c r="U35" s="2" t="n">
        <f aca="false">SUM(C35:T35)</f>
        <v>461890000</v>
      </c>
      <c r="V35" s="4" t="n">
        <f aca="false">U35/Inputs!$B$4</f>
        <v>0.46189</v>
      </c>
    </row>
    <row r="36" customFormat="false" ht="15" hidden="false" customHeight="false" outlineLevel="0" collapsed="false">
      <c r="A36" s="0" t="n">
        <v>31</v>
      </c>
      <c r="B36" s="3" t="n">
        <f aca="false">Grid!B36</f>
        <v>47366</v>
      </c>
      <c r="C36" s="2" t="n">
        <f aca="false">C35+Grid!C36</f>
        <v>4089510.52083333</v>
      </c>
      <c r="D36" s="2" t="n">
        <f aca="false">D35+Grid!D36</f>
        <v>10809913.4375</v>
      </c>
      <c r="E36" s="2" t="n">
        <f aca="false">E35+Grid!E36</f>
        <v>6485948.45833333</v>
      </c>
      <c r="F36" s="2" t="n">
        <f aca="false">F35+Grid!F36</f>
        <v>4323965.77083333</v>
      </c>
      <c r="G36" s="2" t="n">
        <f aca="false">G35+Grid!G36</f>
        <v>4323965.77083333</v>
      </c>
      <c r="H36" s="2" t="n">
        <f aca="false">H35+Grid!H36</f>
        <v>4323965.77083333</v>
      </c>
      <c r="I36" s="2" t="n">
        <f aca="false">I35+Grid!I36</f>
        <v>4323965.77083333</v>
      </c>
      <c r="J36" s="2" t="n">
        <f aca="false">J35+Grid!J36</f>
        <v>902097.833333334</v>
      </c>
      <c r="K36" s="2" t="n">
        <f aca="false">K35+Grid!K36</f>
        <v>138541666.666667</v>
      </c>
      <c r="L36" s="2" t="n">
        <f aca="false">L35+Grid!L36</f>
        <v>15833333.3333333</v>
      </c>
      <c r="M36" s="2" t="n">
        <f aca="false">M35+Grid!M36</f>
        <v>15000000</v>
      </c>
      <c r="N36" s="2" t="n">
        <f aca="false">N35+Grid!N36</f>
        <v>97030000</v>
      </c>
      <c r="O36" s="2" t="n">
        <f aca="false">O35+Grid!O36</f>
        <v>50000000</v>
      </c>
      <c r="P36" s="2" t="n">
        <f aca="false">P35+Grid!P36</f>
        <v>41666666.6666667</v>
      </c>
      <c r="Q36" s="2" t="n">
        <f aca="false">Q35+Grid!Q36</f>
        <v>31666666.6666667</v>
      </c>
      <c r="R36" s="2" t="n">
        <f aca="false">R35+Grid!R36</f>
        <v>36000000</v>
      </c>
      <c r="S36" s="2" t="n">
        <f aca="false">S35+Grid!S36</f>
        <v>10000000</v>
      </c>
      <c r="T36" s="2" t="n">
        <f aca="false">T35+Grid!T36</f>
        <v>5000000</v>
      </c>
      <c r="U36" s="2" t="n">
        <f aca="false">SUM(C36:T36)</f>
        <v>480321666.666667</v>
      </c>
      <c r="V36" s="4" t="n">
        <f aca="false">U36/Inputs!$B$4</f>
        <v>0.480321666666667</v>
      </c>
    </row>
    <row r="37" customFormat="false" ht="15" hidden="false" customHeight="false" outlineLevel="0" collapsed="false">
      <c r="A37" s="0" t="n">
        <v>32</v>
      </c>
      <c r="B37" s="3" t="n">
        <f aca="false">Grid!B37</f>
        <v>47396</v>
      </c>
      <c r="C37" s="2" t="n">
        <f aca="false">C36+Grid!C37</f>
        <v>4304747.91666667</v>
      </c>
      <c r="D37" s="2" t="n">
        <f aca="false">D36+Grid!D37</f>
        <v>11378856.25</v>
      </c>
      <c r="E37" s="2" t="n">
        <f aca="false">E36+Grid!E37</f>
        <v>6827314.16666667</v>
      </c>
      <c r="F37" s="2" t="n">
        <f aca="false">F36+Grid!F37</f>
        <v>4551542.91666667</v>
      </c>
      <c r="G37" s="2" t="n">
        <f aca="false">G36+Grid!G37</f>
        <v>4551542.91666667</v>
      </c>
      <c r="H37" s="2" t="n">
        <f aca="false">H36+Grid!H37</f>
        <v>4551542.91666667</v>
      </c>
      <c r="I37" s="2" t="n">
        <f aca="false">I36+Grid!I37</f>
        <v>4551542.91666667</v>
      </c>
      <c r="J37" s="2" t="n">
        <f aca="false">J36+Grid!J37</f>
        <v>949576.666666667</v>
      </c>
      <c r="K37" s="2" t="n">
        <f aca="false">K36+Grid!K37</f>
        <v>145833333.333333</v>
      </c>
      <c r="L37" s="2" t="n">
        <f aca="false">L36+Grid!L37</f>
        <v>16666666.6666667</v>
      </c>
      <c r="M37" s="2" t="n">
        <f aca="false">M36+Grid!M37</f>
        <v>15000000</v>
      </c>
      <c r="N37" s="2" t="n">
        <f aca="false">N36+Grid!N37</f>
        <v>99920000</v>
      </c>
      <c r="O37" s="2" t="n">
        <f aca="false">O36+Grid!O37</f>
        <v>50000000</v>
      </c>
      <c r="P37" s="2" t="n">
        <f aca="false">P36+Grid!P37</f>
        <v>43333333.3333333</v>
      </c>
      <c r="Q37" s="2" t="n">
        <f aca="false">Q36+Grid!Q37</f>
        <v>33333333.3333333</v>
      </c>
      <c r="R37" s="2" t="n">
        <f aca="false">R36+Grid!R37</f>
        <v>38000000</v>
      </c>
      <c r="S37" s="2" t="n">
        <f aca="false">S36+Grid!S37</f>
        <v>10000000</v>
      </c>
      <c r="T37" s="2" t="n">
        <f aca="false">T36+Grid!T37</f>
        <v>5000000</v>
      </c>
      <c r="U37" s="2" t="n">
        <f aca="false">SUM(C37:T37)</f>
        <v>498753333.333333</v>
      </c>
      <c r="V37" s="4" t="n">
        <f aca="false">U37/Inputs!$B$4</f>
        <v>0.498753333333333</v>
      </c>
    </row>
    <row r="38" customFormat="false" ht="15" hidden="false" customHeight="false" outlineLevel="0" collapsed="false">
      <c r="A38" s="0" t="n">
        <v>33</v>
      </c>
      <c r="B38" s="3" t="n">
        <f aca="false">Grid!B38</f>
        <v>47427</v>
      </c>
      <c r="C38" s="2" t="n">
        <f aca="false">C37+Grid!C38</f>
        <v>4519985.3125</v>
      </c>
      <c r="D38" s="2" t="n">
        <f aca="false">D37+Grid!D38</f>
        <v>11947799.0625</v>
      </c>
      <c r="E38" s="2" t="n">
        <f aca="false">E37+Grid!E38</f>
        <v>7168679.875</v>
      </c>
      <c r="F38" s="2" t="n">
        <f aca="false">F37+Grid!F38</f>
        <v>4779120.0625</v>
      </c>
      <c r="G38" s="2" t="n">
        <f aca="false">G37+Grid!G38</f>
        <v>4779120.0625</v>
      </c>
      <c r="H38" s="2" t="n">
        <f aca="false">H37+Grid!H38</f>
        <v>4779120.0625</v>
      </c>
      <c r="I38" s="2" t="n">
        <f aca="false">I37+Grid!I38</f>
        <v>4779120.0625</v>
      </c>
      <c r="J38" s="2" t="n">
        <f aca="false">J37+Grid!J38</f>
        <v>997055.5</v>
      </c>
      <c r="K38" s="2" t="n">
        <f aca="false">K37+Grid!K38</f>
        <v>153125000</v>
      </c>
      <c r="L38" s="2" t="n">
        <f aca="false">L37+Grid!L38</f>
        <v>17500000</v>
      </c>
      <c r="M38" s="2" t="n">
        <f aca="false">M37+Grid!M38</f>
        <v>15000000</v>
      </c>
      <c r="N38" s="2" t="n">
        <f aca="false">N37+Grid!N38</f>
        <v>102810000</v>
      </c>
      <c r="O38" s="2" t="n">
        <f aca="false">O37+Grid!O38</f>
        <v>50000000</v>
      </c>
      <c r="P38" s="2" t="n">
        <f aca="false">P37+Grid!P38</f>
        <v>45000000</v>
      </c>
      <c r="Q38" s="2" t="n">
        <f aca="false">Q37+Grid!Q38</f>
        <v>35000000</v>
      </c>
      <c r="R38" s="2" t="n">
        <f aca="false">R37+Grid!R38</f>
        <v>40000000</v>
      </c>
      <c r="S38" s="2" t="n">
        <f aca="false">S37+Grid!S38</f>
        <v>10000000</v>
      </c>
      <c r="T38" s="2" t="n">
        <f aca="false">T37+Grid!T38</f>
        <v>5000000</v>
      </c>
      <c r="U38" s="2" t="n">
        <f aca="false">SUM(C38:T38)</f>
        <v>517185000</v>
      </c>
      <c r="V38" s="4" t="n">
        <f aca="false">U38/Inputs!$B$4</f>
        <v>0.517185</v>
      </c>
    </row>
    <row r="39" customFormat="false" ht="15" hidden="false" customHeight="false" outlineLevel="0" collapsed="false">
      <c r="A39" s="0" t="n">
        <v>34</v>
      </c>
      <c r="B39" s="3" t="n">
        <f aca="false">Grid!B39</f>
        <v>47457</v>
      </c>
      <c r="C39" s="2" t="n">
        <f aca="false">C38+Grid!C39</f>
        <v>4735222.70833333</v>
      </c>
      <c r="D39" s="2" t="n">
        <f aca="false">D38+Grid!D39</f>
        <v>12516741.875</v>
      </c>
      <c r="E39" s="2" t="n">
        <f aca="false">E38+Grid!E39</f>
        <v>7510045.58333333</v>
      </c>
      <c r="F39" s="2" t="n">
        <f aca="false">F38+Grid!F39</f>
        <v>5006697.20833333</v>
      </c>
      <c r="G39" s="2" t="n">
        <f aca="false">G38+Grid!G39</f>
        <v>5006697.20833333</v>
      </c>
      <c r="H39" s="2" t="n">
        <f aca="false">H38+Grid!H39</f>
        <v>5006697.20833333</v>
      </c>
      <c r="I39" s="2" t="n">
        <f aca="false">I38+Grid!I39</f>
        <v>5006697.20833333</v>
      </c>
      <c r="J39" s="2" t="n">
        <f aca="false">J38+Grid!J39</f>
        <v>1044534.33333333</v>
      </c>
      <c r="K39" s="2" t="n">
        <f aca="false">K38+Grid!K39</f>
        <v>160416666.666667</v>
      </c>
      <c r="L39" s="2" t="n">
        <f aca="false">L38+Grid!L39</f>
        <v>18333333.3333333</v>
      </c>
      <c r="M39" s="2" t="n">
        <f aca="false">M38+Grid!M39</f>
        <v>15000000</v>
      </c>
      <c r="N39" s="2" t="n">
        <f aca="false">N38+Grid!N39</f>
        <v>105700000</v>
      </c>
      <c r="O39" s="2" t="n">
        <f aca="false">O38+Grid!O39</f>
        <v>50000000</v>
      </c>
      <c r="P39" s="2" t="n">
        <f aca="false">P38+Grid!P39</f>
        <v>46666666.6666667</v>
      </c>
      <c r="Q39" s="2" t="n">
        <f aca="false">Q38+Grid!Q39</f>
        <v>36666666.6666667</v>
      </c>
      <c r="R39" s="2" t="n">
        <f aca="false">R38+Grid!R39</f>
        <v>42000000</v>
      </c>
      <c r="S39" s="2" t="n">
        <f aca="false">S38+Grid!S39</f>
        <v>10000000</v>
      </c>
      <c r="T39" s="2" t="n">
        <f aca="false">T38+Grid!T39</f>
        <v>5000000</v>
      </c>
      <c r="U39" s="2" t="n">
        <f aca="false">SUM(C39:T39)</f>
        <v>535616666.666667</v>
      </c>
      <c r="V39" s="4" t="n">
        <f aca="false">U39/Inputs!$B$4</f>
        <v>0.535616666666667</v>
      </c>
    </row>
    <row r="40" customFormat="false" ht="15" hidden="false" customHeight="false" outlineLevel="0" collapsed="false">
      <c r="A40" s="0" t="n">
        <v>35</v>
      </c>
      <c r="B40" s="3" t="n">
        <f aca="false">Grid!B40</f>
        <v>47488</v>
      </c>
      <c r="C40" s="2" t="n">
        <f aca="false">C39+Grid!C40</f>
        <v>4950460.10416667</v>
      </c>
      <c r="D40" s="2" t="n">
        <f aca="false">D39+Grid!D40</f>
        <v>13085684.6875</v>
      </c>
      <c r="E40" s="2" t="n">
        <f aca="false">E39+Grid!E40</f>
        <v>7851411.29166666</v>
      </c>
      <c r="F40" s="2" t="n">
        <f aca="false">F39+Grid!F40</f>
        <v>5234274.35416667</v>
      </c>
      <c r="G40" s="2" t="n">
        <f aca="false">G39+Grid!G40</f>
        <v>5234274.35416667</v>
      </c>
      <c r="H40" s="2" t="n">
        <f aca="false">H39+Grid!H40</f>
        <v>5234274.35416667</v>
      </c>
      <c r="I40" s="2" t="n">
        <f aca="false">I39+Grid!I40</f>
        <v>5234274.35416667</v>
      </c>
      <c r="J40" s="2" t="n">
        <f aca="false">J39+Grid!J40</f>
        <v>1092013.16666667</v>
      </c>
      <c r="K40" s="2" t="n">
        <f aca="false">K39+Grid!K40</f>
        <v>167708333.333333</v>
      </c>
      <c r="L40" s="2" t="n">
        <f aca="false">L39+Grid!L40</f>
        <v>19166666.6666667</v>
      </c>
      <c r="M40" s="2" t="n">
        <f aca="false">M39+Grid!M40</f>
        <v>15000000</v>
      </c>
      <c r="N40" s="2" t="n">
        <f aca="false">N39+Grid!N40</f>
        <v>108590000</v>
      </c>
      <c r="O40" s="2" t="n">
        <f aca="false">O39+Grid!O40</f>
        <v>50000000</v>
      </c>
      <c r="P40" s="2" t="n">
        <f aca="false">P39+Grid!P40</f>
        <v>48333333.3333333</v>
      </c>
      <c r="Q40" s="2" t="n">
        <f aca="false">Q39+Grid!Q40</f>
        <v>38333333.3333333</v>
      </c>
      <c r="R40" s="2" t="n">
        <f aca="false">R39+Grid!R40</f>
        <v>44000000</v>
      </c>
      <c r="S40" s="2" t="n">
        <f aca="false">S39+Grid!S40</f>
        <v>10000000</v>
      </c>
      <c r="T40" s="2" t="n">
        <f aca="false">T39+Grid!T40</f>
        <v>5000000</v>
      </c>
      <c r="U40" s="2" t="n">
        <f aca="false">SUM(C40:T40)</f>
        <v>554048333.333333</v>
      </c>
      <c r="V40" s="4" t="n">
        <f aca="false">U40/Inputs!$B$4</f>
        <v>0.554048333333333</v>
      </c>
    </row>
    <row r="41" customFormat="false" ht="15" hidden="false" customHeight="false" outlineLevel="0" collapsed="false">
      <c r="A41" s="0" t="n">
        <v>36</v>
      </c>
      <c r="B41" s="3" t="n">
        <f aca="false">Grid!B41</f>
        <v>47519</v>
      </c>
      <c r="C41" s="2" t="n">
        <f aca="false">C40+Grid!C41</f>
        <v>5165697.5</v>
      </c>
      <c r="D41" s="2" t="n">
        <f aca="false">D40+Grid!D41</f>
        <v>13654627.5</v>
      </c>
      <c r="E41" s="2" t="n">
        <f aca="false">E40+Grid!E41</f>
        <v>8192777</v>
      </c>
      <c r="F41" s="2" t="n">
        <f aca="false">F40+Grid!F41</f>
        <v>5461851.5</v>
      </c>
      <c r="G41" s="2" t="n">
        <f aca="false">G40+Grid!G41</f>
        <v>5461851.5</v>
      </c>
      <c r="H41" s="2" t="n">
        <f aca="false">H40+Grid!H41</f>
        <v>5461851.5</v>
      </c>
      <c r="I41" s="2" t="n">
        <f aca="false">I40+Grid!I41</f>
        <v>5461851.5</v>
      </c>
      <c r="J41" s="2" t="n">
        <f aca="false">J40+Grid!J41</f>
        <v>1139492</v>
      </c>
      <c r="K41" s="2" t="n">
        <f aca="false">K40+Grid!K41</f>
        <v>175000000</v>
      </c>
      <c r="L41" s="2" t="n">
        <f aca="false">L40+Grid!L41</f>
        <v>20000000</v>
      </c>
      <c r="M41" s="2" t="n">
        <f aca="false">M40+Grid!M41</f>
        <v>15000000</v>
      </c>
      <c r="N41" s="2" t="n">
        <f aca="false">N40+Grid!N41</f>
        <v>111480000</v>
      </c>
      <c r="O41" s="2" t="n">
        <f aca="false">O40+Grid!O41</f>
        <v>50000000</v>
      </c>
      <c r="P41" s="2" t="n">
        <f aca="false">P40+Grid!P41</f>
        <v>50000000</v>
      </c>
      <c r="Q41" s="2" t="n">
        <f aca="false">Q40+Grid!Q41</f>
        <v>40000000</v>
      </c>
      <c r="R41" s="2" t="n">
        <f aca="false">R40+Grid!R41</f>
        <v>46000000</v>
      </c>
      <c r="S41" s="2" t="n">
        <f aca="false">S40+Grid!S41</f>
        <v>10000000</v>
      </c>
      <c r="T41" s="2" t="n">
        <f aca="false">T40+Grid!T41</f>
        <v>5000000</v>
      </c>
      <c r="U41" s="2" t="n">
        <f aca="false">SUM(C41:T41)</f>
        <v>572480000</v>
      </c>
      <c r="V41" s="4" t="n">
        <f aca="false">U41/Inputs!$B$4</f>
        <v>0.57248</v>
      </c>
    </row>
    <row r="42" customFormat="false" ht="15" hidden="false" customHeight="false" outlineLevel="0" collapsed="false">
      <c r="A42" s="0" t="n">
        <v>37</v>
      </c>
      <c r="B42" s="3" t="n">
        <f aca="false">Grid!B42</f>
        <v>47547</v>
      </c>
      <c r="C42" s="2" t="n">
        <f aca="false">C41+Grid!C42</f>
        <v>5380934.89583333</v>
      </c>
      <c r="D42" s="2" t="n">
        <f aca="false">D41+Grid!D42</f>
        <v>14223570.3125</v>
      </c>
      <c r="E42" s="2" t="n">
        <f aca="false">E41+Grid!E42</f>
        <v>8534142.70833333</v>
      </c>
      <c r="F42" s="2" t="n">
        <f aca="false">F41+Grid!F42</f>
        <v>5689428.64583333</v>
      </c>
      <c r="G42" s="2" t="n">
        <f aca="false">G41+Grid!G42</f>
        <v>5689428.64583333</v>
      </c>
      <c r="H42" s="2" t="n">
        <f aca="false">H41+Grid!H42</f>
        <v>5689428.64583333</v>
      </c>
      <c r="I42" s="2" t="n">
        <f aca="false">I41+Grid!I42</f>
        <v>5689428.64583333</v>
      </c>
      <c r="J42" s="2" t="n">
        <f aca="false">J41+Grid!J42</f>
        <v>1186970.83333333</v>
      </c>
      <c r="K42" s="2" t="n">
        <f aca="false">K41+Grid!K42</f>
        <v>175000000</v>
      </c>
      <c r="L42" s="2" t="n">
        <f aca="false">L41+Grid!L42</f>
        <v>20000000</v>
      </c>
      <c r="M42" s="2" t="n">
        <f aca="false">M41+Grid!M42</f>
        <v>15000000</v>
      </c>
      <c r="N42" s="2" t="n">
        <f aca="false">N41+Grid!N42</f>
        <v>113936500</v>
      </c>
      <c r="O42" s="2" t="n">
        <f aca="false">O41+Grid!O42</f>
        <v>50000000</v>
      </c>
      <c r="P42" s="2" t="n">
        <f aca="false">P41+Grid!P42</f>
        <v>50000000</v>
      </c>
      <c r="Q42" s="2" t="n">
        <f aca="false">Q41+Grid!Q42</f>
        <v>40000000</v>
      </c>
      <c r="R42" s="2" t="n">
        <f aca="false">R41+Grid!R42</f>
        <v>48000000</v>
      </c>
      <c r="S42" s="2" t="n">
        <f aca="false">S41+Grid!S42</f>
        <v>10000000</v>
      </c>
      <c r="T42" s="2" t="n">
        <f aca="false">T41+Grid!T42</f>
        <v>5000000</v>
      </c>
      <c r="U42" s="2" t="n">
        <f aca="false">SUM(C42:T42)</f>
        <v>579019833.333333</v>
      </c>
      <c r="V42" s="4" t="n">
        <f aca="false">U42/Inputs!$B$4</f>
        <v>0.579019833333333</v>
      </c>
    </row>
    <row r="43" customFormat="false" ht="15" hidden="false" customHeight="false" outlineLevel="0" collapsed="false">
      <c r="A43" s="0" t="n">
        <v>38</v>
      </c>
      <c r="B43" s="3" t="n">
        <f aca="false">Grid!B43</f>
        <v>47578</v>
      </c>
      <c r="C43" s="2" t="n">
        <f aca="false">C42+Grid!C43</f>
        <v>5596172.29166667</v>
      </c>
      <c r="D43" s="2" t="n">
        <f aca="false">D42+Grid!D43</f>
        <v>14792513.125</v>
      </c>
      <c r="E43" s="2" t="n">
        <f aca="false">E42+Grid!E43</f>
        <v>8875508.41666666</v>
      </c>
      <c r="F43" s="2" t="n">
        <f aca="false">F42+Grid!F43</f>
        <v>5917005.79166667</v>
      </c>
      <c r="G43" s="2" t="n">
        <f aca="false">G42+Grid!G43</f>
        <v>5917005.79166667</v>
      </c>
      <c r="H43" s="2" t="n">
        <f aca="false">H42+Grid!H43</f>
        <v>5917005.79166667</v>
      </c>
      <c r="I43" s="2" t="n">
        <f aca="false">I42+Grid!I43</f>
        <v>5917005.79166667</v>
      </c>
      <c r="J43" s="2" t="n">
        <f aca="false">J42+Grid!J43</f>
        <v>1234449.66666667</v>
      </c>
      <c r="K43" s="2" t="n">
        <f aca="false">K42+Grid!K43</f>
        <v>175000000</v>
      </c>
      <c r="L43" s="2" t="n">
        <f aca="false">L42+Grid!L43</f>
        <v>20000000</v>
      </c>
      <c r="M43" s="2" t="n">
        <f aca="false">M42+Grid!M43</f>
        <v>15000000</v>
      </c>
      <c r="N43" s="2" t="n">
        <f aca="false">N42+Grid!N43</f>
        <v>116393000</v>
      </c>
      <c r="O43" s="2" t="n">
        <f aca="false">O42+Grid!O43</f>
        <v>50000000</v>
      </c>
      <c r="P43" s="2" t="n">
        <f aca="false">P42+Grid!P43</f>
        <v>50000000</v>
      </c>
      <c r="Q43" s="2" t="n">
        <f aca="false">Q42+Grid!Q43</f>
        <v>40000000</v>
      </c>
      <c r="R43" s="2" t="n">
        <f aca="false">R42+Grid!R43</f>
        <v>50000000</v>
      </c>
      <c r="S43" s="2" t="n">
        <f aca="false">S42+Grid!S43</f>
        <v>10000000</v>
      </c>
      <c r="T43" s="2" t="n">
        <f aca="false">T42+Grid!T43</f>
        <v>5000000</v>
      </c>
      <c r="U43" s="2" t="n">
        <f aca="false">SUM(C43:T43)</f>
        <v>585559666.666667</v>
      </c>
      <c r="V43" s="4" t="n">
        <f aca="false">U43/Inputs!$B$4</f>
        <v>0.585559666666667</v>
      </c>
    </row>
    <row r="44" customFormat="false" ht="15" hidden="false" customHeight="false" outlineLevel="0" collapsed="false">
      <c r="A44" s="0" t="n">
        <v>39</v>
      </c>
      <c r="B44" s="3" t="n">
        <f aca="false">Grid!B44</f>
        <v>47608</v>
      </c>
      <c r="C44" s="2" t="n">
        <f aca="false">C43+Grid!C44</f>
        <v>5811409.6875</v>
      </c>
      <c r="D44" s="2" t="n">
        <f aca="false">D43+Grid!D44</f>
        <v>15361455.9375</v>
      </c>
      <c r="E44" s="2" t="n">
        <f aca="false">E43+Grid!E44</f>
        <v>9216874.125</v>
      </c>
      <c r="F44" s="2" t="n">
        <f aca="false">F43+Grid!F44</f>
        <v>6144582.9375</v>
      </c>
      <c r="G44" s="2" t="n">
        <f aca="false">G43+Grid!G44</f>
        <v>6144582.9375</v>
      </c>
      <c r="H44" s="2" t="n">
        <f aca="false">H43+Grid!H44</f>
        <v>6144582.9375</v>
      </c>
      <c r="I44" s="2" t="n">
        <f aca="false">I43+Grid!I44</f>
        <v>6144582.9375</v>
      </c>
      <c r="J44" s="2" t="n">
        <f aca="false">J43+Grid!J44</f>
        <v>1281928.5</v>
      </c>
      <c r="K44" s="2" t="n">
        <f aca="false">K43+Grid!K44</f>
        <v>175000000</v>
      </c>
      <c r="L44" s="2" t="n">
        <f aca="false">L43+Grid!L44</f>
        <v>20000000</v>
      </c>
      <c r="M44" s="2" t="n">
        <f aca="false">M43+Grid!M44</f>
        <v>15000000</v>
      </c>
      <c r="N44" s="2" t="n">
        <f aca="false">N43+Grid!N44</f>
        <v>118849500</v>
      </c>
      <c r="O44" s="2" t="n">
        <f aca="false">O43+Grid!O44</f>
        <v>50000000</v>
      </c>
      <c r="P44" s="2" t="n">
        <f aca="false">P43+Grid!P44</f>
        <v>50000000</v>
      </c>
      <c r="Q44" s="2" t="n">
        <f aca="false">Q43+Grid!Q44</f>
        <v>40000000</v>
      </c>
      <c r="R44" s="2" t="n">
        <f aca="false">R43+Grid!R44</f>
        <v>50000000</v>
      </c>
      <c r="S44" s="2" t="n">
        <f aca="false">S43+Grid!S44</f>
        <v>10000000</v>
      </c>
      <c r="T44" s="2" t="n">
        <f aca="false">T43+Grid!T44</f>
        <v>5000000</v>
      </c>
      <c r="U44" s="2" t="n">
        <f aca="false">SUM(C44:T44)</f>
        <v>590099500</v>
      </c>
      <c r="V44" s="4" t="n">
        <f aca="false">U44/Inputs!$B$4</f>
        <v>0.5900995</v>
      </c>
    </row>
    <row r="45" customFormat="false" ht="15" hidden="false" customHeight="false" outlineLevel="0" collapsed="false">
      <c r="A45" s="0" t="n">
        <v>40</v>
      </c>
      <c r="B45" s="3" t="n">
        <f aca="false">Grid!B45</f>
        <v>47639</v>
      </c>
      <c r="C45" s="2" t="n">
        <f aca="false">C44+Grid!C45</f>
        <v>6026647.08333333</v>
      </c>
      <c r="D45" s="2" t="n">
        <f aca="false">D44+Grid!D45</f>
        <v>15930398.75</v>
      </c>
      <c r="E45" s="2" t="n">
        <f aca="false">E44+Grid!E45</f>
        <v>9558239.83333333</v>
      </c>
      <c r="F45" s="2" t="n">
        <f aca="false">F44+Grid!F45</f>
        <v>6372160.08333333</v>
      </c>
      <c r="G45" s="2" t="n">
        <f aca="false">G44+Grid!G45</f>
        <v>6372160.08333333</v>
      </c>
      <c r="H45" s="2" t="n">
        <f aca="false">H44+Grid!H45</f>
        <v>6372160.08333333</v>
      </c>
      <c r="I45" s="2" t="n">
        <f aca="false">I44+Grid!I45</f>
        <v>6372160.08333333</v>
      </c>
      <c r="J45" s="2" t="n">
        <f aca="false">J44+Grid!J45</f>
        <v>1329407.33333333</v>
      </c>
      <c r="K45" s="2" t="n">
        <f aca="false">K44+Grid!K45</f>
        <v>175000000</v>
      </c>
      <c r="L45" s="2" t="n">
        <f aca="false">L44+Grid!L45</f>
        <v>20000000</v>
      </c>
      <c r="M45" s="2" t="n">
        <f aca="false">M44+Grid!M45</f>
        <v>15000000</v>
      </c>
      <c r="N45" s="2" t="n">
        <f aca="false">N44+Grid!N45</f>
        <v>121306000</v>
      </c>
      <c r="O45" s="2" t="n">
        <f aca="false">O44+Grid!O45</f>
        <v>50000000</v>
      </c>
      <c r="P45" s="2" t="n">
        <f aca="false">P44+Grid!P45</f>
        <v>50000000</v>
      </c>
      <c r="Q45" s="2" t="n">
        <f aca="false">Q44+Grid!Q45</f>
        <v>40000000</v>
      </c>
      <c r="R45" s="2" t="n">
        <f aca="false">R44+Grid!R45</f>
        <v>50000000</v>
      </c>
      <c r="S45" s="2" t="n">
        <f aca="false">S44+Grid!S45</f>
        <v>10000000</v>
      </c>
      <c r="T45" s="2" t="n">
        <f aca="false">T44+Grid!T45</f>
        <v>5000000</v>
      </c>
      <c r="U45" s="2" t="n">
        <f aca="false">SUM(C45:T45)</f>
        <v>594639333.333333</v>
      </c>
      <c r="V45" s="4" t="n">
        <f aca="false">U45/Inputs!$B$4</f>
        <v>0.594639333333333</v>
      </c>
    </row>
    <row r="46" customFormat="false" ht="15" hidden="false" customHeight="false" outlineLevel="0" collapsed="false">
      <c r="A46" s="0" t="n">
        <v>41</v>
      </c>
      <c r="B46" s="3" t="n">
        <f aca="false">Grid!B46</f>
        <v>47669</v>
      </c>
      <c r="C46" s="2" t="n">
        <f aca="false">C45+Grid!C46</f>
        <v>6241884.47916667</v>
      </c>
      <c r="D46" s="2" t="n">
        <f aca="false">D45+Grid!D46</f>
        <v>16499341.5625</v>
      </c>
      <c r="E46" s="2" t="n">
        <f aca="false">E45+Grid!E46</f>
        <v>9899605.54166667</v>
      </c>
      <c r="F46" s="2" t="n">
        <f aca="false">F45+Grid!F46</f>
        <v>6599737.22916666</v>
      </c>
      <c r="G46" s="2" t="n">
        <f aca="false">G45+Grid!G46</f>
        <v>6599737.22916666</v>
      </c>
      <c r="H46" s="2" t="n">
        <f aca="false">H45+Grid!H46</f>
        <v>6599737.22916666</v>
      </c>
      <c r="I46" s="2" t="n">
        <f aca="false">I45+Grid!I46</f>
        <v>6599737.22916666</v>
      </c>
      <c r="J46" s="2" t="n">
        <f aca="false">J45+Grid!J46</f>
        <v>1376886.16666667</v>
      </c>
      <c r="K46" s="2" t="n">
        <f aca="false">K45+Grid!K46</f>
        <v>175000000</v>
      </c>
      <c r="L46" s="2" t="n">
        <f aca="false">L45+Grid!L46</f>
        <v>20000000</v>
      </c>
      <c r="M46" s="2" t="n">
        <f aca="false">M45+Grid!M46</f>
        <v>15000000</v>
      </c>
      <c r="N46" s="2" t="n">
        <f aca="false">N45+Grid!N46</f>
        <v>123762500</v>
      </c>
      <c r="O46" s="2" t="n">
        <f aca="false">O45+Grid!O46</f>
        <v>50000000</v>
      </c>
      <c r="P46" s="2" t="n">
        <f aca="false">P45+Grid!P46</f>
        <v>50000000</v>
      </c>
      <c r="Q46" s="2" t="n">
        <f aca="false">Q45+Grid!Q46</f>
        <v>40000000</v>
      </c>
      <c r="R46" s="2" t="n">
        <f aca="false">R45+Grid!R46</f>
        <v>50000000</v>
      </c>
      <c r="S46" s="2" t="n">
        <f aca="false">S45+Grid!S46</f>
        <v>10000000</v>
      </c>
      <c r="T46" s="2" t="n">
        <f aca="false">T45+Grid!T46</f>
        <v>5000000</v>
      </c>
      <c r="U46" s="2" t="n">
        <f aca="false">SUM(C46:T46)</f>
        <v>599179166.666667</v>
      </c>
      <c r="V46" s="4" t="n">
        <f aca="false">U46/Inputs!$B$4</f>
        <v>0.599179166666667</v>
      </c>
    </row>
    <row r="47" customFormat="false" ht="15" hidden="false" customHeight="false" outlineLevel="0" collapsed="false">
      <c r="A47" s="0" t="n">
        <v>42</v>
      </c>
      <c r="B47" s="3" t="n">
        <f aca="false">Grid!B47</f>
        <v>47700</v>
      </c>
      <c r="C47" s="2" t="n">
        <f aca="false">C46+Grid!C47</f>
        <v>6457121.875</v>
      </c>
      <c r="D47" s="2" t="n">
        <f aca="false">D46+Grid!D47</f>
        <v>17068284.375</v>
      </c>
      <c r="E47" s="2" t="n">
        <f aca="false">E46+Grid!E47</f>
        <v>10240971.25</v>
      </c>
      <c r="F47" s="2" t="n">
        <f aca="false">F46+Grid!F47</f>
        <v>6827314.375</v>
      </c>
      <c r="G47" s="2" t="n">
        <f aca="false">G46+Grid!G47</f>
        <v>6827314.375</v>
      </c>
      <c r="H47" s="2" t="n">
        <f aca="false">H46+Grid!H47</f>
        <v>6827314.375</v>
      </c>
      <c r="I47" s="2" t="n">
        <f aca="false">I46+Grid!I47</f>
        <v>6827314.375</v>
      </c>
      <c r="J47" s="2" t="n">
        <f aca="false">J46+Grid!J47</f>
        <v>1424365</v>
      </c>
      <c r="K47" s="2" t="n">
        <f aca="false">K46+Grid!K47</f>
        <v>175000000</v>
      </c>
      <c r="L47" s="2" t="n">
        <f aca="false">L46+Grid!L47</f>
        <v>20000000</v>
      </c>
      <c r="M47" s="2" t="n">
        <f aca="false">M46+Grid!M47</f>
        <v>15000000</v>
      </c>
      <c r="N47" s="2" t="n">
        <f aca="false">N46+Grid!N47</f>
        <v>126219000</v>
      </c>
      <c r="O47" s="2" t="n">
        <f aca="false">O46+Grid!O47</f>
        <v>50000000</v>
      </c>
      <c r="P47" s="2" t="n">
        <f aca="false">P46+Grid!P47</f>
        <v>50000000</v>
      </c>
      <c r="Q47" s="2" t="n">
        <f aca="false">Q46+Grid!Q47</f>
        <v>40000000</v>
      </c>
      <c r="R47" s="2" t="n">
        <f aca="false">R46+Grid!R47</f>
        <v>50000000</v>
      </c>
      <c r="S47" s="2" t="n">
        <f aca="false">S46+Grid!S47</f>
        <v>10000000</v>
      </c>
      <c r="T47" s="2" t="n">
        <f aca="false">T46+Grid!T47</f>
        <v>5000000</v>
      </c>
      <c r="U47" s="2" t="n">
        <f aca="false">SUM(C47:T47)</f>
        <v>603719000</v>
      </c>
      <c r="V47" s="4" t="n">
        <f aca="false">U47/Inputs!$B$4</f>
        <v>0.603719</v>
      </c>
    </row>
    <row r="48" customFormat="false" ht="15" hidden="false" customHeight="false" outlineLevel="0" collapsed="false">
      <c r="A48" s="0" t="n">
        <v>43</v>
      </c>
      <c r="B48" s="3" t="n">
        <f aca="false">Grid!B48</f>
        <v>47731</v>
      </c>
      <c r="C48" s="2" t="n">
        <f aca="false">C47+Grid!C48</f>
        <v>6672359.27083333</v>
      </c>
      <c r="D48" s="2" t="n">
        <f aca="false">D47+Grid!D48</f>
        <v>17637227.1875</v>
      </c>
      <c r="E48" s="2" t="n">
        <f aca="false">E47+Grid!E48</f>
        <v>10582336.9583333</v>
      </c>
      <c r="F48" s="2" t="n">
        <f aca="false">F47+Grid!F48</f>
        <v>7054891.52083333</v>
      </c>
      <c r="G48" s="2" t="n">
        <f aca="false">G47+Grid!G48</f>
        <v>7054891.52083333</v>
      </c>
      <c r="H48" s="2" t="n">
        <f aca="false">H47+Grid!H48</f>
        <v>7054891.52083333</v>
      </c>
      <c r="I48" s="2" t="n">
        <f aca="false">I47+Grid!I48</f>
        <v>7054891.52083333</v>
      </c>
      <c r="J48" s="2" t="n">
        <f aca="false">J47+Grid!J48</f>
        <v>1471843.83333333</v>
      </c>
      <c r="K48" s="2" t="n">
        <f aca="false">K47+Grid!K48</f>
        <v>175000000</v>
      </c>
      <c r="L48" s="2" t="n">
        <f aca="false">L47+Grid!L48</f>
        <v>20000000</v>
      </c>
      <c r="M48" s="2" t="n">
        <f aca="false">M47+Grid!M48</f>
        <v>15000000</v>
      </c>
      <c r="N48" s="2" t="n">
        <f aca="false">N47+Grid!N48</f>
        <v>128675500</v>
      </c>
      <c r="O48" s="2" t="n">
        <f aca="false">O47+Grid!O48</f>
        <v>50000000</v>
      </c>
      <c r="P48" s="2" t="n">
        <f aca="false">P47+Grid!P48</f>
        <v>50000000</v>
      </c>
      <c r="Q48" s="2" t="n">
        <f aca="false">Q47+Grid!Q48</f>
        <v>40000000</v>
      </c>
      <c r="R48" s="2" t="n">
        <f aca="false">R47+Grid!R48</f>
        <v>50000000</v>
      </c>
      <c r="S48" s="2" t="n">
        <f aca="false">S47+Grid!S48</f>
        <v>10000000</v>
      </c>
      <c r="T48" s="2" t="n">
        <f aca="false">T47+Grid!T48</f>
        <v>5000000</v>
      </c>
      <c r="U48" s="2" t="n">
        <f aca="false">SUM(C48:T48)</f>
        <v>608258833.333333</v>
      </c>
      <c r="V48" s="4" t="n">
        <f aca="false">U48/Inputs!$B$4</f>
        <v>0.608258833333333</v>
      </c>
    </row>
    <row r="49" customFormat="false" ht="15" hidden="false" customHeight="false" outlineLevel="0" collapsed="false">
      <c r="A49" s="0" t="n">
        <v>44</v>
      </c>
      <c r="B49" s="3" t="n">
        <f aca="false">Grid!B49</f>
        <v>47761</v>
      </c>
      <c r="C49" s="2" t="n">
        <f aca="false">C48+Grid!C49</f>
        <v>6887596.66666666</v>
      </c>
      <c r="D49" s="2" t="n">
        <f aca="false">D48+Grid!D49</f>
        <v>18206170</v>
      </c>
      <c r="E49" s="2" t="n">
        <f aca="false">E48+Grid!E49</f>
        <v>10923702.6666667</v>
      </c>
      <c r="F49" s="2" t="n">
        <f aca="false">F48+Grid!F49</f>
        <v>7282468.66666666</v>
      </c>
      <c r="G49" s="2" t="n">
        <f aca="false">G48+Grid!G49</f>
        <v>7282468.66666666</v>
      </c>
      <c r="H49" s="2" t="n">
        <f aca="false">H48+Grid!H49</f>
        <v>7282468.66666666</v>
      </c>
      <c r="I49" s="2" t="n">
        <f aca="false">I48+Grid!I49</f>
        <v>7282468.66666666</v>
      </c>
      <c r="J49" s="2" t="n">
        <f aca="false">J48+Grid!J49</f>
        <v>1519322.66666667</v>
      </c>
      <c r="K49" s="2" t="n">
        <f aca="false">K48+Grid!K49</f>
        <v>175000000</v>
      </c>
      <c r="L49" s="2" t="n">
        <f aca="false">L48+Grid!L49</f>
        <v>20000000</v>
      </c>
      <c r="M49" s="2" t="n">
        <f aca="false">M48+Grid!M49</f>
        <v>15000000</v>
      </c>
      <c r="N49" s="2" t="n">
        <f aca="false">N48+Grid!N49</f>
        <v>131132000</v>
      </c>
      <c r="O49" s="2" t="n">
        <f aca="false">O48+Grid!O49</f>
        <v>50000000</v>
      </c>
      <c r="P49" s="2" t="n">
        <f aca="false">P48+Grid!P49</f>
        <v>50000000</v>
      </c>
      <c r="Q49" s="2" t="n">
        <f aca="false">Q48+Grid!Q49</f>
        <v>40000000</v>
      </c>
      <c r="R49" s="2" t="n">
        <f aca="false">R48+Grid!R49</f>
        <v>50000000</v>
      </c>
      <c r="S49" s="2" t="n">
        <f aca="false">S48+Grid!S49</f>
        <v>10000000</v>
      </c>
      <c r="T49" s="2" t="n">
        <f aca="false">T48+Grid!T49</f>
        <v>5000000</v>
      </c>
      <c r="U49" s="2" t="n">
        <f aca="false">SUM(C49:T49)</f>
        <v>612798666.666667</v>
      </c>
      <c r="V49" s="4" t="n">
        <f aca="false">U49/Inputs!$B$4</f>
        <v>0.612798666666667</v>
      </c>
    </row>
    <row r="50" customFormat="false" ht="15" hidden="false" customHeight="false" outlineLevel="0" collapsed="false">
      <c r="A50" s="0" t="n">
        <v>45</v>
      </c>
      <c r="B50" s="3" t="n">
        <f aca="false">Grid!B50</f>
        <v>47792</v>
      </c>
      <c r="C50" s="2" t="n">
        <f aca="false">C49+Grid!C50</f>
        <v>7102834.0625</v>
      </c>
      <c r="D50" s="2" t="n">
        <f aca="false">D49+Grid!D50</f>
        <v>18775112.8125</v>
      </c>
      <c r="E50" s="2" t="n">
        <f aca="false">E49+Grid!E50</f>
        <v>11265068.375</v>
      </c>
      <c r="F50" s="2" t="n">
        <f aca="false">F49+Grid!F50</f>
        <v>7510045.8125</v>
      </c>
      <c r="G50" s="2" t="n">
        <f aca="false">G49+Grid!G50</f>
        <v>7510045.8125</v>
      </c>
      <c r="H50" s="2" t="n">
        <f aca="false">H49+Grid!H50</f>
        <v>7510045.8125</v>
      </c>
      <c r="I50" s="2" t="n">
        <f aca="false">I49+Grid!I50</f>
        <v>7510045.8125</v>
      </c>
      <c r="J50" s="2" t="n">
        <f aca="false">J49+Grid!J50</f>
        <v>1566801.5</v>
      </c>
      <c r="K50" s="2" t="n">
        <f aca="false">K49+Grid!K50</f>
        <v>175000000</v>
      </c>
      <c r="L50" s="2" t="n">
        <f aca="false">L49+Grid!L50</f>
        <v>20000000</v>
      </c>
      <c r="M50" s="2" t="n">
        <f aca="false">M49+Grid!M50</f>
        <v>15000000</v>
      </c>
      <c r="N50" s="2" t="n">
        <f aca="false">N49+Grid!N50</f>
        <v>133588500</v>
      </c>
      <c r="O50" s="2" t="n">
        <f aca="false">O49+Grid!O50</f>
        <v>50000000</v>
      </c>
      <c r="P50" s="2" t="n">
        <f aca="false">P49+Grid!P50</f>
        <v>50000000</v>
      </c>
      <c r="Q50" s="2" t="n">
        <f aca="false">Q49+Grid!Q50</f>
        <v>40000000</v>
      </c>
      <c r="R50" s="2" t="n">
        <f aca="false">R49+Grid!R50</f>
        <v>50000000</v>
      </c>
      <c r="S50" s="2" t="n">
        <f aca="false">S49+Grid!S50</f>
        <v>10000000</v>
      </c>
      <c r="T50" s="2" t="n">
        <f aca="false">T49+Grid!T50</f>
        <v>5000000</v>
      </c>
      <c r="U50" s="2" t="n">
        <f aca="false">SUM(C50:T50)</f>
        <v>617338500</v>
      </c>
      <c r="V50" s="4" t="n">
        <f aca="false">U50/Inputs!$B$4</f>
        <v>0.6173385</v>
      </c>
    </row>
    <row r="51" customFormat="false" ht="15" hidden="false" customHeight="false" outlineLevel="0" collapsed="false">
      <c r="A51" s="0" t="n">
        <v>46</v>
      </c>
      <c r="B51" s="3" t="n">
        <f aca="false">Grid!B51</f>
        <v>47822</v>
      </c>
      <c r="C51" s="2" t="n">
        <f aca="false">C50+Grid!C51</f>
        <v>7318071.45833333</v>
      </c>
      <c r="D51" s="2" t="n">
        <f aca="false">D50+Grid!D51</f>
        <v>19344055.625</v>
      </c>
      <c r="E51" s="2" t="n">
        <f aca="false">E50+Grid!E51</f>
        <v>11606434.0833333</v>
      </c>
      <c r="F51" s="2" t="n">
        <f aca="false">F50+Grid!F51</f>
        <v>7737622.95833333</v>
      </c>
      <c r="G51" s="2" t="n">
        <f aca="false">G50+Grid!G51</f>
        <v>7737622.95833333</v>
      </c>
      <c r="H51" s="2" t="n">
        <f aca="false">H50+Grid!H51</f>
        <v>7737622.95833333</v>
      </c>
      <c r="I51" s="2" t="n">
        <f aca="false">I50+Grid!I51</f>
        <v>7737622.95833333</v>
      </c>
      <c r="J51" s="2" t="n">
        <f aca="false">J50+Grid!J51</f>
        <v>1614280.33333333</v>
      </c>
      <c r="K51" s="2" t="n">
        <f aca="false">K50+Grid!K51</f>
        <v>175000000</v>
      </c>
      <c r="L51" s="2" t="n">
        <f aca="false">L50+Grid!L51</f>
        <v>20000000</v>
      </c>
      <c r="M51" s="2" t="n">
        <f aca="false">M50+Grid!M51</f>
        <v>15000000</v>
      </c>
      <c r="N51" s="2" t="n">
        <f aca="false">N50+Grid!N51</f>
        <v>136045000</v>
      </c>
      <c r="O51" s="2" t="n">
        <f aca="false">O50+Grid!O51</f>
        <v>50000000</v>
      </c>
      <c r="P51" s="2" t="n">
        <f aca="false">P50+Grid!P51</f>
        <v>50000000</v>
      </c>
      <c r="Q51" s="2" t="n">
        <f aca="false">Q50+Grid!Q51</f>
        <v>40000000</v>
      </c>
      <c r="R51" s="2" t="n">
        <f aca="false">R50+Grid!R51</f>
        <v>50000000</v>
      </c>
      <c r="S51" s="2" t="n">
        <f aca="false">S50+Grid!S51</f>
        <v>10000000</v>
      </c>
      <c r="T51" s="2" t="n">
        <f aca="false">T50+Grid!T51</f>
        <v>5000000</v>
      </c>
      <c r="U51" s="2" t="n">
        <f aca="false">SUM(C51:T51)</f>
        <v>621878333.333333</v>
      </c>
      <c r="V51" s="4" t="n">
        <f aca="false">U51/Inputs!$B$4</f>
        <v>0.621878333333333</v>
      </c>
    </row>
    <row r="52" customFormat="false" ht="15" hidden="false" customHeight="false" outlineLevel="0" collapsed="false">
      <c r="A52" s="0" t="n">
        <v>47</v>
      </c>
      <c r="B52" s="3" t="n">
        <f aca="false">Grid!B52</f>
        <v>47853</v>
      </c>
      <c r="C52" s="2" t="n">
        <f aca="false">C51+Grid!C52</f>
        <v>7533308.85416666</v>
      </c>
      <c r="D52" s="2" t="n">
        <f aca="false">D51+Grid!D52</f>
        <v>19912998.4375</v>
      </c>
      <c r="E52" s="2" t="n">
        <f aca="false">E51+Grid!E52</f>
        <v>11947799.7916667</v>
      </c>
      <c r="F52" s="2" t="n">
        <f aca="false">F51+Grid!F52</f>
        <v>7965200.10416666</v>
      </c>
      <c r="G52" s="2" t="n">
        <f aca="false">G51+Grid!G52</f>
        <v>7965200.10416666</v>
      </c>
      <c r="H52" s="2" t="n">
        <f aca="false">H51+Grid!H52</f>
        <v>7965200.10416666</v>
      </c>
      <c r="I52" s="2" t="n">
        <f aca="false">I51+Grid!I52</f>
        <v>7965200.10416666</v>
      </c>
      <c r="J52" s="2" t="n">
        <f aca="false">J51+Grid!J52</f>
        <v>1661759.16666667</v>
      </c>
      <c r="K52" s="2" t="n">
        <f aca="false">K51+Grid!K52</f>
        <v>175000000</v>
      </c>
      <c r="L52" s="2" t="n">
        <f aca="false">L51+Grid!L52</f>
        <v>20000000</v>
      </c>
      <c r="M52" s="2" t="n">
        <f aca="false">M51+Grid!M52</f>
        <v>15000000</v>
      </c>
      <c r="N52" s="2" t="n">
        <f aca="false">N51+Grid!N52</f>
        <v>138501500</v>
      </c>
      <c r="O52" s="2" t="n">
        <f aca="false">O51+Grid!O52</f>
        <v>50000000</v>
      </c>
      <c r="P52" s="2" t="n">
        <f aca="false">P51+Grid!P52</f>
        <v>50000000</v>
      </c>
      <c r="Q52" s="2" t="n">
        <f aca="false">Q51+Grid!Q52</f>
        <v>40000000</v>
      </c>
      <c r="R52" s="2" t="n">
        <f aca="false">R51+Grid!R52</f>
        <v>50000000</v>
      </c>
      <c r="S52" s="2" t="n">
        <f aca="false">S51+Grid!S52</f>
        <v>10000000</v>
      </c>
      <c r="T52" s="2" t="n">
        <f aca="false">T51+Grid!T52</f>
        <v>5000000</v>
      </c>
      <c r="U52" s="2" t="n">
        <f aca="false">SUM(C52:T52)</f>
        <v>626418166.666667</v>
      </c>
      <c r="V52" s="4" t="n">
        <f aca="false">U52/Inputs!$B$4</f>
        <v>0.626418166666667</v>
      </c>
    </row>
    <row r="53" customFormat="false" ht="15" hidden="false" customHeight="false" outlineLevel="0" collapsed="false">
      <c r="A53" s="0" t="n">
        <v>48</v>
      </c>
      <c r="B53" s="3" t="n">
        <f aca="false">Grid!B53</f>
        <v>47884</v>
      </c>
      <c r="C53" s="2" t="n">
        <f aca="false">C52+Grid!C53</f>
        <v>7748546.25</v>
      </c>
      <c r="D53" s="2" t="n">
        <f aca="false">D52+Grid!D53</f>
        <v>20481941.25</v>
      </c>
      <c r="E53" s="2" t="n">
        <f aca="false">E52+Grid!E53</f>
        <v>12289165.5</v>
      </c>
      <c r="F53" s="2" t="n">
        <f aca="false">F52+Grid!F53</f>
        <v>8192777.25</v>
      </c>
      <c r="G53" s="2" t="n">
        <f aca="false">G52+Grid!G53</f>
        <v>8192777.25</v>
      </c>
      <c r="H53" s="2" t="n">
        <f aca="false">H52+Grid!H53</f>
        <v>8192777.25</v>
      </c>
      <c r="I53" s="2" t="n">
        <f aca="false">I52+Grid!I53</f>
        <v>8192777.25</v>
      </c>
      <c r="J53" s="2" t="n">
        <f aca="false">J52+Grid!J53</f>
        <v>1709238</v>
      </c>
      <c r="K53" s="2" t="n">
        <f aca="false">K52+Grid!K53</f>
        <v>175000000</v>
      </c>
      <c r="L53" s="2" t="n">
        <f aca="false">L52+Grid!L53</f>
        <v>20000000</v>
      </c>
      <c r="M53" s="2" t="n">
        <f aca="false">M52+Grid!M53</f>
        <v>15000000</v>
      </c>
      <c r="N53" s="2" t="n">
        <f aca="false">N52+Grid!N53</f>
        <v>140958000</v>
      </c>
      <c r="O53" s="2" t="n">
        <f aca="false">O52+Grid!O53</f>
        <v>50000000</v>
      </c>
      <c r="P53" s="2" t="n">
        <f aca="false">P52+Grid!P53</f>
        <v>50000000</v>
      </c>
      <c r="Q53" s="2" t="n">
        <f aca="false">Q52+Grid!Q53</f>
        <v>40000000</v>
      </c>
      <c r="R53" s="2" t="n">
        <f aca="false">R52+Grid!R53</f>
        <v>50000000</v>
      </c>
      <c r="S53" s="2" t="n">
        <f aca="false">S52+Grid!S53</f>
        <v>10000000</v>
      </c>
      <c r="T53" s="2" t="n">
        <f aca="false">T52+Grid!T53</f>
        <v>5000000</v>
      </c>
      <c r="U53" s="2" t="n">
        <f aca="false">SUM(C53:T53)</f>
        <v>630958000</v>
      </c>
      <c r="V53" s="4" t="n">
        <f aca="false">U53/Inputs!$B$4</f>
        <v>0.630958</v>
      </c>
    </row>
    <row r="54" customFormat="false" ht="15" hidden="false" customHeight="false" outlineLevel="0" collapsed="false">
      <c r="A54" s="0" t="n">
        <v>49</v>
      </c>
      <c r="B54" s="3" t="n">
        <f aca="false">Grid!B54</f>
        <v>47912</v>
      </c>
      <c r="C54" s="2" t="n">
        <f aca="false">C53+Grid!C54</f>
        <v>7963783.64583333</v>
      </c>
      <c r="D54" s="2" t="n">
        <f aca="false">D53+Grid!D54</f>
        <v>21050884.0625</v>
      </c>
      <c r="E54" s="2" t="n">
        <f aca="false">E53+Grid!E54</f>
        <v>12630531.2083333</v>
      </c>
      <c r="F54" s="2" t="n">
        <f aca="false">F53+Grid!F54</f>
        <v>8420354.39583333</v>
      </c>
      <c r="G54" s="2" t="n">
        <f aca="false">G53+Grid!G54</f>
        <v>8420354.39583333</v>
      </c>
      <c r="H54" s="2" t="n">
        <f aca="false">H53+Grid!H54</f>
        <v>8420354.39583333</v>
      </c>
      <c r="I54" s="2" t="n">
        <f aca="false">I53+Grid!I54</f>
        <v>8420354.39583333</v>
      </c>
      <c r="J54" s="2" t="n">
        <f aca="false">J53+Grid!J54</f>
        <v>1756716.83333333</v>
      </c>
      <c r="K54" s="2" t="n">
        <f aca="false">K53+Grid!K54</f>
        <v>175000000</v>
      </c>
      <c r="L54" s="2" t="n">
        <f aca="false">L53+Grid!L54</f>
        <v>20000000</v>
      </c>
      <c r="M54" s="2" t="n">
        <f aca="false">M53+Grid!M54</f>
        <v>15000000</v>
      </c>
      <c r="N54" s="2" t="n">
        <f aca="false">N53+Grid!N54</f>
        <v>143046025</v>
      </c>
      <c r="O54" s="2" t="n">
        <f aca="false">O53+Grid!O54</f>
        <v>50000000</v>
      </c>
      <c r="P54" s="2" t="n">
        <f aca="false">P53+Grid!P54</f>
        <v>50000000</v>
      </c>
      <c r="Q54" s="2" t="n">
        <f aca="false">Q53+Grid!Q54</f>
        <v>40000000</v>
      </c>
      <c r="R54" s="2" t="n">
        <f aca="false">R53+Grid!R54</f>
        <v>50000000</v>
      </c>
      <c r="S54" s="2" t="n">
        <f aca="false">S53+Grid!S54</f>
        <v>10000000</v>
      </c>
      <c r="T54" s="2" t="n">
        <f aca="false">T53+Grid!T54</f>
        <v>5000000</v>
      </c>
      <c r="U54" s="2" t="n">
        <f aca="false">SUM(C54:T54)</f>
        <v>635129358.333333</v>
      </c>
      <c r="V54" s="4" t="n">
        <f aca="false">U54/Inputs!$B$4</f>
        <v>0.635129358333333</v>
      </c>
    </row>
    <row r="55" customFormat="false" ht="15" hidden="false" customHeight="false" outlineLevel="0" collapsed="false">
      <c r="A55" s="0" t="n">
        <v>50</v>
      </c>
      <c r="B55" s="3" t="n">
        <f aca="false">Grid!B55</f>
        <v>47943</v>
      </c>
      <c r="C55" s="2" t="n">
        <f aca="false">C54+Grid!C55</f>
        <v>8179021.04166666</v>
      </c>
      <c r="D55" s="2" t="n">
        <f aca="false">D54+Grid!D55</f>
        <v>21619826.875</v>
      </c>
      <c r="E55" s="2" t="n">
        <f aca="false">E54+Grid!E55</f>
        <v>12971896.9166667</v>
      </c>
      <c r="F55" s="2" t="n">
        <f aca="false">F54+Grid!F55</f>
        <v>8647931.54166666</v>
      </c>
      <c r="G55" s="2" t="n">
        <f aca="false">G54+Grid!G55</f>
        <v>8647931.54166666</v>
      </c>
      <c r="H55" s="2" t="n">
        <f aca="false">H54+Grid!H55</f>
        <v>8647931.54166666</v>
      </c>
      <c r="I55" s="2" t="n">
        <f aca="false">I54+Grid!I55</f>
        <v>8647931.54166666</v>
      </c>
      <c r="J55" s="2" t="n">
        <f aca="false">J54+Grid!J55</f>
        <v>1804195.66666667</v>
      </c>
      <c r="K55" s="2" t="n">
        <f aca="false">K54+Grid!K55</f>
        <v>175000000</v>
      </c>
      <c r="L55" s="2" t="n">
        <f aca="false">L54+Grid!L55</f>
        <v>20000000</v>
      </c>
      <c r="M55" s="2" t="n">
        <f aca="false">M54+Grid!M55</f>
        <v>15000000</v>
      </c>
      <c r="N55" s="2" t="n">
        <f aca="false">N54+Grid!N55</f>
        <v>145134050</v>
      </c>
      <c r="O55" s="2" t="n">
        <f aca="false">O54+Grid!O55</f>
        <v>50000000</v>
      </c>
      <c r="P55" s="2" t="n">
        <f aca="false">P54+Grid!P55</f>
        <v>50000000</v>
      </c>
      <c r="Q55" s="2" t="n">
        <f aca="false">Q54+Grid!Q55</f>
        <v>40000000</v>
      </c>
      <c r="R55" s="2" t="n">
        <f aca="false">R54+Grid!R55</f>
        <v>50000000</v>
      </c>
      <c r="S55" s="2" t="n">
        <f aca="false">S54+Grid!S55</f>
        <v>10000000</v>
      </c>
      <c r="T55" s="2" t="n">
        <f aca="false">T54+Grid!T55</f>
        <v>5000000</v>
      </c>
      <c r="U55" s="2" t="n">
        <f aca="false">SUM(C55:T55)</f>
        <v>639300716.666667</v>
      </c>
      <c r="V55" s="4" t="n">
        <f aca="false">U55/Inputs!$B$4</f>
        <v>0.639300716666667</v>
      </c>
    </row>
    <row r="56" customFormat="false" ht="15" hidden="false" customHeight="false" outlineLevel="0" collapsed="false">
      <c r="A56" s="0" t="n">
        <v>51</v>
      </c>
      <c r="B56" s="3" t="n">
        <f aca="false">Grid!B56</f>
        <v>47973</v>
      </c>
      <c r="C56" s="2" t="n">
        <f aca="false">C55+Grid!C56</f>
        <v>8394258.4375</v>
      </c>
      <c r="D56" s="2" t="n">
        <f aca="false">D55+Grid!D56</f>
        <v>22188769.6875</v>
      </c>
      <c r="E56" s="2" t="n">
        <f aca="false">E55+Grid!E56</f>
        <v>13313262.625</v>
      </c>
      <c r="F56" s="2" t="n">
        <f aca="false">F55+Grid!F56</f>
        <v>8875508.6875</v>
      </c>
      <c r="G56" s="2" t="n">
        <f aca="false">G55+Grid!G56</f>
        <v>8875508.6875</v>
      </c>
      <c r="H56" s="2" t="n">
        <f aca="false">H55+Grid!H56</f>
        <v>8875508.6875</v>
      </c>
      <c r="I56" s="2" t="n">
        <f aca="false">I55+Grid!I56</f>
        <v>8875508.6875</v>
      </c>
      <c r="J56" s="2" t="n">
        <f aca="false">J55+Grid!J56</f>
        <v>1851674.5</v>
      </c>
      <c r="K56" s="2" t="n">
        <f aca="false">K55+Grid!K56</f>
        <v>175000000</v>
      </c>
      <c r="L56" s="2" t="n">
        <f aca="false">L55+Grid!L56</f>
        <v>20000000</v>
      </c>
      <c r="M56" s="2" t="n">
        <f aca="false">M55+Grid!M56</f>
        <v>15000000</v>
      </c>
      <c r="N56" s="2" t="n">
        <f aca="false">N55+Grid!N56</f>
        <v>147222075</v>
      </c>
      <c r="O56" s="2" t="n">
        <f aca="false">O55+Grid!O56</f>
        <v>50000000</v>
      </c>
      <c r="P56" s="2" t="n">
        <f aca="false">P55+Grid!P56</f>
        <v>50000000</v>
      </c>
      <c r="Q56" s="2" t="n">
        <f aca="false">Q55+Grid!Q56</f>
        <v>40000000</v>
      </c>
      <c r="R56" s="2" t="n">
        <f aca="false">R55+Grid!R56</f>
        <v>50000000</v>
      </c>
      <c r="S56" s="2" t="n">
        <f aca="false">S55+Grid!S56</f>
        <v>10000000</v>
      </c>
      <c r="T56" s="2" t="n">
        <f aca="false">T55+Grid!T56</f>
        <v>5000000</v>
      </c>
      <c r="U56" s="2" t="n">
        <f aca="false">SUM(C56:T56)</f>
        <v>643472075</v>
      </c>
      <c r="V56" s="4" t="n">
        <f aca="false">U56/Inputs!$B$4</f>
        <v>0.643472075</v>
      </c>
    </row>
    <row r="57" customFormat="false" ht="15" hidden="false" customHeight="false" outlineLevel="0" collapsed="false">
      <c r="A57" s="0" t="n">
        <v>52</v>
      </c>
      <c r="B57" s="3" t="n">
        <f aca="false">Grid!B57</f>
        <v>48004</v>
      </c>
      <c r="C57" s="2" t="n">
        <f aca="false">C56+Grid!C57</f>
        <v>8609495.83333333</v>
      </c>
      <c r="D57" s="2" t="n">
        <f aca="false">D56+Grid!D57</f>
        <v>22757712.5</v>
      </c>
      <c r="E57" s="2" t="n">
        <f aca="false">E56+Grid!E57</f>
        <v>13654628.3333333</v>
      </c>
      <c r="F57" s="2" t="n">
        <f aca="false">F56+Grid!F57</f>
        <v>9103085.83333333</v>
      </c>
      <c r="G57" s="2" t="n">
        <f aca="false">G56+Grid!G57</f>
        <v>9103085.83333333</v>
      </c>
      <c r="H57" s="2" t="n">
        <f aca="false">H56+Grid!H57</f>
        <v>9103085.83333333</v>
      </c>
      <c r="I57" s="2" t="n">
        <f aca="false">I56+Grid!I57</f>
        <v>9103085.83333333</v>
      </c>
      <c r="J57" s="2" t="n">
        <f aca="false">J56+Grid!J57</f>
        <v>1899153.33333333</v>
      </c>
      <c r="K57" s="2" t="n">
        <f aca="false">K56+Grid!K57</f>
        <v>175000000</v>
      </c>
      <c r="L57" s="2" t="n">
        <f aca="false">L56+Grid!L57</f>
        <v>20000000</v>
      </c>
      <c r="M57" s="2" t="n">
        <f aca="false">M56+Grid!M57</f>
        <v>15000000</v>
      </c>
      <c r="N57" s="2" t="n">
        <f aca="false">N56+Grid!N57</f>
        <v>149310100</v>
      </c>
      <c r="O57" s="2" t="n">
        <f aca="false">O56+Grid!O57</f>
        <v>50000000</v>
      </c>
      <c r="P57" s="2" t="n">
        <f aca="false">P56+Grid!P57</f>
        <v>50000000</v>
      </c>
      <c r="Q57" s="2" t="n">
        <f aca="false">Q56+Grid!Q57</f>
        <v>40000000</v>
      </c>
      <c r="R57" s="2" t="n">
        <f aca="false">R56+Grid!R57</f>
        <v>50000000</v>
      </c>
      <c r="S57" s="2" t="n">
        <f aca="false">S56+Grid!S57</f>
        <v>10000000</v>
      </c>
      <c r="T57" s="2" t="n">
        <f aca="false">T56+Grid!T57</f>
        <v>5000000</v>
      </c>
      <c r="U57" s="2" t="n">
        <f aca="false">SUM(C57:T57)</f>
        <v>647643433.333333</v>
      </c>
      <c r="V57" s="4" t="n">
        <f aca="false">U57/Inputs!$B$4</f>
        <v>0.647643433333333</v>
      </c>
    </row>
    <row r="58" customFormat="false" ht="15" hidden="false" customHeight="false" outlineLevel="0" collapsed="false">
      <c r="A58" s="0" t="n">
        <v>53</v>
      </c>
      <c r="B58" s="3" t="n">
        <f aca="false">Grid!B58</f>
        <v>48034</v>
      </c>
      <c r="C58" s="2" t="n">
        <f aca="false">C57+Grid!C58</f>
        <v>8824733.22916666</v>
      </c>
      <c r="D58" s="2" t="n">
        <f aca="false">D57+Grid!D58</f>
        <v>23326655.3125</v>
      </c>
      <c r="E58" s="2" t="n">
        <f aca="false">E57+Grid!E58</f>
        <v>13995994.0416667</v>
      </c>
      <c r="F58" s="2" t="n">
        <f aca="false">F57+Grid!F58</f>
        <v>9330662.97916666</v>
      </c>
      <c r="G58" s="2" t="n">
        <f aca="false">G57+Grid!G58</f>
        <v>9330662.97916666</v>
      </c>
      <c r="H58" s="2" t="n">
        <f aca="false">H57+Grid!H58</f>
        <v>9330662.97916666</v>
      </c>
      <c r="I58" s="2" t="n">
        <f aca="false">I57+Grid!I58</f>
        <v>9330662.97916666</v>
      </c>
      <c r="J58" s="2" t="n">
        <f aca="false">J57+Grid!J58</f>
        <v>1946632.16666667</v>
      </c>
      <c r="K58" s="2" t="n">
        <f aca="false">K57+Grid!K58</f>
        <v>175000000</v>
      </c>
      <c r="L58" s="2" t="n">
        <f aca="false">L57+Grid!L58</f>
        <v>20000000</v>
      </c>
      <c r="M58" s="2" t="n">
        <f aca="false">M57+Grid!M58</f>
        <v>15000000</v>
      </c>
      <c r="N58" s="2" t="n">
        <f aca="false">N57+Grid!N58</f>
        <v>151398125</v>
      </c>
      <c r="O58" s="2" t="n">
        <f aca="false">O57+Grid!O58</f>
        <v>50000000</v>
      </c>
      <c r="P58" s="2" t="n">
        <f aca="false">P57+Grid!P58</f>
        <v>50000000</v>
      </c>
      <c r="Q58" s="2" t="n">
        <f aca="false">Q57+Grid!Q58</f>
        <v>40000000</v>
      </c>
      <c r="R58" s="2" t="n">
        <f aca="false">R57+Grid!R58</f>
        <v>50000000</v>
      </c>
      <c r="S58" s="2" t="n">
        <f aca="false">S57+Grid!S58</f>
        <v>10000000</v>
      </c>
      <c r="T58" s="2" t="n">
        <f aca="false">T57+Grid!T58</f>
        <v>5000000</v>
      </c>
      <c r="U58" s="2" t="n">
        <f aca="false">SUM(C58:T58)</f>
        <v>651814791.666667</v>
      </c>
      <c r="V58" s="4" t="n">
        <f aca="false">U58/Inputs!$B$4</f>
        <v>0.651814791666667</v>
      </c>
    </row>
    <row r="59" customFormat="false" ht="15" hidden="false" customHeight="false" outlineLevel="0" collapsed="false">
      <c r="A59" s="0" t="n">
        <v>54</v>
      </c>
      <c r="B59" s="3" t="n">
        <f aca="false">Grid!B59</f>
        <v>48065</v>
      </c>
      <c r="C59" s="2" t="n">
        <f aca="false">C58+Grid!C59</f>
        <v>9039970.625</v>
      </c>
      <c r="D59" s="2" t="n">
        <f aca="false">D58+Grid!D59</f>
        <v>23895598.125</v>
      </c>
      <c r="E59" s="2" t="n">
        <f aca="false">E58+Grid!E59</f>
        <v>14337359.75</v>
      </c>
      <c r="F59" s="2" t="n">
        <f aca="false">F58+Grid!F59</f>
        <v>9558240.125</v>
      </c>
      <c r="G59" s="2" t="n">
        <f aca="false">G58+Grid!G59</f>
        <v>9558240.125</v>
      </c>
      <c r="H59" s="2" t="n">
        <f aca="false">H58+Grid!H59</f>
        <v>9558240.125</v>
      </c>
      <c r="I59" s="2" t="n">
        <f aca="false">I58+Grid!I59</f>
        <v>9558240.125</v>
      </c>
      <c r="J59" s="2" t="n">
        <f aca="false">J58+Grid!J59</f>
        <v>1994111</v>
      </c>
      <c r="K59" s="2" t="n">
        <f aca="false">K58+Grid!K59</f>
        <v>175000000</v>
      </c>
      <c r="L59" s="2" t="n">
        <f aca="false">L58+Grid!L59</f>
        <v>20000000</v>
      </c>
      <c r="M59" s="2" t="n">
        <f aca="false">M58+Grid!M59</f>
        <v>15000000</v>
      </c>
      <c r="N59" s="2" t="n">
        <f aca="false">N58+Grid!N59</f>
        <v>153486150</v>
      </c>
      <c r="O59" s="2" t="n">
        <f aca="false">O58+Grid!O59</f>
        <v>50000000</v>
      </c>
      <c r="P59" s="2" t="n">
        <f aca="false">P58+Grid!P59</f>
        <v>50000000</v>
      </c>
      <c r="Q59" s="2" t="n">
        <f aca="false">Q58+Grid!Q59</f>
        <v>40000000</v>
      </c>
      <c r="R59" s="2" t="n">
        <f aca="false">R58+Grid!R59</f>
        <v>50000000</v>
      </c>
      <c r="S59" s="2" t="n">
        <f aca="false">S58+Grid!S59</f>
        <v>10000000</v>
      </c>
      <c r="T59" s="2" t="n">
        <f aca="false">T58+Grid!T59</f>
        <v>5000000</v>
      </c>
      <c r="U59" s="2" t="n">
        <f aca="false">SUM(C59:T59)</f>
        <v>655986150</v>
      </c>
      <c r="V59" s="4" t="n">
        <f aca="false">U59/Inputs!$B$4</f>
        <v>0.65598615</v>
      </c>
    </row>
    <row r="60" customFormat="false" ht="15" hidden="false" customHeight="false" outlineLevel="0" collapsed="false">
      <c r="A60" s="0" t="n">
        <v>55</v>
      </c>
      <c r="B60" s="3" t="n">
        <f aca="false">Grid!B60</f>
        <v>48096</v>
      </c>
      <c r="C60" s="2" t="n">
        <f aca="false">C59+Grid!C60</f>
        <v>9255208.02083333</v>
      </c>
      <c r="D60" s="2" t="n">
        <f aca="false">D59+Grid!D60</f>
        <v>24464540.9375</v>
      </c>
      <c r="E60" s="2" t="n">
        <f aca="false">E59+Grid!E60</f>
        <v>14678725.4583333</v>
      </c>
      <c r="F60" s="2" t="n">
        <f aca="false">F59+Grid!F60</f>
        <v>9785817.27083333</v>
      </c>
      <c r="G60" s="2" t="n">
        <f aca="false">G59+Grid!G60</f>
        <v>9785817.27083333</v>
      </c>
      <c r="H60" s="2" t="n">
        <f aca="false">H59+Grid!H60</f>
        <v>9785817.27083333</v>
      </c>
      <c r="I60" s="2" t="n">
        <f aca="false">I59+Grid!I60</f>
        <v>9785817.27083333</v>
      </c>
      <c r="J60" s="2" t="n">
        <f aca="false">J59+Grid!J60</f>
        <v>2041589.83333333</v>
      </c>
      <c r="K60" s="2" t="n">
        <f aca="false">K59+Grid!K60</f>
        <v>175000000</v>
      </c>
      <c r="L60" s="2" t="n">
        <f aca="false">L59+Grid!L60</f>
        <v>20000000</v>
      </c>
      <c r="M60" s="2" t="n">
        <f aca="false">M59+Grid!M60</f>
        <v>15000000</v>
      </c>
      <c r="N60" s="2" t="n">
        <f aca="false">N59+Grid!N60</f>
        <v>155574175</v>
      </c>
      <c r="O60" s="2" t="n">
        <f aca="false">O59+Grid!O60</f>
        <v>50000000</v>
      </c>
      <c r="P60" s="2" t="n">
        <f aca="false">P59+Grid!P60</f>
        <v>50000000</v>
      </c>
      <c r="Q60" s="2" t="n">
        <f aca="false">Q59+Grid!Q60</f>
        <v>40000000</v>
      </c>
      <c r="R60" s="2" t="n">
        <f aca="false">R59+Grid!R60</f>
        <v>50000000</v>
      </c>
      <c r="S60" s="2" t="n">
        <f aca="false">S59+Grid!S60</f>
        <v>10000000</v>
      </c>
      <c r="T60" s="2" t="n">
        <f aca="false">T59+Grid!T60</f>
        <v>5000000</v>
      </c>
      <c r="U60" s="2" t="n">
        <f aca="false">SUM(C60:T60)</f>
        <v>660157508.333333</v>
      </c>
      <c r="V60" s="4" t="n">
        <f aca="false">U60/Inputs!$B$4</f>
        <v>0.660157508333333</v>
      </c>
    </row>
    <row r="61" customFormat="false" ht="15" hidden="false" customHeight="false" outlineLevel="0" collapsed="false">
      <c r="A61" s="0" t="n">
        <v>56</v>
      </c>
      <c r="B61" s="3" t="n">
        <f aca="false">Grid!B61</f>
        <v>48126</v>
      </c>
      <c r="C61" s="2" t="n">
        <f aca="false">C60+Grid!C61</f>
        <v>9470445.41666667</v>
      </c>
      <c r="D61" s="2" t="n">
        <f aca="false">D60+Grid!D61</f>
        <v>25033483.75</v>
      </c>
      <c r="E61" s="2" t="n">
        <f aca="false">E60+Grid!E61</f>
        <v>15020091.1666667</v>
      </c>
      <c r="F61" s="2" t="n">
        <f aca="false">F60+Grid!F61</f>
        <v>10013394.4166667</v>
      </c>
      <c r="G61" s="2" t="n">
        <f aca="false">G60+Grid!G61</f>
        <v>10013394.4166667</v>
      </c>
      <c r="H61" s="2" t="n">
        <f aca="false">H60+Grid!H61</f>
        <v>10013394.4166667</v>
      </c>
      <c r="I61" s="2" t="n">
        <f aca="false">I60+Grid!I61</f>
        <v>10013394.4166667</v>
      </c>
      <c r="J61" s="2" t="n">
        <f aca="false">J60+Grid!J61</f>
        <v>2089068.66666667</v>
      </c>
      <c r="K61" s="2" t="n">
        <f aca="false">K60+Grid!K61</f>
        <v>175000000</v>
      </c>
      <c r="L61" s="2" t="n">
        <f aca="false">L60+Grid!L61</f>
        <v>20000000</v>
      </c>
      <c r="M61" s="2" t="n">
        <f aca="false">M60+Grid!M61</f>
        <v>15000000</v>
      </c>
      <c r="N61" s="2" t="n">
        <f aca="false">N60+Grid!N61</f>
        <v>157662200</v>
      </c>
      <c r="O61" s="2" t="n">
        <f aca="false">O60+Grid!O61</f>
        <v>50000000</v>
      </c>
      <c r="P61" s="2" t="n">
        <f aca="false">P60+Grid!P61</f>
        <v>50000000</v>
      </c>
      <c r="Q61" s="2" t="n">
        <f aca="false">Q60+Grid!Q61</f>
        <v>40000000</v>
      </c>
      <c r="R61" s="2" t="n">
        <f aca="false">R60+Grid!R61</f>
        <v>50000000</v>
      </c>
      <c r="S61" s="2" t="n">
        <f aca="false">S60+Grid!S61</f>
        <v>10000000</v>
      </c>
      <c r="T61" s="2" t="n">
        <f aca="false">T60+Grid!T61</f>
        <v>5000000</v>
      </c>
      <c r="U61" s="2" t="n">
        <f aca="false">SUM(C61:T61)</f>
        <v>664328866.666667</v>
      </c>
      <c r="V61" s="4" t="n">
        <f aca="false">U61/Inputs!$B$4</f>
        <v>0.664328866666667</v>
      </c>
    </row>
    <row r="62" customFormat="false" ht="15" hidden="false" customHeight="false" outlineLevel="0" collapsed="false">
      <c r="A62" s="0" t="n">
        <v>57</v>
      </c>
      <c r="B62" s="3" t="n">
        <f aca="false">Grid!B62</f>
        <v>48157</v>
      </c>
      <c r="C62" s="2" t="n">
        <f aca="false">C61+Grid!C62</f>
        <v>9685682.8125</v>
      </c>
      <c r="D62" s="2" t="n">
        <f aca="false">D61+Grid!D62</f>
        <v>25602426.5625</v>
      </c>
      <c r="E62" s="2" t="n">
        <f aca="false">E61+Grid!E62</f>
        <v>15361456.875</v>
      </c>
      <c r="F62" s="2" t="n">
        <f aca="false">F61+Grid!F62</f>
        <v>10240971.5625</v>
      </c>
      <c r="G62" s="2" t="n">
        <f aca="false">G61+Grid!G62</f>
        <v>10240971.5625</v>
      </c>
      <c r="H62" s="2" t="n">
        <f aca="false">H61+Grid!H62</f>
        <v>10240971.5625</v>
      </c>
      <c r="I62" s="2" t="n">
        <f aca="false">I61+Grid!I62</f>
        <v>10240971.5625</v>
      </c>
      <c r="J62" s="2" t="n">
        <f aca="false">J61+Grid!J62</f>
        <v>2136547.5</v>
      </c>
      <c r="K62" s="2" t="n">
        <f aca="false">K61+Grid!K62</f>
        <v>175000000</v>
      </c>
      <c r="L62" s="2" t="n">
        <f aca="false">L61+Grid!L62</f>
        <v>20000000</v>
      </c>
      <c r="M62" s="2" t="n">
        <f aca="false">M61+Grid!M62</f>
        <v>15000000</v>
      </c>
      <c r="N62" s="2" t="n">
        <f aca="false">N61+Grid!N62</f>
        <v>159750225</v>
      </c>
      <c r="O62" s="2" t="n">
        <f aca="false">O61+Grid!O62</f>
        <v>50000000</v>
      </c>
      <c r="P62" s="2" t="n">
        <f aca="false">P61+Grid!P62</f>
        <v>50000000</v>
      </c>
      <c r="Q62" s="2" t="n">
        <f aca="false">Q61+Grid!Q62</f>
        <v>40000000</v>
      </c>
      <c r="R62" s="2" t="n">
        <f aca="false">R61+Grid!R62</f>
        <v>50000000</v>
      </c>
      <c r="S62" s="2" t="n">
        <f aca="false">S61+Grid!S62</f>
        <v>10000000</v>
      </c>
      <c r="T62" s="2" t="n">
        <f aca="false">T61+Grid!T62</f>
        <v>5000000</v>
      </c>
      <c r="U62" s="2" t="n">
        <f aca="false">SUM(C62:T62)</f>
        <v>668500225</v>
      </c>
      <c r="V62" s="4" t="n">
        <f aca="false">U62/Inputs!$B$4</f>
        <v>0.668500225</v>
      </c>
    </row>
    <row r="63" customFormat="false" ht="15" hidden="false" customHeight="false" outlineLevel="0" collapsed="false">
      <c r="A63" s="0" t="n">
        <v>58</v>
      </c>
      <c r="B63" s="3" t="n">
        <f aca="false">Grid!B63</f>
        <v>48187</v>
      </c>
      <c r="C63" s="2" t="n">
        <f aca="false">C62+Grid!C63</f>
        <v>9900920.20833333</v>
      </c>
      <c r="D63" s="2" t="n">
        <f aca="false">D62+Grid!D63</f>
        <v>26171369.375</v>
      </c>
      <c r="E63" s="2" t="n">
        <f aca="false">E62+Grid!E63</f>
        <v>15702822.5833333</v>
      </c>
      <c r="F63" s="2" t="n">
        <f aca="false">F62+Grid!F63</f>
        <v>10468548.7083333</v>
      </c>
      <c r="G63" s="2" t="n">
        <f aca="false">G62+Grid!G63</f>
        <v>10468548.7083333</v>
      </c>
      <c r="H63" s="2" t="n">
        <f aca="false">H62+Grid!H63</f>
        <v>10468548.7083333</v>
      </c>
      <c r="I63" s="2" t="n">
        <f aca="false">I62+Grid!I63</f>
        <v>10468548.7083333</v>
      </c>
      <c r="J63" s="2" t="n">
        <f aca="false">J62+Grid!J63</f>
        <v>2184026.33333333</v>
      </c>
      <c r="K63" s="2" t="n">
        <f aca="false">K62+Grid!K63</f>
        <v>175000000</v>
      </c>
      <c r="L63" s="2" t="n">
        <f aca="false">L62+Grid!L63</f>
        <v>20000000</v>
      </c>
      <c r="M63" s="2" t="n">
        <f aca="false">M62+Grid!M63</f>
        <v>15000000</v>
      </c>
      <c r="N63" s="2" t="n">
        <f aca="false">N62+Grid!N63</f>
        <v>161838250</v>
      </c>
      <c r="O63" s="2" t="n">
        <f aca="false">O62+Grid!O63</f>
        <v>50000000</v>
      </c>
      <c r="P63" s="2" t="n">
        <f aca="false">P62+Grid!P63</f>
        <v>50000000</v>
      </c>
      <c r="Q63" s="2" t="n">
        <f aca="false">Q62+Grid!Q63</f>
        <v>40000000</v>
      </c>
      <c r="R63" s="2" t="n">
        <f aca="false">R62+Grid!R63</f>
        <v>50000000</v>
      </c>
      <c r="S63" s="2" t="n">
        <f aca="false">S62+Grid!S63</f>
        <v>10000000</v>
      </c>
      <c r="T63" s="2" t="n">
        <f aca="false">T62+Grid!T63</f>
        <v>5000000</v>
      </c>
      <c r="U63" s="2" t="n">
        <f aca="false">SUM(C63:T63)</f>
        <v>672671583.333333</v>
      </c>
      <c r="V63" s="4" t="n">
        <f aca="false">U63/Inputs!$B$4</f>
        <v>0.672671583333333</v>
      </c>
    </row>
    <row r="64" customFormat="false" ht="15" hidden="false" customHeight="false" outlineLevel="0" collapsed="false">
      <c r="A64" s="0" t="n">
        <v>59</v>
      </c>
      <c r="B64" s="3" t="n">
        <f aca="false">Grid!B64</f>
        <v>48218</v>
      </c>
      <c r="C64" s="2" t="n">
        <f aca="false">C63+Grid!C64</f>
        <v>10116157.6041667</v>
      </c>
      <c r="D64" s="2" t="n">
        <f aca="false">D63+Grid!D64</f>
        <v>26740312.1875</v>
      </c>
      <c r="E64" s="2" t="n">
        <f aca="false">E63+Grid!E64</f>
        <v>16044188.2916667</v>
      </c>
      <c r="F64" s="2" t="n">
        <f aca="false">F63+Grid!F64</f>
        <v>10696125.8541667</v>
      </c>
      <c r="G64" s="2" t="n">
        <f aca="false">G63+Grid!G64</f>
        <v>10696125.8541667</v>
      </c>
      <c r="H64" s="2" t="n">
        <f aca="false">H63+Grid!H64</f>
        <v>10696125.8541667</v>
      </c>
      <c r="I64" s="2" t="n">
        <f aca="false">I63+Grid!I64</f>
        <v>10696125.8541667</v>
      </c>
      <c r="J64" s="2" t="n">
        <f aca="false">J63+Grid!J64</f>
        <v>2231505.16666667</v>
      </c>
      <c r="K64" s="2" t="n">
        <f aca="false">K63+Grid!K64</f>
        <v>175000000</v>
      </c>
      <c r="L64" s="2" t="n">
        <f aca="false">L63+Grid!L64</f>
        <v>20000000</v>
      </c>
      <c r="M64" s="2" t="n">
        <f aca="false">M63+Grid!M64</f>
        <v>15000000</v>
      </c>
      <c r="N64" s="2" t="n">
        <f aca="false">N63+Grid!N64</f>
        <v>163926275</v>
      </c>
      <c r="O64" s="2" t="n">
        <f aca="false">O63+Grid!O64</f>
        <v>50000000</v>
      </c>
      <c r="P64" s="2" t="n">
        <f aca="false">P63+Grid!P64</f>
        <v>50000000</v>
      </c>
      <c r="Q64" s="2" t="n">
        <f aca="false">Q63+Grid!Q64</f>
        <v>40000000</v>
      </c>
      <c r="R64" s="2" t="n">
        <f aca="false">R63+Grid!R64</f>
        <v>50000000</v>
      </c>
      <c r="S64" s="2" t="n">
        <f aca="false">S63+Grid!S64</f>
        <v>10000000</v>
      </c>
      <c r="T64" s="2" t="n">
        <f aca="false">T63+Grid!T64</f>
        <v>5000000</v>
      </c>
      <c r="U64" s="2" t="n">
        <f aca="false">SUM(C64:T64)</f>
        <v>676842941.666667</v>
      </c>
      <c r="V64" s="4" t="n">
        <f aca="false">U64/Inputs!$B$4</f>
        <v>0.676842941666667</v>
      </c>
    </row>
    <row r="65" customFormat="false" ht="15" hidden="false" customHeight="false" outlineLevel="0" collapsed="false">
      <c r="A65" s="0" t="n">
        <v>60</v>
      </c>
      <c r="B65" s="3" t="n">
        <f aca="false">Grid!B65</f>
        <v>48249</v>
      </c>
      <c r="C65" s="2" t="n">
        <f aca="false">C64+Grid!C65</f>
        <v>10331395</v>
      </c>
      <c r="D65" s="2" t="n">
        <f aca="false">D64+Grid!D65</f>
        <v>27309255</v>
      </c>
      <c r="E65" s="2" t="n">
        <f aca="false">E64+Grid!E65</f>
        <v>16385554</v>
      </c>
      <c r="F65" s="2" t="n">
        <f aca="false">F64+Grid!F65</f>
        <v>10923703</v>
      </c>
      <c r="G65" s="2" t="n">
        <f aca="false">G64+Grid!G65</f>
        <v>10923703</v>
      </c>
      <c r="H65" s="2" t="n">
        <f aca="false">H64+Grid!H65</f>
        <v>10923703</v>
      </c>
      <c r="I65" s="2" t="n">
        <f aca="false">I64+Grid!I65</f>
        <v>10923703</v>
      </c>
      <c r="J65" s="2" t="n">
        <f aca="false">J64+Grid!J65</f>
        <v>2278984</v>
      </c>
      <c r="K65" s="2" t="n">
        <f aca="false">K64+Grid!K65</f>
        <v>175000000</v>
      </c>
      <c r="L65" s="2" t="n">
        <f aca="false">L64+Grid!L65</f>
        <v>20000000</v>
      </c>
      <c r="M65" s="2" t="n">
        <f aca="false">M64+Grid!M65</f>
        <v>15000000</v>
      </c>
      <c r="N65" s="2" t="n">
        <f aca="false">N64+Grid!N65</f>
        <v>166014300</v>
      </c>
      <c r="O65" s="2" t="n">
        <f aca="false">O64+Grid!O65</f>
        <v>50000000</v>
      </c>
      <c r="P65" s="2" t="n">
        <f aca="false">P64+Grid!P65</f>
        <v>50000000</v>
      </c>
      <c r="Q65" s="2" t="n">
        <f aca="false">Q64+Grid!Q65</f>
        <v>40000000</v>
      </c>
      <c r="R65" s="2" t="n">
        <f aca="false">R64+Grid!R65</f>
        <v>50000000</v>
      </c>
      <c r="S65" s="2" t="n">
        <f aca="false">S64+Grid!S65</f>
        <v>10000000</v>
      </c>
      <c r="T65" s="2" t="n">
        <f aca="false">T64+Grid!T65</f>
        <v>5000000</v>
      </c>
      <c r="U65" s="2" t="n">
        <f aca="false">SUM(C65:T65)</f>
        <v>681014300</v>
      </c>
      <c r="V65" s="4" t="n">
        <f aca="false">U65/Inputs!$B$4</f>
        <v>0.6810143</v>
      </c>
    </row>
    <row r="66" customFormat="false" ht="15" hidden="false" customHeight="false" outlineLevel="0" collapsed="false">
      <c r="A66" s="0" t="n">
        <v>61</v>
      </c>
      <c r="B66" s="3" t="n">
        <f aca="false">Grid!B66</f>
        <v>48278</v>
      </c>
      <c r="C66" s="2" t="n">
        <f aca="false">C65+Grid!C66</f>
        <v>10331395</v>
      </c>
      <c r="D66" s="2" t="n">
        <f aca="false">D65+Grid!D66</f>
        <v>27309255</v>
      </c>
      <c r="E66" s="2" t="n">
        <f aca="false">E65+Grid!E66</f>
        <v>16385554</v>
      </c>
      <c r="F66" s="2" t="n">
        <f aca="false">F65+Grid!F66</f>
        <v>10923703</v>
      </c>
      <c r="G66" s="2" t="n">
        <f aca="false">G65+Grid!G66</f>
        <v>10923703</v>
      </c>
      <c r="H66" s="2" t="n">
        <f aca="false">H65+Grid!H66</f>
        <v>10923703</v>
      </c>
      <c r="I66" s="2" t="n">
        <f aca="false">I65+Grid!I66</f>
        <v>10923703</v>
      </c>
      <c r="J66" s="2" t="n">
        <f aca="false">J65+Grid!J66</f>
        <v>2278984</v>
      </c>
      <c r="K66" s="2" t="n">
        <f aca="false">K65+Grid!K66</f>
        <v>175000000</v>
      </c>
      <c r="L66" s="2" t="n">
        <f aca="false">L65+Grid!L66</f>
        <v>20000000</v>
      </c>
      <c r="M66" s="2" t="n">
        <f aca="false">M65+Grid!M66</f>
        <v>15000000</v>
      </c>
      <c r="N66" s="2" t="n">
        <f aca="false">N65+Grid!N66</f>
        <v>167789121.25</v>
      </c>
      <c r="O66" s="2" t="n">
        <f aca="false">O65+Grid!O66</f>
        <v>50000000</v>
      </c>
      <c r="P66" s="2" t="n">
        <f aca="false">P65+Grid!P66</f>
        <v>50000000</v>
      </c>
      <c r="Q66" s="2" t="n">
        <f aca="false">Q65+Grid!Q66</f>
        <v>40000000</v>
      </c>
      <c r="R66" s="2" t="n">
        <f aca="false">R65+Grid!R66</f>
        <v>50000000</v>
      </c>
      <c r="S66" s="2" t="n">
        <f aca="false">S65+Grid!S66</f>
        <v>10000000</v>
      </c>
      <c r="T66" s="2" t="n">
        <f aca="false">T65+Grid!T66</f>
        <v>5000000</v>
      </c>
      <c r="U66" s="2" t="n">
        <f aca="false">SUM(C66:T66)</f>
        <v>682789121.25</v>
      </c>
      <c r="V66" s="4" t="n">
        <f aca="false">U66/Inputs!$B$4</f>
        <v>0.68278912125</v>
      </c>
    </row>
    <row r="67" customFormat="false" ht="15" hidden="false" customHeight="false" outlineLevel="0" collapsed="false">
      <c r="A67" s="0" t="n">
        <v>62</v>
      </c>
      <c r="B67" s="3" t="n">
        <f aca="false">Grid!B67</f>
        <v>48309</v>
      </c>
      <c r="C67" s="2" t="n">
        <f aca="false">C66+Grid!C67</f>
        <v>10331395</v>
      </c>
      <c r="D67" s="2" t="n">
        <f aca="false">D66+Grid!D67</f>
        <v>27309255</v>
      </c>
      <c r="E67" s="2" t="n">
        <f aca="false">E66+Grid!E67</f>
        <v>16385554</v>
      </c>
      <c r="F67" s="2" t="n">
        <f aca="false">F66+Grid!F67</f>
        <v>10923703</v>
      </c>
      <c r="G67" s="2" t="n">
        <f aca="false">G66+Grid!G67</f>
        <v>10923703</v>
      </c>
      <c r="H67" s="2" t="n">
        <f aca="false">H66+Grid!H67</f>
        <v>10923703</v>
      </c>
      <c r="I67" s="2" t="n">
        <f aca="false">I66+Grid!I67</f>
        <v>10923703</v>
      </c>
      <c r="J67" s="2" t="n">
        <f aca="false">J66+Grid!J67</f>
        <v>2278984</v>
      </c>
      <c r="K67" s="2" t="n">
        <f aca="false">K66+Grid!K67</f>
        <v>175000000</v>
      </c>
      <c r="L67" s="2" t="n">
        <f aca="false">L66+Grid!L67</f>
        <v>20000000</v>
      </c>
      <c r="M67" s="2" t="n">
        <f aca="false">M66+Grid!M67</f>
        <v>15000000</v>
      </c>
      <c r="N67" s="2" t="n">
        <f aca="false">N66+Grid!N67</f>
        <v>169563942.5</v>
      </c>
      <c r="O67" s="2" t="n">
        <f aca="false">O66+Grid!O67</f>
        <v>50000000</v>
      </c>
      <c r="P67" s="2" t="n">
        <f aca="false">P66+Grid!P67</f>
        <v>50000000</v>
      </c>
      <c r="Q67" s="2" t="n">
        <f aca="false">Q66+Grid!Q67</f>
        <v>40000000</v>
      </c>
      <c r="R67" s="2" t="n">
        <f aca="false">R66+Grid!R67</f>
        <v>50000000</v>
      </c>
      <c r="S67" s="2" t="n">
        <f aca="false">S66+Grid!S67</f>
        <v>10000000</v>
      </c>
      <c r="T67" s="2" t="n">
        <f aca="false">T66+Grid!T67</f>
        <v>5000000</v>
      </c>
      <c r="U67" s="2" t="n">
        <f aca="false">SUM(C67:T67)</f>
        <v>684563942.5</v>
      </c>
      <c r="V67" s="4" t="n">
        <f aca="false">U67/Inputs!$B$4</f>
        <v>0.6845639425</v>
      </c>
    </row>
    <row r="68" customFormat="false" ht="15" hidden="false" customHeight="false" outlineLevel="0" collapsed="false">
      <c r="A68" s="0" t="n">
        <v>63</v>
      </c>
      <c r="B68" s="3" t="n">
        <f aca="false">Grid!B68</f>
        <v>48339</v>
      </c>
      <c r="C68" s="2" t="n">
        <f aca="false">C67+Grid!C68</f>
        <v>10331395</v>
      </c>
      <c r="D68" s="2" t="n">
        <f aca="false">D67+Grid!D68</f>
        <v>27309255</v>
      </c>
      <c r="E68" s="2" t="n">
        <f aca="false">E67+Grid!E68</f>
        <v>16385554</v>
      </c>
      <c r="F68" s="2" t="n">
        <f aca="false">F67+Grid!F68</f>
        <v>10923703</v>
      </c>
      <c r="G68" s="2" t="n">
        <f aca="false">G67+Grid!G68</f>
        <v>10923703</v>
      </c>
      <c r="H68" s="2" t="n">
        <f aca="false">H67+Grid!H68</f>
        <v>10923703</v>
      </c>
      <c r="I68" s="2" t="n">
        <f aca="false">I67+Grid!I68</f>
        <v>10923703</v>
      </c>
      <c r="J68" s="2" t="n">
        <f aca="false">J67+Grid!J68</f>
        <v>2278984</v>
      </c>
      <c r="K68" s="2" t="n">
        <f aca="false">K67+Grid!K68</f>
        <v>175000000</v>
      </c>
      <c r="L68" s="2" t="n">
        <f aca="false">L67+Grid!L68</f>
        <v>20000000</v>
      </c>
      <c r="M68" s="2" t="n">
        <f aca="false">M67+Grid!M68</f>
        <v>15000000</v>
      </c>
      <c r="N68" s="2" t="n">
        <f aca="false">N67+Grid!N68</f>
        <v>171338763.75</v>
      </c>
      <c r="O68" s="2" t="n">
        <f aca="false">O67+Grid!O68</f>
        <v>50000000</v>
      </c>
      <c r="P68" s="2" t="n">
        <f aca="false">P67+Grid!P68</f>
        <v>50000000</v>
      </c>
      <c r="Q68" s="2" t="n">
        <f aca="false">Q67+Grid!Q68</f>
        <v>40000000</v>
      </c>
      <c r="R68" s="2" t="n">
        <f aca="false">R67+Grid!R68</f>
        <v>50000000</v>
      </c>
      <c r="S68" s="2" t="n">
        <f aca="false">S67+Grid!S68</f>
        <v>10000000</v>
      </c>
      <c r="T68" s="2" t="n">
        <f aca="false">T67+Grid!T68</f>
        <v>5000000</v>
      </c>
      <c r="U68" s="2" t="n">
        <f aca="false">SUM(C68:T68)</f>
        <v>686338763.75</v>
      </c>
      <c r="V68" s="4" t="n">
        <f aca="false">U68/Inputs!$B$4</f>
        <v>0.68633876375</v>
      </c>
    </row>
    <row r="69" customFormat="false" ht="15" hidden="false" customHeight="false" outlineLevel="0" collapsed="false">
      <c r="A69" s="0" t="n">
        <v>64</v>
      </c>
      <c r="B69" s="3" t="n">
        <f aca="false">Grid!B69</f>
        <v>48370</v>
      </c>
      <c r="C69" s="2" t="n">
        <f aca="false">C68+Grid!C69</f>
        <v>10331395</v>
      </c>
      <c r="D69" s="2" t="n">
        <f aca="false">D68+Grid!D69</f>
        <v>27309255</v>
      </c>
      <c r="E69" s="2" t="n">
        <f aca="false">E68+Grid!E69</f>
        <v>16385554</v>
      </c>
      <c r="F69" s="2" t="n">
        <f aca="false">F68+Grid!F69</f>
        <v>10923703</v>
      </c>
      <c r="G69" s="2" t="n">
        <f aca="false">G68+Grid!G69</f>
        <v>10923703</v>
      </c>
      <c r="H69" s="2" t="n">
        <f aca="false">H68+Grid!H69</f>
        <v>10923703</v>
      </c>
      <c r="I69" s="2" t="n">
        <f aca="false">I68+Grid!I69</f>
        <v>10923703</v>
      </c>
      <c r="J69" s="2" t="n">
        <f aca="false">J68+Grid!J69</f>
        <v>2278984</v>
      </c>
      <c r="K69" s="2" t="n">
        <f aca="false">K68+Grid!K69</f>
        <v>175000000</v>
      </c>
      <c r="L69" s="2" t="n">
        <f aca="false">L68+Grid!L69</f>
        <v>20000000</v>
      </c>
      <c r="M69" s="2" t="n">
        <f aca="false">M68+Grid!M69</f>
        <v>15000000</v>
      </c>
      <c r="N69" s="2" t="n">
        <f aca="false">N68+Grid!N69</f>
        <v>173113585</v>
      </c>
      <c r="O69" s="2" t="n">
        <f aca="false">O68+Grid!O69</f>
        <v>50000000</v>
      </c>
      <c r="P69" s="2" t="n">
        <f aca="false">P68+Grid!P69</f>
        <v>50000000</v>
      </c>
      <c r="Q69" s="2" t="n">
        <f aca="false">Q68+Grid!Q69</f>
        <v>40000000</v>
      </c>
      <c r="R69" s="2" t="n">
        <f aca="false">R68+Grid!R69</f>
        <v>50000000</v>
      </c>
      <c r="S69" s="2" t="n">
        <f aca="false">S68+Grid!S69</f>
        <v>10000000</v>
      </c>
      <c r="T69" s="2" t="n">
        <f aca="false">T68+Grid!T69</f>
        <v>5000000</v>
      </c>
      <c r="U69" s="2" t="n">
        <f aca="false">SUM(C69:T69)</f>
        <v>688113585</v>
      </c>
      <c r="V69" s="4" t="n">
        <f aca="false">U69/Inputs!$B$4</f>
        <v>0.688113585</v>
      </c>
    </row>
    <row r="70" customFormat="false" ht="15" hidden="false" customHeight="false" outlineLevel="0" collapsed="false">
      <c r="A70" s="0" t="n">
        <v>65</v>
      </c>
      <c r="B70" s="3" t="n">
        <f aca="false">Grid!B70</f>
        <v>48400</v>
      </c>
      <c r="C70" s="2" t="n">
        <f aca="false">C69+Grid!C70</f>
        <v>10331395</v>
      </c>
      <c r="D70" s="2" t="n">
        <f aca="false">D69+Grid!D70</f>
        <v>27309255</v>
      </c>
      <c r="E70" s="2" t="n">
        <f aca="false">E69+Grid!E70</f>
        <v>16385554</v>
      </c>
      <c r="F70" s="2" t="n">
        <f aca="false">F69+Grid!F70</f>
        <v>10923703</v>
      </c>
      <c r="G70" s="2" t="n">
        <f aca="false">G69+Grid!G70</f>
        <v>10923703</v>
      </c>
      <c r="H70" s="2" t="n">
        <f aca="false">H69+Grid!H70</f>
        <v>10923703</v>
      </c>
      <c r="I70" s="2" t="n">
        <f aca="false">I69+Grid!I70</f>
        <v>10923703</v>
      </c>
      <c r="J70" s="2" t="n">
        <f aca="false">J69+Grid!J70</f>
        <v>2278984</v>
      </c>
      <c r="K70" s="2" t="n">
        <f aca="false">K69+Grid!K70</f>
        <v>175000000</v>
      </c>
      <c r="L70" s="2" t="n">
        <f aca="false">L69+Grid!L70</f>
        <v>20000000</v>
      </c>
      <c r="M70" s="2" t="n">
        <f aca="false">M69+Grid!M70</f>
        <v>15000000</v>
      </c>
      <c r="N70" s="2" t="n">
        <f aca="false">N69+Grid!N70</f>
        <v>174888406.25</v>
      </c>
      <c r="O70" s="2" t="n">
        <f aca="false">O69+Grid!O70</f>
        <v>50000000</v>
      </c>
      <c r="P70" s="2" t="n">
        <f aca="false">P69+Grid!P70</f>
        <v>50000000</v>
      </c>
      <c r="Q70" s="2" t="n">
        <f aca="false">Q69+Grid!Q70</f>
        <v>40000000</v>
      </c>
      <c r="R70" s="2" t="n">
        <f aca="false">R69+Grid!R70</f>
        <v>50000000</v>
      </c>
      <c r="S70" s="2" t="n">
        <f aca="false">S69+Grid!S70</f>
        <v>10000000</v>
      </c>
      <c r="T70" s="2" t="n">
        <f aca="false">T69+Grid!T70</f>
        <v>5000000</v>
      </c>
      <c r="U70" s="2" t="n">
        <f aca="false">SUM(C70:T70)</f>
        <v>689888406.25</v>
      </c>
      <c r="V70" s="4" t="n">
        <f aca="false">U70/Inputs!$B$4</f>
        <v>0.68988840625</v>
      </c>
    </row>
    <row r="71" customFormat="false" ht="15" hidden="false" customHeight="false" outlineLevel="0" collapsed="false">
      <c r="A71" s="0" t="n">
        <v>66</v>
      </c>
      <c r="B71" s="3" t="n">
        <f aca="false">Grid!B71</f>
        <v>48431</v>
      </c>
      <c r="C71" s="2" t="n">
        <f aca="false">C70+Grid!C71</f>
        <v>10331395</v>
      </c>
      <c r="D71" s="2" t="n">
        <f aca="false">D70+Grid!D71</f>
        <v>27309255</v>
      </c>
      <c r="E71" s="2" t="n">
        <f aca="false">E70+Grid!E71</f>
        <v>16385554</v>
      </c>
      <c r="F71" s="2" t="n">
        <f aca="false">F70+Grid!F71</f>
        <v>10923703</v>
      </c>
      <c r="G71" s="2" t="n">
        <f aca="false">G70+Grid!G71</f>
        <v>10923703</v>
      </c>
      <c r="H71" s="2" t="n">
        <f aca="false">H70+Grid!H71</f>
        <v>10923703</v>
      </c>
      <c r="I71" s="2" t="n">
        <f aca="false">I70+Grid!I71</f>
        <v>10923703</v>
      </c>
      <c r="J71" s="2" t="n">
        <f aca="false">J70+Grid!J71</f>
        <v>2278984</v>
      </c>
      <c r="K71" s="2" t="n">
        <f aca="false">K70+Grid!K71</f>
        <v>175000000</v>
      </c>
      <c r="L71" s="2" t="n">
        <f aca="false">L70+Grid!L71</f>
        <v>20000000</v>
      </c>
      <c r="M71" s="2" t="n">
        <f aca="false">M70+Grid!M71</f>
        <v>15000000</v>
      </c>
      <c r="N71" s="2" t="n">
        <f aca="false">N70+Grid!N71</f>
        <v>176663227.5</v>
      </c>
      <c r="O71" s="2" t="n">
        <f aca="false">O70+Grid!O71</f>
        <v>50000000</v>
      </c>
      <c r="P71" s="2" t="n">
        <f aca="false">P70+Grid!P71</f>
        <v>50000000</v>
      </c>
      <c r="Q71" s="2" t="n">
        <f aca="false">Q70+Grid!Q71</f>
        <v>40000000</v>
      </c>
      <c r="R71" s="2" t="n">
        <f aca="false">R70+Grid!R71</f>
        <v>50000000</v>
      </c>
      <c r="S71" s="2" t="n">
        <f aca="false">S70+Grid!S71</f>
        <v>10000000</v>
      </c>
      <c r="T71" s="2" t="n">
        <f aca="false">T70+Grid!T71</f>
        <v>5000000</v>
      </c>
      <c r="U71" s="2" t="n">
        <f aca="false">SUM(C71:T71)</f>
        <v>691663227.5</v>
      </c>
      <c r="V71" s="4" t="n">
        <f aca="false">U71/Inputs!$B$4</f>
        <v>0.6916632275</v>
      </c>
    </row>
    <row r="72" customFormat="false" ht="15" hidden="false" customHeight="false" outlineLevel="0" collapsed="false">
      <c r="A72" s="0" t="n">
        <v>67</v>
      </c>
      <c r="B72" s="3" t="n">
        <f aca="false">Grid!B72</f>
        <v>48462</v>
      </c>
      <c r="C72" s="2" t="n">
        <f aca="false">C71+Grid!C72</f>
        <v>10331395</v>
      </c>
      <c r="D72" s="2" t="n">
        <f aca="false">D71+Grid!D72</f>
        <v>27309255</v>
      </c>
      <c r="E72" s="2" t="n">
        <f aca="false">E71+Grid!E72</f>
        <v>16385554</v>
      </c>
      <c r="F72" s="2" t="n">
        <f aca="false">F71+Grid!F72</f>
        <v>10923703</v>
      </c>
      <c r="G72" s="2" t="n">
        <f aca="false">G71+Grid!G72</f>
        <v>10923703</v>
      </c>
      <c r="H72" s="2" t="n">
        <f aca="false">H71+Grid!H72</f>
        <v>10923703</v>
      </c>
      <c r="I72" s="2" t="n">
        <f aca="false">I71+Grid!I72</f>
        <v>10923703</v>
      </c>
      <c r="J72" s="2" t="n">
        <f aca="false">J71+Grid!J72</f>
        <v>2278984</v>
      </c>
      <c r="K72" s="2" t="n">
        <f aca="false">K71+Grid!K72</f>
        <v>175000000</v>
      </c>
      <c r="L72" s="2" t="n">
        <f aca="false">L71+Grid!L72</f>
        <v>20000000</v>
      </c>
      <c r="M72" s="2" t="n">
        <f aca="false">M71+Grid!M72</f>
        <v>15000000</v>
      </c>
      <c r="N72" s="2" t="n">
        <f aca="false">N71+Grid!N72</f>
        <v>178438048.75</v>
      </c>
      <c r="O72" s="2" t="n">
        <f aca="false">O71+Grid!O72</f>
        <v>50000000</v>
      </c>
      <c r="P72" s="2" t="n">
        <f aca="false">P71+Grid!P72</f>
        <v>50000000</v>
      </c>
      <c r="Q72" s="2" t="n">
        <f aca="false">Q71+Grid!Q72</f>
        <v>40000000</v>
      </c>
      <c r="R72" s="2" t="n">
        <f aca="false">R71+Grid!R72</f>
        <v>50000000</v>
      </c>
      <c r="S72" s="2" t="n">
        <f aca="false">S71+Grid!S72</f>
        <v>10000000</v>
      </c>
      <c r="T72" s="2" t="n">
        <f aca="false">T71+Grid!T72</f>
        <v>5000000</v>
      </c>
      <c r="U72" s="2" t="n">
        <f aca="false">SUM(C72:T72)</f>
        <v>693438048.75</v>
      </c>
      <c r="V72" s="4" t="n">
        <f aca="false">U72/Inputs!$B$4</f>
        <v>0.69343804875</v>
      </c>
    </row>
    <row r="73" customFormat="false" ht="15" hidden="false" customHeight="false" outlineLevel="0" collapsed="false">
      <c r="A73" s="0" t="n">
        <v>68</v>
      </c>
      <c r="B73" s="3" t="n">
        <f aca="false">Grid!B73</f>
        <v>48492</v>
      </c>
      <c r="C73" s="2" t="n">
        <f aca="false">C72+Grid!C73</f>
        <v>10331395</v>
      </c>
      <c r="D73" s="2" t="n">
        <f aca="false">D72+Grid!D73</f>
        <v>27309255</v>
      </c>
      <c r="E73" s="2" t="n">
        <f aca="false">E72+Grid!E73</f>
        <v>16385554</v>
      </c>
      <c r="F73" s="2" t="n">
        <f aca="false">F72+Grid!F73</f>
        <v>10923703</v>
      </c>
      <c r="G73" s="2" t="n">
        <f aca="false">G72+Grid!G73</f>
        <v>10923703</v>
      </c>
      <c r="H73" s="2" t="n">
        <f aca="false">H72+Grid!H73</f>
        <v>10923703</v>
      </c>
      <c r="I73" s="2" t="n">
        <f aca="false">I72+Grid!I73</f>
        <v>10923703</v>
      </c>
      <c r="J73" s="2" t="n">
        <f aca="false">J72+Grid!J73</f>
        <v>2278984</v>
      </c>
      <c r="K73" s="2" t="n">
        <f aca="false">K72+Grid!K73</f>
        <v>175000000</v>
      </c>
      <c r="L73" s="2" t="n">
        <f aca="false">L72+Grid!L73</f>
        <v>20000000</v>
      </c>
      <c r="M73" s="2" t="n">
        <f aca="false">M72+Grid!M73</f>
        <v>15000000</v>
      </c>
      <c r="N73" s="2" t="n">
        <f aca="false">N72+Grid!N73</f>
        <v>180212870</v>
      </c>
      <c r="O73" s="2" t="n">
        <f aca="false">O72+Grid!O73</f>
        <v>50000000</v>
      </c>
      <c r="P73" s="2" t="n">
        <f aca="false">P72+Grid!P73</f>
        <v>50000000</v>
      </c>
      <c r="Q73" s="2" t="n">
        <f aca="false">Q72+Grid!Q73</f>
        <v>40000000</v>
      </c>
      <c r="R73" s="2" t="n">
        <f aca="false">R72+Grid!R73</f>
        <v>50000000</v>
      </c>
      <c r="S73" s="2" t="n">
        <f aca="false">S72+Grid!S73</f>
        <v>10000000</v>
      </c>
      <c r="T73" s="2" t="n">
        <f aca="false">T72+Grid!T73</f>
        <v>5000000</v>
      </c>
      <c r="U73" s="2" t="n">
        <f aca="false">SUM(C73:T73)</f>
        <v>695212870</v>
      </c>
      <c r="V73" s="4" t="n">
        <f aca="false">U73/Inputs!$B$4</f>
        <v>0.69521287</v>
      </c>
    </row>
    <row r="74" customFormat="false" ht="15" hidden="false" customHeight="false" outlineLevel="0" collapsed="false">
      <c r="A74" s="0" t="n">
        <v>69</v>
      </c>
      <c r="B74" s="3" t="n">
        <f aca="false">Grid!B74</f>
        <v>48523</v>
      </c>
      <c r="C74" s="2" t="n">
        <f aca="false">C73+Grid!C74</f>
        <v>10331395</v>
      </c>
      <c r="D74" s="2" t="n">
        <f aca="false">D73+Grid!D74</f>
        <v>27309255</v>
      </c>
      <c r="E74" s="2" t="n">
        <f aca="false">E73+Grid!E74</f>
        <v>16385554</v>
      </c>
      <c r="F74" s="2" t="n">
        <f aca="false">F73+Grid!F74</f>
        <v>10923703</v>
      </c>
      <c r="G74" s="2" t="n">
        <f aca="false">G73+Grid!G74</f>
        <v>10923703</v>
      </c>
      <c r="H74" s="2" t="n">
        <f aca="false">H73+Grid!H74</f>
        <v>10923703</v>
      </c>
      <c r="I74" s="2" t="n">
        <f aca="false">I73+Grid!I74</f>
        <v>10923703</v>
      </c>
      <c r="J74" s="2" t="n">
        <f aca="false">J73+Grid!J74</f>
        <v>2278984</v>
      </c>
      <c r="K74" s="2" t="n">
        <f aca="false">K73+Grid!K74</f>
        <v>175000000</v>
      </c>
      <c r="L74" s="2" t="n">
        <f aca="false">L73+Grid!L74</f>
        <v>20000000</v>
      </c>
      <c r="M74" s="2" t="n">
        <f aca="false">M73+Grid!M74</f>
        <v>15000000</v>
      </c>
      <c r="N74" s="2" t="n">
        <f aca="false">N73+Grid!N74</f>
        <v>181987691.25</v>
      </c>
      <c r="O74" s="2" t="n">
        <f aca="false">O73+Grid!O74</f>
        <v>50000000</v>
      </c>
      <c r="P74" s="2" t="n">
        <f aca="false">P73+Grid!P74</f>
        <v>50000000</v>
      </c>
      <c r="Q74" s="2" t="n">
        <f aca="false">Q73+Grid!Q74</f>
        <v>40000000</v>
      </c>
      <c r="R74" s="2" t="n">
        <f aca="false">R73+Grid!R74</f>
        <v>50000000</v>
      </c>
      <c r="S74" s="2" t="n">
        <f aca="false">S73+Grid!S74</f>
        <v>10000000</v>
      </c>
      <c r="T74" s="2" t="n">
        <f aca="false">T73+Grid!T74</f>
        <v>5000000</v>
      </c>
      <c r="U74" s="2" t="n">
        <f aca="false">SUM(C74:T74)</f>
        <v>696987691.25</v>
      </c>
      <c r="V74" s="4" t="n">
        <f aca="false">U74/Inputs!$B$4</f>
        <v>0.69698769125</v>
      </c>
    </row>
    <row r="75" customFormat="false" ht="15" hidden="false" customHeight="false" outlineLevel="0" collapsed="false">
      <c r="A75" s="0" t="n">
        <v>70</v>
      </c>
      <c r="B75" s="3" t="n">
        <f aca="false">Grid!B75</f>
        <v>48553</v>
      </c>
      <c r="C75" s="2" t="n">
        <f aca="false">C74+Grid!C75</f>
        <v>10331395</v>
      </c>
      <c r="D75" s="2" t="n">
        <f aca="false">D74+Grid!D75</f>
        <v>27309255</v>
      </c>
      <c r="E75" s="2" t="n">
        <f aca="false">E74+Grid!E75</f>
        <v>16385554</v>
      </c>
      <c r="F75" s="2" t="n">
        <f aca="false">F74+Grid!F75</f>
        <v>10923703</v>
      </c>
      <c r="G75" s="2" t="n">
        <f aca="false">G74+Grid!G75</f>
        <v>10923703</v>
      </c>
      <c r="H75" s="2" t="n">
        <f aca="false">H74+Grid!H75</f>
        <v>10923703</v>
      </c>
      <c r="I75" s="2" t="n">
        <f aca="false">I74+Grid!I75</f>
        <v>10923703</v>
      </c>
      <c r="J75" s="2" t="n">
        <f aca="false">J74+Grid!J75</f>
        <v>2278984</v>
      </c>
      <c r="K75" s="2" t="n">
        <f aca="false">K74+Grid!K75</f>
        <v>175000000</v>
      </c>
      <c r="L75" s="2" t="n">
        <f aca="false">L74+Grid!L75</f>
        <v>20000000</v>
      </c>
      <c r="M75" s="2" t="n">
        <f aca="false">M74+Grid!M75</f>
        <v>15000000</v>
      </c>
      <c r="N75" s="2" t="n">
        <f aca="false">N74+Grid!N75</f>
        <v>183762512.5</v>
      </c>
      <c r="O75" s="2" t="n">
        <f aca="false">O74+Grid!O75</f>
        <v>50000000</v>
      </c>
      <c r="P75" s="2" t="n">
        <f aca="false">P74+Grid!P75</f>
        <v>50000000</v>
      </c>
      <c r="Q75" s="2" t="n">
        <f aca="false">Q74+Grid!Q75</f>
        <v>40000000</v>
      </c>
      <c r="R75" s="2" t="n">
        <f aca="false">R74+Grid!R75</f>
        <v>50000000</v>
      </c>
      <c r="S75" s="2" t="n">
        <f aca="false">S74+Grid!S75</f>
        <v>10000000</v>
      </c>
      <c r="T75" s="2" t="n">
        <f aca="false">T74+Grid!T75</f>
        <v>5000000</v>
      </c>
      <c r="U75" s="2" t="n">
        <f aca="false">SUM(C75:T75)</f>
        <v>698762512.5</v>
      </c>
      <c r="V75" s="4" t="n">
        <f aca="false">U75/Inputs!$B$4</f>
        <v>0.6987625125</v>
      </c>
    </row>
    <row r="76" customFormat="false" ht="15" hidden="false" customHeight="false" outlineLevel="0" collapsed="false">
      <c r="A76" s="0" t="n">
        <v>71</v>
      </c>
      <c r="B76" s="3" t="n">
        <f aca="false">Grid!B76</f>
        <v>48584</v>
      </c>
      <c r="C76" s="2" t="n">
        <f aca="false">C75+Grid!C76</f>
        <v>10331395</v>
      </c>
      <c r="D76" s="2" t="n">
        <f aca="false">D75+Grid!D76</f>
        <v>27309255</v>
      </c>
      <c r="E76" s="2" t="n">
        <f aca="false">E75+Grid!E76</f>
        <v>16385554</v>
      </c>
      <c r="F76" s="2" t="n">
        <f aca="false">F75+Grid!F76</f>
        <v>10923703</v>
      </c>
      <c r="G76" s="2" t="n">
        <f aca="false">G75+Grid!G76</f>
        <v>10923703</v>
      </c>
      <c r="H76" s="2" t="n">
        <f aca="false">H75+Grid!H76</f>
        <v>10923703</v>
      </c>
      <c r="I76" s="2" t="n">
        <f aca="false">I75+Grid!I76</f>
        <v>10923703</v>
      </c>
      <c r="J76" s="2" t="n">
        <f aca="false">J75+Grid!J76</f>
        <v>2278984</v>
      </c>
      <c r="K76" s="2" t="n">
        <f aca="false">K75+Grid!K76</f>
        <v>175000000</v>
      </c>
      <c r="L76" s="2" t="n">
        <f aca="false">L75+Grid!L76</f>
        <v>20000000</v>
      </c>
      <c r="M76" s="2" t="n">
        <f aca="false">M75+Grid!M76</f>
        <v>15000000</v>
      </c>
      <c r="N76" s="2" t="n">
        <f aca="false">N75+Grid!N76</f>
        <v>185537333.75</v>
      </c>
      <c r="O76" s="2" t="n">
        <f aca="false">O75+Grid!O76</f>
        <v>50000000</v>
      </c>
      <c r="P76" s="2" t="n">
        <f aca="false">P75+Grid!P76</f>
        <v>50000000</v>
      </c>
      <c r="Q76" s="2" t="n">
        <f aca="false">Q75+Grid!Q76</f>
        <v>40000000</v>
      </c>
      <c r="R76" s="2" t="n">
        <f aca="false">R75+Grid!R76</f>
        <v>50000000</v>
      </c>
      <c r="S76" s="2" t="n">
        <f aca="false">S75+Grid!S76</f>
        <v>10000000</v>
      </c>
      <c r="T76" s="2" t="n">
        <f aca="false">T75+Grid!T76</f>
        <v>5000000</v>
      </c>
      <c r="U76" s="2" t="n">
        <f aca="false">SUM(C76:T76)</f>
        <v>700537333.75</v>
      </c>
      <c r="V76" s="4" t="n">
        <f aca="false">U76/Inputs!$B$4</f>
        <v>0.70053733375</v>
      </c>
    </row>
    <row r="77" customFormat="false" ht="15" hidden="false" customHeight="false" outlineLevel="0" collapsed="false">
      <c r="A77" s="0" t="n">
        <v>72</v>
      </c>
      <c r="B77" s="3" t="n">
        <f aca="false">Grid!B77</f>
        <v>48615</v>
      </c>
      <c r="C77" s="2" t="n">
        <f aca="false">C76+Grid!C77</f>
        <v>10331395</v>
      </c>
      <c r="D77" s="2" t="n">
        <f aca="false">D76+Grid!D77</f>
        <v>27309255</v>
      </c>
      <c r="E77" s="2" t="n">
        <f aca="false">E76+Grid!E77</f>
        <v>16385554</v>
      </c>
      <c r="F77" s="2" t="n">
        <f aca="false">F76+Grid!F77</f>
        <v>10923703</v>
      </c>
      <c r="G77" s="2" t="n">
        <f aca="false">G76+Grid!G77</f>
        <v>10923703</v>
      </c>
      <c r="H77" s="2" t="n">
        <f aca="false">H76+Grid!H77</f>
        <v>10923703</v>
      </c>
      <c r="I77" s="2" t="n">
        <f aca="false">I76+Grid!I77</f>
        <v>10923703</v>
      </c>
      <c r="J77" s="2" t="n">
        <f aca="false">J76+Grid!J77</f>
        <v>2278984</v>
      </c>
      <c r="K77" s="2" t="n">
        <f aca="false">K76+Grid!K77</f>
        <v>175000000</v>
      </c>
      <c r="L77" s="2" t="n">
        <f aca="false">L76+Grid!L77</f>
        <v>20000000</v>
      </c>
      <c r="M77" s="2" t="n">
        <f aca="false">M76+Grid!M77</f>
        <v>15000000</v>
      </c>
      <c r="N77" s="2" t="n">
        <f aca="false">N76+Grid!N77</f>
        <v>187312155</v>
      </c>
      <c r="O77" s="2" t="n">
        <f aca="false">O76+Grid!O77</f>
        <v>50000000</v>
      </c>
      <c r="P77" s="2" t="n">
        <f aca="false">P76+Grid!P77</f>
        <v>50000000</v>
      </c>
      <c r="Q77" s="2" t="n">
        <f aca="false">Q76+Grid!Q77</f>
        <v>40000000</v>
      </c>
      <c r="R77" s="2" t="n">
        <f aca="false">R76+Grid!R77</f>
        <v>50000000</v>
      </c>
      <c r="S77" s="2" t="n">
        <f aca="false">S76+Grid!S77</f>
        <v>10000000</v>
      </c>
      <c r="T77" s="2" t="n">
        <f aca="false">T76+Grid!T77</f>
        <v>5000000</v>
      </c>
      <c r="U77" s="2" t="n">
        <f aca="false">SUM(C77:T77)</f>
        <v>702312155</v>
      </c>
      <c r="V77" s="4" t="n">
        <f aca="false">U77/Inputs!$B$4</f>
        <v>0.702312155</v>
      </c>
    </row>
    <row r="78" customFormat="false" ht="15" hidden="false" customHeight="false" outlineLevel="0" collapsed="false">
      <c r="A78" s="0" t="n">
        <v>73</v>
      </c>
      <c r="B78" s="3" t="n">
        <f aca="false">Grid!B78</f>
        <v>48643</v>
      </c>
      <c r="C78" s="2" t="n">
        <f aca="false">C77+Grid!C78</f>
        <v>10331395</v>
      </c>
      <c r="D78" s="2" t="n">
        <f aca="false">D77+Grid!D78</f>
        <v>27309255</v>
      </c>
      <c r="E78" s="2" t="n">
        <f aca="false">E77+Grid!E78</f>
        <v>16385554</v>
      </c>
      <c r="F78" s="2" t="n">
        <f aca="false">F77+Grid!F78</f>
        <v>10923703</v>
      </c>
      <c r="G78" s="2" t="n">
        <f aca="false">G77+Grid!G78</f>
        <v>10923703</v>
      </c>
      <c r="H78" s="2" t="n">
        <f aca="false">H77+Grid!H78</f>
        <v>10923703</v>
      </c>
      <c r="I78" s="2" t="n">
        <f aca="false">I77+Grid!I78</f>
        <v>10923703</v>
      </c>
      <c r="J78" s="2" t="n">
        <f aca="false">J77+Grid!J78</f>
        <v>2278984</v>
      </c>
      <c r="K78" s="2" t="n">
        <f aca="false">K77+Grid!K78</f>
        <v>175000000</v>
      </c>
      <c r="L78" s="2" t="n">
        <f aca="false">L77+Grid!L78</f>
        <v>20000000</v>
      </c>
      <c r="M78" s="2" t="n">
        <f aca="false">M77+Grid!M78</f>
        <v>15000000</v>
      </c>
      <c r="N78" s="2" t="n">
        <f aca="false">N77+Grid!N78</f>
        <v>188820753.0625</v>
      </c>
      <c r="O78" s="2" t="n">
        <f aca="false">O77+Grid!O78</f>
        <v>50000000</v>
      </c>
      <c r="P78" s="2" t="n">
        <f aca="false">P77+Grid!P78</f>
        <v>50000000</v>
      </c>
      <c r="Q78" s="2" t="n">
        <f aca="false">Q77+Grid!Q78</f>
        <v>40000000</v>
      </c>
      <c r="R78" s="2" t="n">
        <f aca="false">R77+Grid!R78</f>
        <v>50000000</v>
      </c>
      <c r="S78" s="2" t="n">
        <f aca="false">S77+Grid!S78</f>
        <v>10000000</v>
      </c>
      <c r="T78" s="2" t="n">
        <f aca="false">T77+Grid!T78</f>
        <v>5000000</v>
      </c>
      <c r="U78" s="2" t="n">
        <f aca="false">SUM(C78:T78)</f>
        <v>703820753.0625</v>
      </c>
      <c r="V78" s="4" t="n">
        <f aca="false">U78/Inputs!$B$4</f>
        <v>0.7038207530625</v>
      </c>
    </row>
    <row r="79" customFormat="false" ht="15" hidden="false" customHeight="false" outlineLevel="0" collapsed="false">
      <c r="A79" s="0" t="n">
        <v>74</v>
      </c>
      <c r="B79" s="3" t="n">
        <f aca="false">Grid!B79</f>
        <v>48674</v>
      </c>
      <c r="C79" s="2" t="n">
        <f aca="false">C78+Grid!C79</f>
        <v>10331395</v>
      </c>
      <c r="D79" s="2" t="n">
        <f aca="false">D78+Grid!D79</f>
        <v>27309255</v>
      </c>
      <c r="E79" s="2" t="n">
        <f aca="false">E78+Grid!E79</f>
        <v>16385554</v>
      </c>
      <c r="F79" s="2" t="n">
        <f aca="false">F78+Grid!F79</f>
        <v>10923703</v>
      </c>
      <c r="G79" s="2" t="n">
        <f aca="false">G78+Grid!G79</f>
        <v>10923703</v>
      </c>
      <c r="H79" s="2" t="n">
        <f aca="false">H78+Grid!H79</f>
        <v>10923703</v>
      </c>
      <c r="I79" s="2" t="n">
        <f aca="false">I78+Grid!I79</f>
        <v>10923703</v>
      </c>
      <c r="J79" s="2" t="n">
        <f aca="false">J78+Grid!J79</f>
        <v>2278984</v>
      </c>
      <c r="K79" s="2" t="n">
        <f aca="false">K78+Grid!K79</f>
        <v>175000000</v>
      </c>
      <c r="L79" s="2" t="n">
        <f aca="false">L78+Grid!L79</f>
        <v>20000000</v>
      </c>
      <c r="M79" s="2" t="n">
        <f aca="false">M78+Grid!M79</f>
        <v>15000000</v>
      </c>
      <c r="N79" s="2" t="n">
        <f aca="false">N78+Grid!N79</f>
        <v>190329351.125</v>
      </c>
      <c r="O79" s="2" t="n">
        <f aca="false">O78+Grid!O79</f>
        <v>50000000</v>
      </c>
      <c r="P79" s="2" t="n">
        <f aca="false">P78+Grid!P79</f>
        <v>50000000</v>
      </c>
      <c r="Q79" s="2" t="n">
        <f aca="false">Q78+Grid!Q79</f>
        <v>40000000</v>
      </c>
      <c r="R79" s="2" t="n">
        <f aca="false">R78+Grid!R79</f>
        <v>50000000</v>
      </c>
      <c r="S79" s="2" t="n">
        <f aca="false">S78+Grid!S79</f>
        <v>10000000</v>
      </c>
      <c r="T79" s="2" t="n">
        <f aca="false">T78+Grid!T79</f>
        <v>5000000</v>
      </c>
      <c r="U79" s="2" t="n">
        <f aca="false">SUM(C79:T79)</f>
        <v>705329351.125</v>
      </c>
      <c r="V79" s="4" t="n">
        <f aca="false">U79/Inputs!$B$4</f>
        <v>0.705329351125</v>
      </c>
    </row>
    <row r="80" customFormat="false" ht="15" hidden="false" customHeight="false" outlineLevel="0" collapsed="false">
      <c r="A80" s="0" t="n">
        <v>75</v>
      </c>
      <c r="B80" s="3" t="n">
        <f aca="false">Grid!B80</f>
        <v>48704</v>
      </c>
      <c r="C80" s="2" t="n">
        <f aca="false">C79+Grid!C80</f>
        <v>10331395</v>
      </c>
      <c r="D80" s="2" t="n">
        <f aca="false">D79+Grid!D80</f>
        <v>27309255</v>
      </c>
      <c r="E80" s="2" t="n">
        <f aca="false">E79+Grid!E80</f>
        <v>16385554</v>
      </c>
      <c r="F80" s="2" t="n">
        <f aca="false">F79+Grid!F80</f>
        <v>10923703</v>
      </c>
      <c r="G80" s="2" t="n">
        <f aca="false">G79+Grid!G80</f>
        <v>10923703</v>
      </c>
      <c r="H80" s="2" t="n">
        <f aca="false">H79+Grid!H80</f>
        <v>10923703</v>
      </c>
      <c r="I80" s="2" t="n">
        <f aca="false">I79+Grid!I80</f>
        <v>10923703</v>
      </c>
      <c r="J80" s="2" t="n">
        <f aca="false">J79+Grid!J80</f>
        <v>2278984</v>
      </c>
      <c r="K80" s="2" t="n">
        <f aca="false">K79+Grid!K80</f>
        <v>175000000</v>
      </c>
      <c r="L80" s="2" t="n">
        <f aca="false">L79+Grid!L80</f>
        <v>20000000</v>
      </c>
      <c r="M80" s="2" t="n">
        <f aca="false">M79+Grid!M80</f>
        <v>15000000</v>
      </c>
      <c r="N80" s="2" t="n">
        <f aca="false">N79+Grid!N80</f>
        <v>191837949.1875</v>
      </c>
      <c r="O80" s="2" t="n">
        <f aca="false">O79+Grid!O80</f>
        <v>50000000</v>
      </c>
      <c r="P80" s="2" t="n">
        <f aca="false">P79+Grid!P80</f>
        <v>50000000</v>
      </c>
      <c r="Q80" s="2" t="n">
        <f aca="false">Q79+Grid!Q80</f>
        <v>40000000</v>
      </c>
      <c r="R80" s="2" t="n">
        <f aca="false">R79+Grid!R80</f>
        <v>50000000</v>
      </c>
      <c r="S80" s="2" t="n">
        <f aca="false">S79+Grid!S80</f>
        <v>10000000</v>
      </c>
      <c r="T80" s="2" t="n">
        <f aca="false">T79+Grid!T80</f>
        <v>5000000</v>
      </c>
      <c r="U80" s="2" t="n">
        <f aca="false">SUM(C80:T80)</f>
        <v>706837949.1875</v>
      </c>
      <c r="V80" s="4" t="n">
        <f aca="false">U80/Inputs!$B$4</f>
        <v>0.7068379491875</v>
      </c>
    </row>
    <row r="81" customFormat="false" ht="15" hidden="false" customHeight="false" outlineLevel="0" collapsed="false">
      <c r="A81" s="0" t="n">
        <v>76</v>
      </c>
      <c r="B81" s="3" t="n">
        <f aca="false">Grid!B81</f>
        <v>48735</v>
      </c>
      <c r="C81" s="2" t="n">
        <f aca="false">C80+Grid!C81</f>
        <v>10331395</v>
      </c>
      <c r="D81" s="2" t="n">
        <f aca="false">D80+Grid!D81</f>
        <v>27309255</v>
      </c>
      <c r="E81" s="2" t="n">
        <f aca="false">E80+Grid!E81</f>
        <v>16385554</v>
      </c>
      <c r="F81" s="2" t="n">
        <f aca="false">F80+Grid!F81</f>
        <v>10923703</v>
      </c>
      <c r="G81" s="2" t="n">
        <f aca="false">G80+Grid!G81</f>
        <v>10923703</v>
      </c>
      <c r="H81" s="2" t="n">
        <f aca="false">H80+Grid!H81</f>
        <v>10923703</v>
      </c>
      <c r="I81" s="2" t="n">
        <f aca="false">I80+Grid!I81</f>
        <v>10923703</v>
      </c>
      <c r="J81" s="2" t="n">
        <f aca="false">J80+Grid!J81</f>
        <v>2278984</v>
      </c>
      <c r="K81" s="2" t="n">
        <f aca="false">K80+Grid!K81</f>
        <v>175000000</v>
      </c>
      <c r="L81" s="2" t="n">
        <f aca="false">L80+Grid!L81</f>
        <v>20000000</v>
      </c>
      <c r="M81" s="2" t="n">
        <f aca="false">M80+Grid!M81</f>
        <v>15000000</v>
      </c>
      <c r="N81" s="2" t="n">
        <f aca="false">N80+Grid!N81</f>
        <v>193346547.25</v>
      </c>
      <c r="O81" s="2" t="n">
        <f aca="false">O80+Grid!O81</f>
        <v>50000000</v>
      </c>
      <c r="P81" s="2" t="n">
        <f aca="false">P80+Grid!P81</f>
        <v>50000000</v>
      </c>
      <c r="Q81" s="2" t="n">
        <f aca="false">Q80+Grid!Q81</f>
        <v>40000000</v>
      </c>
      <c r="R81" s="2" t="n">
        <f aca="false">R80+Grid!R81</f>
        <v>50000000</v>
      </c>
      <c r="S81" s="2" t="n">
        <f aca="false">S80+Grid!S81</f>
        <v>10000000</v>
      </c>
      <c r="T81" s="2" t="n">
        <f aca="false">T80+Grid!T81</f>
        <v>5000000</v>
      </c>
      <c r="U81" s="2" t="n">
        <f aca="false">SUM(C81:T81)</f>
        <v>708346547.25</v>
      </c>
      <c r="V81" s="4" t="n">
        <f aca="false">U81/Inputs!$B$4</f>
        <v>0.70834654725</v>
      </c>
    </row>
    <row r="82" customFormat="false" ht="15" hidden="false" customHeight="false" outlineLevel="0" collapsed="false">
      <c r="A82" s="0" t="n">
        <v>77</v>
      </c>
      <c r="B82" s="3" t="n">
        <f aca="false">Grid!B82</f>
        <v>48765</v>
      </c>
      <c r="C82" s="2" t="n">
        <f aca="false">C81+Grid!C82</f>
        <v>10331395</v>
      </c>
      <c r="D82" s="2" t="n">
        <f aca="false">D81+Grid!D82</f>
        <v>27309255</v>
      </c>
      <c r="E82" s="2" t="n">
        <f aca="false">E81+Grid!E82</f>
        <v>16385554</v>
      </c>
      <c r="F82" s="2" t="n">
        <f aca="false">F81+Grid!F82</f>
        <v>10923703</v>
      </c>
      <c r="G82" s="2" t="n">
        <f aca="false">G81+Grid!G82</f>
        <v>10923703</v>
      </c>
      <c r="H82" s="2" t="n">
        <f aca="false">H81+Grid!H82</f>
        <v>10923703</v>
      </c>
      <c r="I82" s="2" t="n">
        <f aca="false">I81+Grid!I82</f>
        <v>10923703</v>
      </c>
      <c r="J82" s="2" t="n">
        <f aca="false">J81+Grid!J82</f>
        <v>2278984</v>
      </c>
      <c r="K82" s="2" t="n">
        <f aca="false">K81+Grid!K82</f>
        <v>175000000</v>
      </c>
      <c r="L82" s="2" t="n">
        <f aca="false">L81+Grid!L82</f>
        <v>20000000</v>
      </c>
      <c r="M82" s="2" t="n">
        <f aca="false">M81+Grid!M82</f>
        <v>15000000</v>
      </c>
      <c r="N82" s="2" t="n">
        <f aca="false">N81+Grid!N82</f>
        <v>194855145.3125</v>
      </c>
      <c r="O82" s="2" t="n">
        <f aca="false">O81+Grid!O82</f>
        <v>50000000</v>
      </c>
      <c r="P82" s="2" t="n">
        <f aca="false">P81+Grid!P82</f>
        <v>50000000</v>
      </c>
      <c r="Q82" s="2" t="n">
        <f aca="false">Q81+Grid!Q82</f>
        <v>40000000</v>
      </c>
      <c r="R82" s="2" t="n">
        <f aca="false">R81+Grid!R82</f>
        <v>50000000</v>
      </c>
      <c r="S82" s="2" t="n">
        <f aca="false">S81+Grid!S82</f>
        <v>10000000</v>
      </c>
      <c r="T82" s="2" t="n">
        <f aca="false">T81+Grid!T82</f>
        <v>5000000</v>
      </c>
      <c r="U82" s="2" t="n">
        <f aca="false">SUM(C82:T82)</f>
        <v>709855145.3125</v>
      </c>
      <c r="V82" s="4" t="n">
        <f aca="false">U82/Inputs!$B$4</f>
        <v>0.7098551453125</v>
      </c>
    </row>
    <row r="83" customFormat="false" ht="15" hidden="false" customHeight="false" outlineLevel="0" collapsed="false">
      <c r="A83" s="0" t="n">
        <v>78</v>
      </c>
      <c r="B83" s="3" t="n">
        <f aca="false">Grid!B83</f>
        <v>48796</v>
      </c>
      <c r="C83" s="2" t="n">
        <f aca="false">C82+Grid!C83</f>
        <v>10331395</v>
      </c>
      <c r="D83" s="2" t="n">
        <f aca="false">D82+Grid!D83</f>
        <v>27309255</v>
      </c>
      <c r="E83" s="2" t="n">
        <f aca="false">E82+Grid!E83</f>
        <v>16385554</v>
      </c>
      <c r="F83" s="2" t="n">
        <f aca="false">F82+Grid!F83</f>
        <v>10923703</v>
      </c>
      <c r="G83" s="2" t="n">
        <f aca="false">G82+Grid!G83</f>
        <v>10923703</v>
      </c>
      <c r="H83" s="2" t="n">
        <f aca="false">H82+Grid!H83</f>
        <v>10923703</v>
      </c>
      <c r="I83" s="2" t="n">
        <f aca="false">I82+Grid!I83</f>
        <v>10923703</v>
      </c>
      <c r="J83" s="2" t="n">
        <f aca="false">J82+Grid!J83</f>
        <v>2278984</v>
      </c>
      <c r="K83" s="2" t="n">
        <f aca="false">K82+Grid!K83</f>
        <v>175000000</v>
      </c>
      <c r="L83" s="2" t="n">
        <f aca="false">L82+Grid!L83</f>
        <v>20000000</v>
      </c>
      <c r="M83" s="2" t="n">
        <f aca="false">M82+Grid!M83</f>
        <v>15000000</v>
      </c>
      <c r="N83" s="2" t="n">
        <f aca="false">N82+Grid!N83</f>
        <v>196363743.375</v>
      </c>
      <c r="O83" s="2" t="n">
        <f aca="false">O82+Grid!O83</f>
        <v>50000000</v>
      </c>
      <c r="P83" s="2" t="n">
        <f aca="false">P82+Grid!P83</f>
        <v>50000000</v>
      </c>
      <c r="Q83" s="2" t="n">
        <f aca="false">Q82+Grid!Q83</f>
        <v>40000000</v>
      </c>
      <c r="R83" s="2" t="n">
        <f aca="false">R82+Grid!R83</f>
        <v>50000000</v>
      </c>
      <c r="S83" s="2" t="n">
        <f aca="false">S82+Grid!S83</f>
        <v>10000000</v>
      </c>
      <c r="T83" s="2" t="n">
        <f aca="false">T82+Grid!T83</f>
        <v>5000000</v>
      </c>
      <c r="U83" s="2" t="n">
        <f aca="false">SUM(C83:T83)</f>
        <v>711363743.375</v>
      </c>
      <c r="V83" s="4" t="n">
        <f aca="false">U83/Inputs!$B$4</f>
        <v>0.711363743375</v>
      </c>
    </row>
    <row r="84" customFormat="false" ht="15" hidden="false" customHeight="false" outlineLevel="0" collapsed="false">
      <c r="A84" s="0" t="n">
        <v>79</v>
      </c>
      <c r="B84" s="3" t="n">
        <f aca="false">Grid!B84</f>
        <v>48827</v>
      </c>
      <c r="C84" s="2" t="n">
        <f aca="false">C83+Grid!C84</f>
        <v>10331395</v>
      </c>
      <c r="D84" s="2" t="n">
        <f aca="false">D83+Grid!D84</f>
        <v>27309255</v>
      </c>
      <c r="E84" s="2" t="n">
        <f aca="false">E83+Grid!E84</f>
        <v>16385554</v>
      </c>
      <c r="F84" s="2" t="n">
        <f aca="false">F83+Grid!F84</f>
        <v>10923703</v>
      </c>
      <c r="G84" s="2" t="n">
        <f aca="false">G83+Grid!G84</f>
        <v>10923703</v>
      </c>
      <c r="H84" s="2" t="n">
        <f aca="false">H83+Grid!H84</f>
        <v>10923703</v>
      </c>
      <c r="I84" s="2" t="n">
        <f aca="false">I83+Grid!I84</f>
        <v>10923703</v>
      </c>
      <c r="J84" s="2" t="n">
        <f aca="false">J83+Grid!J84</f>
        <v>2278984</v>
      </c>
      <c r="K84" s="2" t="n">
        <f aca="false">K83+Grid!K84</f>
        <v>175000000</v>
      </c>
      <c r="L84" s="2" t="n">
        <f aca="false">L83+Grid!L84</f>
        <v>20000000</v>
      </c>
      <c r="M84" s="2" t="n">
        <f aca="false">M83+Grid!M84</f>
        <v>15000000</v>
      </c>
      <c r="N84" s="2" t="n">
        <f aca="false">N83+Grid!N84</f>
        <v>197872341.4375</v>
      </c>
      <c r="O84" s="2" t="n">
        <f aca="false">O83+Grid!O84</f>
        <v>50000000</v>
      </c>
      <c r="P84" s="2" t="n">
        <f aca="false">P83+Grid!P84</f>
        <v>50000000</v>
      </c>
      <c r="Q84" s="2" t="n">
        <f aca="false">Q83+Grid!Q84</f>
        <v>40000000</v>
      </c>
      <c r="R84" s="2" t="n">
        <f aca="false">R83+Grid!R84</f>
        <v>50000000</v>
      </c>
      <c r="S84" s="2" t="n">
        <f aca="false">S83+Grid!S84</f>
        <v>10000000</v>
      </c>
      <c r="T84" s="2" t="n">
        <f aca="false">T83+Grid!T84</f>
        <v>5000000</v>
      </c>
      <c r="U84" s="2" t="n">
        <f aca="false">SUM(C84:T84)</f>
        <v>712872341.4375</v>
      </c>
      <c r="V84" s="4" t="n">
        <f aca="false">U84/Inputs!$B$4</f>
        <v>0.7128723414375</v>
      </c>
    </row>
    <row r="85" customFormat="false" ht="15" hidden="false" customHeight="false" outlineLevel="0" collapsed="false">
      <c r="A85" s="0" t="n">
        <v>80</v>
      </c>
      <c r="B85" s="3" t="n">
        <f aca="false">Grid!B85</f>
        <v>48857</v>
      </c>
      <c r="C85" s="2" t="n">
        <f aca="false">C84+Grid!C85</f>
        <v>10331395</v>
      </c>
      <c r="D85" s="2" t="n">
        <f aca="false">D84+Grid!D85</f>
        <v>27309255</v>
      </c>
      <c r="E85" s="2" t="n">
        <f aca="false">E84+Grid!E85</f>
        <v>16385554</v>
      </c>
      <c r="F85" s="2" t="n">
        <f aca="false">F84+Grid!F85</f>
        <v>10923703</v>
      </c>
      <c r="G85" s="2" t="n">
        <f aca="false">G84+Grid!G85</f>
        <v>10923703</v>
      </c>
      <c r="H85" s="2" t="n">
        <f aca="false">H84+Grid!H85</f>
        <v>10923703</v>
      </c>
      <c r="I85" s="2" t="n">
        <f aca="false">I84+Grid!I85</f>
        <v>10923703</v>
      </c>
      <c r="J85" s="2" t="n">
        <f aca="false">J84+Grid!J85</f>
        <v>2278984</v>
      </c>
      <c r="K85" s="2" t="n">
        <f aca="false">K84+Grid!K85</f>
        <v>175000000</v>
      </c>
      <c r="L85" s="2" t="n">
        <f aca="false">L84+Grid!L85</f>
        <v>20000000</v>
      </c>
      <c r="M85" s="2" t="n">
        <f aca="false">M84+Grid!M85</f>
        <v>15000000</v>
      </c>
      <c r="N85" s="2" t="n">
        <f aca="false">N84+Grid!N85</f>
        <v>199380939.5</v>
      </c>
      <c r="O85" s="2" t="n">
        <f aca="false">O84+Grid!O85</f>
        <v>50000000</v>
      </c>
      <c r="P85" s="2" t="n">
        <f aca="false">P84+Grid!P85</f>
        <v>50000000</v>
      </c>
      <c r="Q85" s="2" t="n">
        <f aca="false">Q84+Grid!Q85</f>
        <v>40000000</v>
      </c>
      <c r="R85" s="2" t="n">
        <f aca="false">R84+Grid!R85</f>
        <v>50000000</v>
      </c>
      <c r="S85" s="2" t="n">
        <f aca="false">S84+Grid!S85</f>
        <v>10000000</v>
      </c>
      <c r="T85" s="2" t="n">
        <f aca="false">T84+Grid!T85</f>
        <v>5000000</v>
      </c>
      <c r="U85" s="2" t="n">
        <f aca="false">SUM(C85:T85)</f>
        <v>714380939.5</v>
      </c>
      <c r="V85" s="4" t="n">
        <f aca="false">U85/Inputs!$B$4</f>
        <v>0.7143809395</v>
      </c>
    </row>
    <row r="86" customFormat="false" ht="15" hidden="false" customHeight="false" outlineLevel="0" collapsed="false">
      <c r="A86" s="0" t="n">
        <v>81</v>
      </c>
      <c r="B86" s="3" t="n">
        <f aca="false">Grid!B86</f>
        <v>48888</v>
      </c>
      <c r="C86" s="2" t="n">
        <f aca="false">C85+Grid!C86</f>
        <v>10331395</v>
      </c>
      <c r="D86" s="2" t="n">
        <f aca="false">D85+Grid!D86</f>
        <v>27309255</v>
      </c>
      <c r="E86" s="2" t="n">
        <f aca="false">E85+Grid!E86</f>
        <v>16385554</v>
      </c>
      <c r="F86" s="2" t="n">
        <f aca="false">F85+Grid!F86</f>
        <v>10923703</v>
      </c>
      <c r="G86" s="2" t="n">
        <f aca="false">G85+Grid!G86</f>
        <v>10923703</v>
      </c>
      <c r="H86" s="2" t="n">
        <f aca="false">H85+Grid!H86</f>
        <v>10923703</v>
      </c>
      <c r="I86" s="2" t="n">
        <f aca="false">I85+Grid!I86</f>
        <v>10923703</v>
      </c>
      <c r="J86" s="2" t="n">
        <f aca="false">J85+Grid!J86</f>
        <v>2278984</v>
      </c>
      <c r="K86" s="2" t="n">
        <f aca="false">K85+Grid!K86</f>
        <v>175000000</v>
      </c>
      <c r="L86" s="2" t="n">
        <f aca="false">L85+Grid!L86</f>
        <v>20000000</v>
      </c>
      <c r="M86" s="2" t="n">
        <f aca="false">M85+Grid!M86</f>
        <v>15000000</v>
      </c>
      <c r="N86" s="2" t="n">
        <f aca="false">N85+Grid!N86</f>
        <v>200889537.5625</v>
      </c>
      <c r="O86" s="2" t="n">
        <f aca="false">O85+Grid!O86</f>
        <v>50000000</v>
      </c>
      <c r="P86" s="2" t="n">
        <f aca="false">P85+Grid!P86</f>
        <v>50000000</v>
      </c>
      <c r="Q86" s="2" t="n">
        <f aca="false">Q85+Grid!Q86</f>
        <v>40000000</v>
      </c>
      <c r="R86" s="2" t="n">
        <f aca="false">R85+Grid!R86</f>
        <v>50000000</v>
      </c>
      <c r="S86" s="2" t="n">
        <f aca="false">S85+Grid!S86</f>
        <v>10000000</v>
      </c>
      <c r="T86" s="2" t="n">
        <f aca="false">T85+Grid!T86</f>
        <v>5000000</v>
      </c>
      <c r="U86" s="2" t="n">
        <f aca="false">SUM(C86:T86)</f>
        <v>715889537.5625</v>
      </c>
      <c r="V86" s="4" t="n">
        <f aca="false">U86/Inputs!$B$4</f>
        <v>0.7158895375625</v>
      </c>
    </row>
    <row r="87" customFormat="false" ht="15" hidden="false" customHeight="false" outlineLevel="0" collapsed="false">
      <c r="A87" s="0" t="n">
        <v>82</v>
      </c>
      <c r="B87" s="3" t="n">
        <f aca="false">Grid!B87</f>
        <v>48918</v>
      </c>
      <c r="C87" s="2" t="n">
        <f aca="false">C86+Grid!C87</f>
        <v>10331395</v>
      </c>
      <c r="D87" s="2" t="n">
        <f aca="false">D86+Grid!D87</f>
        <v>27309255</v>
      </c>
      <c r="E87" s="2" t="n">
        <f aca="false">E86+Grid!E87</f>
        <v>16385554</v>
      </c>
      <c r="F87" s="2" t="n">
        <f aca="false">F86+Grid!F87</f>
        <v>10923703</v>
      </c>
      <c r="G87" s="2" t="n">
        <f aca="false">G86+Grid!G87</f>
        <v>10923703</v>
      </c>
      <c r="H87" s="2" t="n">
        <f aca="false">H86+Grid!H87</f>
        <v>10923703</v>
      </c>
      <c r="I87" s="2" t="n">
        <f aca="false">I86+Grid!I87</f>
        <v>10923703</v>
      </c>
      <c r="J87" s="2" t="n">
        <f aca="false">J86+Grid!J87</f>
        <v>2278984</v>
      </c>
      <c r="K87" s="2" t="n">
        <f aca="false">K86+Grid!K87</f>
        <v>175000000</v>
      </c>
      <c r="L87" s="2" t="n">
        <f aca="false">L86+Grid!L87</f>
        <v>20000000</v>
      </c>
      <c r="M87" s="2" t="n">
        <f aca="false">M86+Grid!M87</f>
        <v>15000000</v>
      </c>
      <c r="N87" s="2" t="n">
        <f aca="false">N86+Grid!N87</f>
        <v>202398135.625</v>
      </c>
      <c r="O87" s="2" t="n">
        <f aca="false">O86+Grid!O87</f>
        <v>50000000</v>
      </c>
      <c r="P87" s="2" t="n">
        <f aca="false">P86+Grid!P87</f>
        <v>50000000</v>
      </c>
      <c r="Q87" s="2" t="n">
        <f aca="false">Q86+Grid!Q87</f>
        <v>40000000</v>
      </c>
      <c r="R87" s="2" t="n">
        <f aca="false">R86+Grid!R87</f>
        <v>50000000</v>
      </c>
      <c r="S87" s="2" t="n">
        <f aca="false">S86+Grid!S87</f>
        <v>10000000</v>
      </c>
      <c r="T87" s="2" t="n">
        <f aca="false">T86+Grid!T87</f>
        <v>5000000</v>
      </c>
      <c r="U87" s="2" t="n">
        <f aca="false">SUM(C87:T87)</f>
        <v>717398135.625</v>
      </c>
      <c r="V87" s="4" t="n">
        <f aca="false">U87/Inputs!$B$4</f>
        <v>0.717398135625</v>
      </c>
    </row>
    <row r="88" customFormat="false" ht="15" hidden="false" customHeight="false" outlineLevel="0" collapsed="false">
      <c r="A88" s="0" t="n">
        <v>83</v>
      </c>
      <c r="B88" s="3" t="n">
        <f aca="false">Grid!B88</f>
        <v>48949</v>
      </c>
      <c r="C88" s="2" t="n">
        <f aca="false">C87+Grid!C88</f>
        <v>10331395</v>
      </c>
      <c r="D88" s="2" t="n">
        <f aca="false">D87+Grid!D88</f>
        <v>27309255</v>
      </c>
      <c r="E88" s="2" t="n">
        <f aca="false">E87+Grid!E88</f>
        <v>16385554</v>
      </c>
      <c r="F88" s="2" t="n">
        <f aca="false">F87+Grid!F88</f>
        <v>10923703</v>
      </c>
      <c r="G88" s="2" t="n">
        <f aca="false">G87+Grid!G88</f>
        <v>10923703</v>
      </c>
      <c r="H88" s="2" t="n">
        <f aca="false">H87+Grid!H88</f>
        <v>10923703</v>
      </c>
      <c r="I88" s="2" t="n">
        <f aca="false">I87+Grid!I88</f>
        <v>10923703</v>
      </c>
      <c r="J88" s="2" t="n">
        <f aca="false">J87+Grid!J88</f>
        <v>2278984</v>
      </c>
      <c r="K88" s="2" t="n">
        <f aca="false">K87+Grid!K88</f>
        <v>175000000</v>
      </c>
      <c r="L88" s="2" t="n">
        <f aca="false">L87+Grid!L88</f>
        <v>20000000</v>
      </c>
      <c r="M88" s="2" t="n">
        <f aca="false">M87+Grid!M88</f>
        <v>15000000</v>
      </c>
      <c r="N88" s="2" t="n">
        <f aca="false">N87+Grid!N88</f>
        <v>203906733.6875</v>
      </c>
      <c r="O88" s="2" t="n">
        <f aca="false">O87+Grid!O88</f>
        <v>50000000</v>
      </c>
      <c r="P88" s="2" t="n">
        <f aca="false">P87+Grid!P88</f>
        <v>50000000</v>
      </c>
      <c r="Q88" s="2" t="n">
        <f aca="false">Q87+Grid!Q88</f>
        <v>40000000</v>
      </c>
      <c r="R88" s="2" t="n">
        <f aca="false">R87+Grid!R88</f>
        <v>50000000</v>
      </c>
      <c r="S88" s="2" t="n">
        <f aca="false">S87+Grid!S88</f>
        <v>10000000</v>
      </c>
      <c r="T88" s="2" t="n">
        <f aca="false">T87+Grid!T88</f>
        <v>5000000</v>
      </c>
      <c r="U88" s="2" t="n">
        <f aca="false">SUM(C88:T88)</f>
        <v>718906733.6875</v>
      </c>
      <c r="V88" s="4" t="n">
        <f aca="false">U88/Inputs!$B$4</f>
        <v>0.7189067336875</v>
      </c>
    </row>
    <row r="89" customFormat="false" ht="15" hidden="false" customHeight="false" outlineLevel="0" collapsed="false">
      <c r="A89" s="0" t="n">
        <v>84</v>
      </c>
      <c r="B89" s="3" t="n">
        <f aca="false">Grid!B89</f>
        <v>48980</v>
      </c>
      <c r="C89" s="2" t="n">
        <f aca="false">C88+Grid!C89</f>
        <v>10331395</v>
      </c>
      <c r="D89" s="2" t="n">
        <f aca="false">D88+Grid!D89</f>
        <v>27309255</v>
      </c>
      <c r="E89" s="2" t="n">
        <f aca="false">E88+Grid!E89</f>
        <v>16385554</v>
      </c>
      <c r="F89" s="2" t="n">
        <f aca="false">F88+Grid!F89</f>
        <v>10923703</v>
      </c>
      <c r="G89" s="2" t="n">
        <f aca="false">G88+Grid!G89</f>
        <v>10923703</v>
      </c>
      <c r="H89" s="2" t="n">
        <f aca="false">H88+Grid!H89</f>
        <v>10923703</v>
      </c>
      <c r="I89" s="2" t="n">
        <f aca="false">I88+Grid!I89</f>
        <v>10923703</v>
      </c>
      <c r="J89" s="2" t="n">
        <f aca="false">J88+Grid!J89</f>
        <v>2278984</v>
      </c>
      <c r="K89" s="2" t="n">
        <f aca="false">K88+Grid!K89</f>
        <v>175000000</v>
      </c>
      <c r="L89" s="2" t="n">
        <f aca="false">L88+Grid!L89</f>
        <v>20000000</v>
      </c>
      <c r="M89" s="2" t="n">
        <f aca="false">M88+Grid!M89</f>
        <v>15000000</v>
      </c>
      <c r="N89" s="2" t="n">
        <f aca="false">N88+Grid!N89</f>
        <v>205415331.75</v>
      </c>
      <c r="O89" s="2" t="n">
        <f aca="false">O88+Grid!O89</f>
        <v>50000000</v>
      </c>
      <c r="P89" s="2" t="n">
        <f aca="false">P88+Grid!P89</f>
        <v>50000000</v>
      </c>
      <c r="Q89" s="2" t="n">
        <f aca="false">Q88+Grid!Q89</f>
        <v>40000000</v>
      </c>
      <c r="R89" s="2" t="n">
        <f aca="false">R88+Grid!R89</f>
        <v>50000000</v>
      </c>
      <c r="S89" s="2" t="n">
        <f aca="false">S88+Grid!S89</f>
        <v>10000000</v>
      </c>
      <c r="T89" s="2" t="n">
        <f aca="false">T88+Grid!T89</f>
        <v>5000000</v>
      </c>
      <c r="U89" s="2" t="n">
        <f aca="false">SUM(C89:T89)</f>
        <v>720415331.75</v>
      </c>
      <c r="V89" s="4" t="n">
        <f aca="false">U89/Inputs!$B$4</f>
        <v>0.72041533175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0" t="s">
        <v>87</v>
      </c>
    </row>
    <row r="4" customFormat="false" ht="28.35" hidden="false" customHeight="false" outlineLevel="0" collapsed="false">
      <c r="A4" s="6" t="s">
        <v>78</v>
      </c>
      <c r="B4" s="6" t="s">
        <v>88</v>
      </c>
      <c r="C4" s="6" t="s">
        <v>89</v>
      </c>
      <c r="D4" s="6" t="s">
        <v>90</v>
      </c>
      <c r="E4" s="6" t="s">
        <v>91</v>
      </c>
    </row>
    <row r="5" customFormat="false" ht="15" hidden="false" customHeight="false" outlineLevel="0" collapsed="false">
      <c r="A5" s="0" t="n">
        <v>0</v>
      </c>
      <c r="B5" s="2" t="n">
        <f aca="false">INDEX(Grid!$V$5:$V$89,A5+1)</f>
        <v>53000000</v>
      </c>
      <c r="C5" s="2" t="n">
        <v>53000000</v>
      </c>
      <c r="D5" s="2" t="n">
        <f aca="false">ABS(B5-C5)</f>
        <v>0</v>
      </c>
      <c r="E5" s="9" t="b">
        <f aca="false">D5&lt;1</f>
        <v>1</v>
      </c>
    </row>
    <row r="6" customFormat="false" ht="15" hidden="false" customHeight="false" outlineLevel="0" collapsed="false">
      <c r="A6" s="0" t="n">
        <v>12</v>
      </c>
      <c r="B6" s="2" t="n">
        <f aca="false">INDEX(Grid!$V$5:$V$89,A6+1)</f>
        <v>117000000</v>
      </c>
      <c r="C6" s="2" t="n">
        <v>117000000</v>
      </c>
      <c r="D6" s="2" t="n">
        <f aca="false">ABS(B6-C6)</f>
        <v>0</v>
      </c>
      <c r="E6" s="9" t="b">
        <f aca="false">D6&lt;1</f>
        <v>1</v>
      </c>
    </row>
    <row r="7" customFormat="false" ht="15" hidden="false" customHeight="false" outlineLevel="0" collapsed="false">
      <c r="A7" s="0" t="n">
        <v>24</v>
      </c>
      <c r="B7" s="2" t="n">
        <f aca="false">INDEX(Grid!$V$5:$V$89,A7+1)</f>
        <v>348300000</v>
      </c>
      <c r="C7" s="2" t="n">
        <v>348300000</v>
      </c>
      <c r="D7" s="2" t="n">
        <f aca="false">ABS(B7-C7)</f>
        <v>0</v>
      </c>
      <c r="E7" s="9" t="b">
        <f aca="false">D7&lt;1</f>
        <v>1</v>
      </c>
    </row>
    <row r="8" customFormat="false" ht="15" hidden="false" customHeight="false" outlineLevel="0" collapsed="false">
      <c r="A8" s="0" t="n">
        <v>36</v>
      </c>
      <c r="B8" s="2" t="n">
        <f aca="false">INDEX(Grid!$V$5:$V$89,A8+1)</f>
        <v>572480000</v>
      </c>
      <c r="C8" s="2" t="n">
        <v>572480000</v>
      </c>
      <c r="D8" s="2" t="n">
        <f aca="false">ABS(B8-C8)</f>
        <v>0</v>
      </c>
      <c r="E8" s="9" t="b">
        <f aca="false">D8&lt;1</f>
        <v>1</v>
      </c>
    </row>
    <row r="9" customFormat="false" ht="15" hidden="false" customHeight="false" outlineLevel="0" collapsed="false">
      <c r="A9" s="0" t="n">
        <v>48</v>
      </c>
      <c r="B9" s="2" t="n">
        <f aca="false">INDEX(Grid!$V$5:$V$89,A9+1)</f>
        <v>630958000.000001</v>
      </c>
      <c r="C9" s="2" t="n">
        <v>630958000.000001</v>
      </c>
      <c r="D9" s="2" t="n">
        <f aca="false">ABS(B9-C9)</f>
        <v>0</v>
      </c>
      <c r="E9" s="9" t="b">
        <f aca="false">D9&lt;1</f>
        <v>1</v>
      </c>
    </row>
    <row r="10" customFormat="false" ht="15" hidden="false" customHeight="false" outlineLevel="0" collapsed="false">
      <c r="A10" s="0" t="n">
        <v>60</v>
      </c>
      <c r="B10" s="2" t="n">
        <f aca="false">INDEX(Grid!$V$5:$V$89,A10+1)</f>
        <v>681014300.000001</v>
      </c>
      <c r="C10" s="2" t="n">
        <v>681014300.000001</v>
      </c>
      <c r="D10" s="2" t="n">
        <f aca="false">ABS(B10-C10)</f>
        <v>0</v>
      </c>
      <c r="E10" s="9" t="b">
        <f aca="false">D10&lt;1</f>
        <v>1</v>
      </c>
    </row>
    <row r="11" customFormat="false" ht="15" hidden="false" customHeight="false" outlineLevel="0" collapsed="false">
      <c r="A11" s="0" t="n">
        <v>84</v>
      </c>
      <c r="B11" s="2" t="n">
        <f aca="false">INDEX(Grid!$V$5:$V$89,A11+1)</f>
        <v>720415331.750001</v>
      </c>
      <c r="C11" s="2" t="n">
        <v>720415331.750001</v>
      </c>
      <c r="D11" s="2" t="n">
        <f aca="false">ABS(B11-C11)</f>
        <v>0</v>
      </c>
      <c r="E11" s="9" t="b">
        <f aca="false">D11&lt;1</f>
        <v>1</v>
      </c>
    </row>
    <row r="13" customFormat="false" ht="15" hidden="false" customHeight="false" outlineLevel="0" collapsed="false">
      <c r="A13" s="0" t="s">
        <v>92</v>
      </c>
    </row>
    <row r="14" customFormat="false" ht="15" hidden="false" customHeight="false" outlineLevel="0" collapsed="false">
      <c r="A14" s="10" t="s">
        <v>9</v>
      </c>
      <c r="B14" s="10" t="s">
        <v>93</v>
      </c>
      <c r="C14" s="10" t="s">
        <v>94</v>
      </c>
      <c r="D14" s="10" t="s">
        <v>90</v>
      </c>
      <c r="E14" s="10" t="s">
        <v>91</v>
      </c>
    </row>
    <row r="15" customFormat="false" ht="15" hidden="false" customHeight="false" outlineLevel="0" collapsed="false">
      <c r="A15" s="0" t="s">
        <v>19</v>
      </c>
      <c r="B15" s="2" t="n">
        <f aca="false">Grid!C90</f>
        <v>10331395</v>
      </c>
      <c r="C15" s="2" t="n">
        <v>10331395</v>
      </c>
      <c r="D15" s="2" t="n">
        <f aca="false">ABS(B15-C15)</f>
        <v>0</v>
      </c>
      <c r="E15" s="9" t="b">
        <f aca="false">D15&lt;1</f>
        <v>1</v>
      </c>
    </row>
    <row r="16" customFormat="false" ht="15" hidden="false" customHeight="false" outlineLevel="0" collapsed="false">
      <c r="A16" s="0" t="s">
        <v>23</v>
      </c>
      <c r="B16" s="2" t="n">
        <f aca="false">Grid!D90</f>
        <v>27309255</v>
      </c>
      <c r="C16" s="2" t="n">
        <v>27309255</v>
      </c>
      <c r="D16" s="2" t="n">
        <f aca="false">ABS(B16-C16)</f>
        <v>0</v>
      </c>
      <c r="E16" s="9" t="b">
        <f aca="false">D16&lt;1</f>
        <v>1</v>
      </c>
    </row>
    <row r="17" customFormat="false" ht="15" hidden="false" customHeight="false" outlineLevel="0" collapsed="false">
      <c r="A17" s="0" t="s">
        <v>25</v>
      </c>
      <c r="B17" s="2" t="n">
        <f aca="false">Grid!E90</f>
        <v>16385554</v>
      </c>
      <c r="C17" s="2" t="n">
        <v>16385554</v>
      </c>
      <c r="D17" s="2" t="n">
        <f aca="false">ABS(B17-C17)</f>
        <v>0</v>
      </c>
      <c r="E17" s="9" t="b">
        <f aca="false">D17&lt;1</f>
        <v>1</v>
      </c>
    </row>
    <row r="18" customFormat="false" ht="15" hidden="false" customHeight="false" outlineLevel="0" collapsed="false">
      <c r="A18" s="0" t="s">
        <v>27</v>
      </c>
      <c r="B18" s="2" t="n">
        <f aca="false">Grid!F90</f>
        <v>10923703</v>
      </c>
      <c r="C18" s="2" t="n">
        <v>10923703</v>
      </c>
      <c r="D18" s="2" t="n">
        <f aca="false">ABS(B18-C18)</f>
        <v>0</v>
      </c>
      <c r="E18" s="9" t="b">
        <f aca="false">D18&lt;1</f>
        <v>1</v>
      </c>
    </row>
    <row r="19" customFormat="false" ht="15" hidden="false" customHeight="false" outlineLevel="0" collapsed="false">
      <c r="A19" s="0" t="s">
        <v>29</v>
      </c>
      <c r="B19" s="2" t="n">
        <f aca="false">Grid!G90</f>
        <v>10923703</v>
      </c>
      <c r="C19" s="2" t="n">
        <v>10923703</v>
      </c>
      <c r="D19" s="2" t="n">
        <f aca="false">ABS(B19-C19)</f>
        <v>0</v>
      </c>
      <c r="E19" s="9" t="b">
        <f aca="false">D19&lt;1</f>
        <v>1</v>
      </c>
    </row>
    <row r="20" customFormat="false" ht="15" hidden="false" customHeight="false" outlineLevel="0" collapsed="false">
      <c r="A20" s="0" t="s">
        <v>31</v>
      </c>
      <c r="B20" s="2" t="n">
        <f aca="false">Grid!H90</f>
        <v>10923703</v>
      </c>
      <c r="C20" s="2" t="n">
        <v>10923703</v>
      </c>
      <c r="D20" s="2" t="n">
        <f aca="false">ABS(B20-C20)</f>
        <v>0</v>
      </c>
      <c r="E20" s="9" t="b">
        <f aca="false">D20&lt;1</f>
        <v>1</v>
      </c>
    </row>
    <row r="21" customFormat="false" ht="15" hidden="false" customHeight="false" outlineLevel="0" collapsed="false">
      <c r="A21" s="0" t="s">
        <v>33</v>
      </c>
      <c r="B21" s="2" t="n">
        <f aca="false">Grid!I90</f>
        <v>10923703</v>
      </c>
      <c r="C21" s="2" t="n">
        <v>10923703</v>
      </c>
      <c r="D21" s="2" t="n">
        <f aca="false">ABS(B21-C21)</f>
        <v>0</v>
      </c>
      <c r="E21" s="9" t="b">
        <f aca="false">D21&lt;1</f>
        <v>1</v>
      </c>
    </row>
    <row r="22" customFormat="false" ht="15" hidden="false" customHeight="false" outlineLevel="0" collapsed="false">
      <c r="A22" s="0" t="s">
        <v>35</v>
      </c>
      <c r="B22" s="2" t="n">
        <f aca="false">Grid!J90</f>
        <v>2278984</v>
      </c>
      <c r="C22" s="2" t="n">
        <v>2278984</v>
      </c>
      <c r="D22" s="2" t="n">
        <f aca="false">ABS(B22-C22)</f>
        <v>0</v>
      </c>
      <c r="E22" s="9" t="b">
        <f aca="false">D22&lt;1</f>
        <v>1</v>
      </c>
    </row>
    <row r="23" customFormat="false" ht="15" hidden="false" customHeight="false" outlineLevel="0" collapsed="false">
      <c r="A23" s="0" t="s">
        <v>37</v>
      </c>
      <c r="B23" s="2" t="n">
        <f aca="false">Grid!K90</f>
        <v>175000000</v>
      </c>
      <c r="C23" s="2" t="n">
        <v>175000000</v>
      </c>
      <c r="D23" s="2" t="n">
        <f aca="false">ABS(B23-C23)</f>
        <v>0</v>
      </c>
      <c r="E23" s="9" t="b">
        <f aca="false">D23&lt;1</f>
        <v>1</v>
      </c>
    </row>
    <row r="24" customFormat="false" ht="15" hidden="false" customHeight="false" outlineLevel="0" collapsed="false">
      <c r="A24" s="0" t="s">
        <v>41</v>
      </c>
      <c r="B24" s="2" t="n">
        <f aca="false">Grid!L90</f>
        <v>20000000</v>
      </c>
      <c r="C24" s="2" t="n">
        <v>20000000</v>
      </c>
      <c r="D24" s="2" t="n">
        <f aca="false">ABS(B24-C24)</f>
        <v>0</v>
      </c>
      <c r="E24" s="9" t="b">
        <f aca="false">D24&lt;1</f>
        <v>1</v>
      </c>
    </row>
    <row r="25" customFormat="false" ht="15" hidden="false" customHeight="false" outlineLevel="0" collapsed="false">
      <c r="A25" s="0" t="s">
        <v>43</v>
      </c>
      <c r="B25" s="2" t="n">
        <f aca="false">Grid!M90</f>
        <v>15000000</v>
      </c>
      <c r="C25" s="2" t="n">
        <v>15000000</v>
      </c>
      <c r="D25" s="2" t="n">
        <f aca="false">ABS(B25-C25)</f>
        <v>0</v>
      </c>
      <c r="E25" s="9" t="b">
        <f aca="false">D25&lt;1</f>
        <v>1</v>
      </c>
    </row>
    <row r="26" customFormat="false" ht="15" hidden="false" customHeight="false" outlineLevel="0" collapsed="false">
      <c r="A26" s="0" t="s">
        <v>47</v>
      </c>
      <c r="B26" s="2" t="n">
        <f aca="false">Grid!N90</f>
        <v>205415331.75</v>
      </c>
      <c r="C26" s="2" t="n">
        <v>205415331.75</v>
      </c>
      <c r="D26" s="2" t="n">
        <f aca="false">ABS(B26-C26)</f>
        <v>0</v>
      </c>
      <c r="E26" s="9" t="b">
        <f aca="false">D26&lt;1</f>
        <v>1</v>
      </c>
    </row>
    <row r="27" customFormat="false" ht="15" hidden="false" customHeight="false" outlineLevel="0" collapsed="false">
      <c r="A27" s="0" t="s">
        <v>53</v>
      </c>
      <c r="B27" s="2" t="n">
        <f aca="false">Grid!O90</f>
        <v>50000000</v>
      </c>
      <c r="C27" s="2" t="n">
        <v>50000000</v>
      </c>
      <c r="D27" s="2" t="n">
        <f aca="false">ABS(B27-C27)</f>
        <v>0</v>
      </c>
      <c r="E27" s="9" t="b">
        <f aca="false">D27&lt;1</f>
        <v>1</v>
      </c>
    </row>
    <row r="28" customFormat="false" ht="15" hidden="false" customHeight="false" outlineLevel="0" collapsed="false">
      <c r="A28" s="0" t="s">
        <v>57</v>
      </c>
      <c r="B28" s="2" t="n">
        <f aca="false">Grid!P90</f>
        <v>50000000</v>
      </c>
      <c r="C28" s="2" t="n">
        <v>50000000</v>
      </c>
      <c r="D28" s="2" t="n">
        <f aca="false">ABS(B28-C28)</f>
        <v>0</v>
      </c>
      <c r="E28" s="9" t="b">
        <f aca="false">D28&lt;1</f>
        <v>1</v>
      </c>
    </row>
    <row r="29" customFormat="false" ht="15" hidden="false" customHeight="false" outlineLevel="0" collapsed="false">
      <c r="A29" s="0" t="s">
        <v>61</v>
      </c>
      <c r="B29" s="2" t="n">
        <f aca="false">Grid!Q90</f>
        <v>40000000</v>
      </c>
      <c r="C29" s="2" t="n">
        <v>40000000</v>
      </c>
      <c r="D29" s="2" t="n">
        <f aca="false">ABS(B29-C29)</f>
        <v>0</v>
      </c>
      <c r="E29" s="9" t="b">
        <f aca="false">D29&lt;1</f>
        <v>1</v>
      </c>
    </row>
    <row r="30" customFormat="false" ht="15" hidden="false" customHeight="false" outlineLevel="0" collapsed="false">
      <c r="A30" s="0" t="s">
        <v>64</v>
      </c>
      <c r="B30" s="2" t="n">
        <f aca="false">Grid!R90</f>
        <v>50000000</v>
      </c>
      <c r="C30" s="2" t="n">
        <v>50000000</v>
      </c>
      <c r="D30" s="2" t="n">
        <f aca="false">ABS(B30-C30)</f>
        <v>0</v>
      </c>
      <c r="E30" s="9" t="b">
        <f aca="false">D30&lt;1</f>
        <v>1</v>
      </c>
    </row>
    <row r="31" customFormat="false" ht="15" hidden="false" customHeight="false" outlineLevel="0" collapsed="false">
      <c r="A31" s="0" t="s">
        <v>68</v>
      </c>
      <c r="B31" s="2" t="n">
        <f aca="false">Grid!S90</f>
        <v>10000000</v>
      </c>
      <c r="C31" s="2" t="n">
        <v>10000000</v>
      </c>
      <c r="D31" s="2" t="n">
        <f aca="false">ABS(B31-C31)</f>
        <v>0</v>
      </c>
      <c r="E31" s="9" t="b">
        <f aca="false">D31&lt;1</f>
        <v>1</v>
      </c>
    </row>
    <row r="32" customFormat="false" ht="15" hidden="false" customHeight="false" outlineLevel="0" collapsed="false">
      <c r="A32" s="0" t="s">
        <v>72</v>
      </c>
      <c r="B32" s="2" t="n">
        <f aca="false">Grid!T90</f>
        <v>5000000</v>
      </c>
      <c r="C32" s="2" t="n">
        <v>5000000</v>
      </c>
      <c r="D32" s="2" t="n">
        <f aca="false">ABS(B32-C32)</f>
        <v>0</v>
      </c>
      <c r="E32" s="9" t="b">
        <f aca="false">D32&lt;1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1" t="s">
        <v>95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96</v>
      </c>
    </row>
    <row r="4" customFormat="false" ht="15" hidden="false" customHeight="false" outlineLevel="0" collapsed="false">
      <c r="A4" s="12" t="s">
        <v>97</v>
      </c>
    </row>
    <row r="5" customFormat="false" ht="28.35" hidden="false" customHeight="false" outlineLevel="0" collapsed="false">
      <c r="A5" s="12" t="s">
        <v>98</v>
      </c>
    </row>
    <row r="6" customFormat="false" ht="28.35" hidden="false" customHeight="false" outlineLevel="0" collapsed="false">
      <c r="A6" s="12" t="s">
        <v>99</v>
      </c>
    </row>
    <row r="7" customFormat="false" ht="41.75" hidden="false" customHeight="false" outlineLevel="0" collapsed="false">
      <c r="A7" s="12" t="s">
        <v>100</v>
      </c>
    </row>
    <row r="8" customFormat="false" ht="15" hidden="false" customHeight="false" outlineLevel="0" collapsed="false">
      <c r="A8" s="12" t="s">
        <v>101</v>
      </c>
    </row>
    <row r="9" customFormat="false" ht="28.35" hidden="false" customHeight="false" outlineLevel="0" collapsed="false">
      <c r="A9" s="12" t="s">
        <v>102</v>
      </c>
    </row>
    <row r="10" customFormat="false" ht="15" hidden="false" customHeight="false" outlineLevel="0" collapsed="false">
      <c r="A10" s="12" t="s">
        <v>103</v>
      </c>
    </row>
    <row r="11" customFormat="false" ht="15" hidden="false" customHeight="false" outlineLevel="0" collapsed="false">
      <c r="A11" s="12" t="s">
        <v>104</v>
      </c>
    </row>
    <row r="12" customFormat="false" ht="28.35" hidden="false" customHeight="false" outlineLevel="0" collapsed="false">
      <c r="A12" s="1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2026-10-19T14:12:26Z</dcterms:created>
  <dc:creator>openpyxl</dc:creator>
  <dc:description/>
  <dc:language>en-US</dc:language>
  <cp:lastModifiedBy/>
  <dcterms:modified xsi:type="dcterms:W3CDTF">2026-10-19T14:12:27Z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