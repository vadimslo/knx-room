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Grid" sheetId="2" state="visible" r:id="rId2"/>
    <sheet xmlns:r="http://schemas.openxmlformats.org/officeDocument/2006/relationships" name="Cumulative" sheetId="3" state="visible" r:id="rId3"/>
    <sheet xmlns:r="http://schemas.openxmlformats.org/officeDocument/2006/relationships" name="Check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3" fillId="2" borderId="1" applyAlignment="1" pivotButton="0" quotePrefix="0" xfId="0">
      <alignment vertical="top" wrapText="1"/>
    </xf>
    <xf numFmtId="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8" customWidth="1" min="8" max="8"/>
    <col width="18" customWidth="1" min="9" max="9"/>
    <col width="70" customWidth="1" min="10" max="10"/>
  </cols>
  <sheetData>
    <row r="1">
      <c r="A1" s="1" t="inlineStr">
        <is>
          <t>Inputs: V_04 pocket totals and vesting parameters</t>
        </is>
      </c>
    </row>
    <row r="2">
      <c r="A2" s="2" t="inlineStr">
        <is>
          <t>Source: TRS V_04 (17 September 2026), sheet TRS V_04. Month index T+0 is the TGE working date, 15 September 2027; vesting day is the 15th.</t>
        </is>
      </c>
    </row>
    <row r="4">
      <c r="A4" t="inlineStr">
        <is>
          <t>Total supply (KNX)</t>
        </is>
      </c>
      <c r="B4" s="3" t="n">
        <v>1000000000</v>
      </c>
    </row>
    <row r="5">
      <c r="A5" t="inlineStr">
        <is>
          <t>TGE working date</t>
        </is>
      </c>
      <c r="B5" s="4" t="n">
        <v>46645</v>
      </c>
    </row>
    <row r="6">
      <c r="A6" t="inlineStr">
        <is>
          <t>Emissions cap, year 1 (KNX)</t>
        </is>
      </c>
      <c r="B6" s="3" t="n">
        <v>48000000</v>
      </c>
    </row>
    <row r="7">
      <c r="A7" t="inlineStr">
        <is>
          <t>Emissions cap step-down per year</t>
        </is>
      </c>
      <c r="B7" s="5" t="n">
        <v>0.15</v>
      </c>
    </row>
    <row r="8">
      <c r="A8" t="inlineStr">
        <is>
          <t>Emissions monthly release in year 1 (KNX, T+4 to T+12)</t>
        </is>
      </c>
      <c r="B8" s="3">
        <f>B6/12</f>
        <v>4000000.0</v>
      </c>
    </row>
    <row r="9">
      <c r="A9" t="inlineStr">
        <is>
          <t>Emissions start month</t>
        </is>
      </c>
      <c r="B9" t="n">
        <v>4</v>
      </c>
    </row>
    <row r="11">
      <c r="A11" s="6" t="inlineStr">
        <is>
          <t>Pocket key</t>
        </is>
      </c>
      <c r="B11" s="6" t="inlineStr">
        <is>
          <t>Pocket</t>
        </is>
      </c>
      <c r="C11" s="6" t="inlineStr">
        <is>
          <t>Group</t>
        </is>
      </c>
      <c r="D11" s="6" t="inlineStr">
        <is>
          <t>Total KNX</t>
        </is>
      </c>
      <c r="E11" s="6" t="inlineStr">
        <is>
          <t>Unlocked at TGE (KNX)</t>
        </is>
      </c>
      <c r="F11" s="6" t="inlineStr">
        <is>
          <t>Linear start month</t>
        </is>
      </c>
      <c r="G11" s="6" t="inlineStr">
        <is>
          <t>Linear end month</t>
        </is>
      </c>
      <c r="H11" s="6" t="inlineStr">
        <is>
          <t>Months</t>
        </is>
      </c>
      <c r="I11" s="6" t="inlineStr">
        <is>
          <t>Monthly amount (KNX)</t>
        </is>
      </c>
      <c r="J11" s="6" t="inlineStr">
        <is>
          <t>Vesting as stated in V_04</t>
        </is>
      </c>
    </row>
    <row r="12">
      <c r="A12" t="inlineStr">
        <is>
          <t>saft_0</t>
        </is>
      </c>
      <c r="B12" t="inlineStr">
        <is>
          <t>Pre-seed (Brandon Torres Declet)</t>
        </is>
      </c>
      <c r="C12" t="inlineStr">
        <is>
          <t>Legacy investors</t>
        </is>
      </c>
      <c r="D12" s="3" t="n">
        <v>10331395.2660156</v>
      </c>
      <c r="E12" s="3" t="n">
        <v>0</v>
      </c>
      <c r="F12" t="n">
        <v>13</v>
      </c>
      <c r="G12" t="n">
        <v>60</v>
      </c>
      <c r="H12">
        <f>G12-F12+1</f>
        <v>48.0</v>
      </c>
      <c r="I12" s="7">
        <f>(D12-E12)/H12</f>
        <v>215237.401375325</v>
      </c>
      <c r="J12" t="inlineStr">
        <is>
          <t>(1.03%): 0% TGE, 1Y cliff, 48M linear (T+13-T+60). Post-restructure.</t>
        </is>
      </c>
    </row>
    <row r="13">
      <c r="A13" t="inlineStr">
        <is>
          <t>saft1</t>
        </is>
      </c>
      <c r="B13" t="inlineStr">
        <is>
          <t>Seed (LD Capital)</t>
        </is>
      </c>
      <c r="C13" t="inlineStr">
        <is>
          <t>Legacy investors</t>
        </is>
      </c>
      <c r="D13" s="3" t="n">
        <v>27309256.4103347</v>
      </c>
      <c r="E13" s="3" t="n">
        <v>0</v>
      </c>
      <c r="F13" t="n">
        <v>13</v>
      </c>
      <c r="G13" t="n">
        <v>60</v>
      </c>
      <c r="H13">
        <f>G13-F13+1</f>
        <v>48.0</v>
      </c>
      <c r="I13" s="7">
        <f>(D13-E13)/H13</f>
        <v>568942.8418819729</v>
      </c>
      <c r="J13" t="inlineStr">
        <is>
          <t>(2.73%): 0% TGE, 1Y cliff, 48M linear (T+13-T+60). Post-restructure.</t>
        </is>
      </c>
    </row>
    <row r="14">
      <c r="A14" t="inlineStr">
        <is>
          <t>saft_2</t>
        </is>
      </c>
      <c r="B14" t="inlineStr">
        <is>
          <t>Seed (Cogitent Ventures)</t>
        </is>
      </c>
      <c r="C14" t="inlineStr">
        <is>
          <t>Legacy investors</t>
        </is>
      </c>
      <c r="D14" s="3" t="n">
        <v>16385553.8462008</v>
      </c>
      <c r="E14" s="3" t="n">
        <v>0</v>
      </c>
      <c r="F14" t="n">
        <v>13</v>
      </c>
      <c r="G14" t="n">
        <v>60</v>
      </c>
      <c r="H14">
        <f>G14-F14+1</f>
        <v>48.0</v>
      </c>
      <c r="I14" s="7">
        <f>(D14-E14)/H14</f>
        <v>341365.7051291833</v>
      </c>
      <c r="J14" t="inlineStr">
        <is>
          <t>(1.64%): 0% TGE, 1Y cliff, 48M linear (T+13-T+60). Post-restructure.</t>
        </is>
      </c>
    </row>
    <row r="15">
      <c r="A15" t="inlineStr">
        <is>
          <t>saft_3</t>
        </is>
      </c>
      <c r="B15" t="inlineStr">
        <is>
          <t>Seed (Leland Ventures)</t>
        </is>
      </c>
      <c r="C15" t="inlineStr">
        <is>
          <t>Legacy investors</t>
        </is>
      </c>
      <c r="D15" s="3" t="n">
        <v>10923702.5641339</v>
      </c>
      <c r="E15" s="3" t="n">
        <v>0</v>
      </c>
      <c r="F15" t="n">
        <v>13</v>
      </c>
      <c r="G15" t="n">
        <v>60</v>
      </c>
      <c r="H15">
        <f>G15-F15+1</f>
        <v>48.0</v>
      </c>
      <c r="I15" s="7">
        <f>(D15-E15)/H15</f>
        <v>227577.1367527896</v>
      </c>
      <c r="J15" t="inlineStr">
        <is>
          <t>(1.09%): 0% TGE, 1Y cliff, 48M linear (T+13-T+60). Post-restructure.</t>
        </is>
      </c>
    </row>
    <row r="16">
      <c r="A16" t="inlineStr">
        <is>
          <t>saft_4</t>
        </is>
      </c>
      <c r="B16" t="inlineStr">
        <is>
          <t>Seed (M77 Ventures)</t>
        </is>
      </c>
      <c r="C16" t="inlineStr">
        <is>
          <t>Legacy investors</t>
        </is>
      </c>
      <c r="D16" s="3" t="n">
        <v>10923702.5641339</v>
      </c>
      <c r="E16" s="3" t="n">
        <v>0</v>
      </c>
      <c r="F16" t="n">
        <v>13</v>
      </c>
      <c r="G16" t="n">
        <v>60</v>
      </c>
      <c r="H16">
        <f>G16-F16+1</f>
        <v>48.0</v>
      </c>
      <c r="I16" s="7">
        <f>(D16-E16)/H16</f>
        <v>227577.1367527896</v>
      </c>
      <c r="J16" t="inlineStr">
        <is>
          <t>(1.09%): 0% TGE, 1Y cliff, 48M linear (T+13-T+60). Post-restructure.</t>
        </is>
      </c>
    </row>
    <row r="17">
      <c r="A17" t="inlineStr">
        <is>
          <t>saft_5</t>
        </is>
      </c>
      <c r="B17" t="inlineStr">
        <is>
          <t>Seed (Block Maven LLC)</t>
        </is>
      </c>
      <c r="C17" t="inlineStr">
        <is>
          <t>Legacy investors</t>
        </is>
      </c>
      <c r="D17" s="3" t="n">
        <v>10923702.5641339</v>
      </c>
      <c r="E17" s="3" t="n">
        <v>0</v>
      </c>
      <c r="F17" t="n">
        <v>13</v>
      </c>
      <c r="G17" t="n">
        <v>60</v>
      </c>
      <c r="H17">
        <f>G17-F17+1</f>
        <v>48.0</v>
      </c>
      <c r="I17" s="7">
        <f>(D17-E17)/H17</f>
        <v>227577.1367527896</v>
      </c>
      <c r="J17" t="inlineStr">
        <is>
          <t>(1.09%): 0% TGE, 1Y cliff, 48M linear (T+13-T+60). Post-restructure.</t>
        </is>
      </c>
    </row>
    <row r="18">
      <c r="A18" t="inlineStr">
        <is>
          <t>saft_6</t>
        </is>
      </c>
      <c r="B18" t="inlineStr">
        <is>
          <t>Seed (Covey)</t>
        </is>
      </c>
      <c r="C18" t="inlineStr">
        <is>
          <t>Legacy investors</t>
        </is>
      </c>
      <c r="D18" s="3" t="n">
        <v>10923702.5641339</v>
      </c>
      <c r="E18" s="3" t="n">
        <v>0</v>
      </c>
      <c r="F18" t="n">
        <v>13</v>
      </c>
      <c r="G18" t="n">
        <v>60</v>
      </c>
      <c r="H18">
        <f>G18-F18+1</f>
        <v>48.0</v>
      </c>
      <c r="I18" s="7">
        <f>(D18-E18)/H18</f>
        <v>227577.1367527896</v>
      </c>
      <c r="J18" t="inlineStr">
        <is>
          <t>(1.09%): 0% TGE, 1Y cliff, 48M linear (T+13-T+60). Post-restructure.</t>
        </is>
      </c>
    </row>
    <row r="19">
      <c r="A19" t="inlineStr">
        <is>
          <t>kol_round_tokens_sent_to_mkt_agencies</t>
        </is>
      </c>
      <c r="B19" t="inlineStr">
        <is>
          <t>KOL round</t>
        </is>
      </c>
      <c r="C19" t="inlineStr">
        <is>
          <t>Legacy investors</t>
        </is>
      </c>
      <c r="D19" s="3" t="n">
        <v>2278984.22091329</v>
      </c>
      <c r="E19" s="3" t="n">
        <v>0</v>
      </c>
      <c r="F19" t="n">
        <v>13</v>
      </c>
      <c r="G19" t="n">
        <v>60</v>
      </c>
      <c r="H19">
        <f>G19-F19+1</f>
        <v>48.0</v>
      </c>
      <c r="I19" s="7">
        <f>(D19-E19)/H19</f>
        <v>47478.8379356935</v>
      </c>
      <c r="J19" t="inlineStr">
        <is>
          <t>(0.23%): 0% TGE, 1Y cliff, 48M linear (T+13-T+60). Post-restructure.</t>
        </is>
      </c>
    </row>
    <row r="20">
      <c r="A20" t="inlineStr">
        <is>
          <t>new_round</t>
        </is>
      </c>
      <c r="B20" t="inlineStr">
        <is>
          <t>New round</t>
        </is>
      </c>
      <c r="C20" t="inlineStr">
        <is>
          <t>New round</t>
        </is>
      </c>
      <c r="D20" s="3" t="n">
        <v>200000000</v>
      </c>
      <c r="E20" s="3" t="n">
        <v>0</v>
      </c>
      <c r="F20" t="n">
        <v>13</v>
      </c>
      <c r="G20" t="n">
        <v>36</v>
      </c>
      <c r="H20">
        <f>G20-F20+1</f>
        <v>24.0</v>
      </c>
      <c r="I20" s="7">
        <f>(D20-E20)/H20</f>
        <v>8333333.333333333</v>
      </c>
      <c r="J20" t="inlineStr">
        <is>
          <t>(20.00%): 0% TGE, 1Y cliff, 24M linear (T+13-T+36).</t>
        </is>
      </c>
    </row>
    <row r="21">
      <c r="A21" t="inlineStr">
        <is>
          <t>mining_validator_emissions_development</t>
        </is>
      </c>
      <c r="B21" t="inlineStr">
        <is>
          <t>Mining and validator emissions</t>
        </is>
      </c>
      <c r="C21" t="inlineStr">
        <is>
          <t>Emissions</t>
        </is>
      </c>
      <c r="D21" s="3" t="n">
        <v>430000000</v>
      </c>
      <c r="E21" s="3" t="n">
        <v>0</v>
      </c>
      <c r="F21" t="n">
        <v>4</v>
      </c>
      <c r="G21" t="inlineStr">
        <is>
          <t>cap</t>
        </is>
      </c>
      <c r="H21" t="inlineStr">
        <is>
          <t>cap</t>
        </is>
      </c>
      <c r="I21" t="inlineStr">
        <is>
          <t>see rows 6 to 9</t>
        </is>
      </c>
      <c r="J21" t="inlineStr">
        <is>
          <t>Declining annual cap: 48M in Yr1, stepping down 15%/yr; actual issuance = lesser of the cap and a usage-linked formula (KNX per verified attested task, halving annually). Starts T+4.</t>
        </is>
      </c>
    </row>
    <row r="22">
      <c r="A22" t="inlineStr">
        <is>
          <t>marketing</t>
        </is>
      </c>
      <c r="B22" t="inlineStr">
        <is>
          <t>Marketing and exchanges</t>
        </is>
      </c>
      <c r="C22" t="inlineStr">
        <is>
          <t>Marketing</t>
        </is>
      </c>
      <c r="D22" s="3" t="n">
        <v>95000000</v>
      </c>
      <c r="E22" s="3" t="n">
        <v>40000000</v>
      </c>
      <c r="F22" t="n">
        <v>1</v>
      </c>
      <c r="G22" t="n">
        <v>30</v>
      </c>
      <c r="H22">
        <f>G22-F22+1</f>
        <v>30.0</v>
      </c>
      <c r="I22" s="7">
        <f>(D22-E22)/H22</f>
        <v>1833333.3333333333</v>
      </c>
      <c r="J22" t="inlineStr">
        <is>
          <t>(9.50%): 40M unlocked at TGE (itemised against listing &amp; liquidity obligations); 55M linear T+1-T+30.</t>
        </is>
      </c>
    </row>
    <row r="23">
      <c r="A23" t="inlineStr">
        <is>
          <t>treasury_and_reserves</t>
        </is>
      </c>
      <c r="B23" t="inlineStr">
        <is>
          <t>Treasury and reserves</t>
        </is>
      </c>
      <c r="C23" t="inlineStr">
        <is>
          <t>Treasury</t>
        </is>
      </c>
      <c r="D23" s="3" t="n">
        <v>50000000</v>
      </c>
      <c r="E23" s="3" t="n">
        <v>1000000</v>
      </c>
      <c r="F23" t="n">
        <v>7</v>
      </c>
      <c r="G23" t="n">
        <v>36</v>
      </c>
      <c r="H23">
        <f>G23-F23+1</f>
        <v>30.0</v>
      </c>
      <c r="I23" s="7">
        <f>(D23-E23)/H23</f>
        <v>1633333.3333333333</v>
      </c>
      <c r="J23" t="inlineStr">
        <is>
          <t>(5.00%): 2% TGE, 6M cliff on remainder, 2.5Y linear monthly vesting (M7 to M36)</t>
        </is>
      </c>
    </row>
    <row r="24">
      <c r="A24" t="inlineStr">
        <is>
          <t>foundation</t>
        </is>
      </c>
      <c r="B24" t="inlineStr">
        <is>
          <t>Foundation</t>
        </is>
      </c>
      <c r="C24" t="inlineStr">
        <is>
          <t>Foundation</t>
        </is>
      </c>
      <c r="D24" s="3" t="n">
        <v>40000000</v>
      </c>
      <c r="E24" s="3" t="n">
        <v>1000000</v>
      </c>
      <c r="F24" t="n">
        <v>13</v>
      </c>
      <c r="G24" t="n">
        <v>36</v>
      </c>
      <c r="H24">
        <f>G24-F24+1</f>
        <v>24.0</v>
      </c>
      <c r="I24" s="7">
        <f>(D24-E24)/H24</f>
        <v>1625000.0</v>
      </c>
      <c r="J24" t="inlineStr">
        <is>
          <t>(4.00%): 2.5% TGE, 1Y cliff on remainder, 2Y linear monthly vesting (M12 to M36)</t>
        </is>
      </c>
    </row>
    <row r="25">
      <c r="A25" t="inlineStr">
        <is>
          <t>team</t>
        </is>
      </c>
      <c r="B25" t="inlineStr">
        <is>
          <t>Team and advisors</t>
        </is>
      </c>
      <c r="C25" t="inlineStr">
        <is>
          <t>Team</t>
        </is>
      </c>
      <c r="D25" s="3" t="n">
        <v>50000000</v>
      </c>
      <c r="E25" s="3" t="n">
        <v>0</v>
      </c>
      <c r="F25" t="n">
        <v>14</v>
      </c>
      <c r="G25" t="n">
        <v>38</v>
      </c>
      <c r="H25">
        <f>G25-F25+1</f>
        <v>25.0</v>
      </c>
      <c r="I25" s="7">
        <f>(D25-E25)/H25</f>
        <v>2000000.0</v>
      </c>
      <c r="J25" t="inlineStr">
        <is>
          <t>(5.00%): 0% TGE, 1Y cliff on remainder, 2Y linear monthly vesting (M13 to M38)</t>
        </is>
      </c>
    </row>
    <row r="26">
      <c r="A26" t="inlineStr">
        <is>
          <t>liquidity_mm</t>
        </is>
      </c>
      <c r="B26" t="inlineStr">
        <is>
          <t>Liquidity / market making</t>
        </is>
      </c>
      <c r="C26" t="inlineStr">
        <is>
          <t>Liquidity</t>
        </is>
      </c>
      <c r="D26" s="3" t="n">
        <v>30000000</v>
      </c>
      <c r="E26" s="3" t="n">
        <v>30000000</v>
      </c>
      <c r="F26" t="n">
        <v>0</v>
      </c>
      <c r="G26" t="n">
        <v>0</v>
      </c>
      <c r="H26" t="n">
        <v>0</v>
      </c>
      <c r="I26" s="3" t="n">
        <v>0</v>
      </c>
      <c r="J26" t="inlineStr">
        <is>
          <t>(3.00%): Fully unlock at TGE - market-maker retainer inventory.</t>
        </is>
      </c>
    </row>
    <row r="27">
      <c r="A27" t="inlineStr">
        <is>
          <t>community_airdrop</t>
        </is>
      </c>
      <c r="B27" t="inlineStr">
        <is>
          <t>Community airdrop</t>
        </is>
      </c>
      <c r="C27" t="inlineStr">
        <is>
          <t>Airdrop</t>
        </is>
      </c>
      <c r="D27" s="3" t="n">
        <v>5000000</v>
      </c>
      <c r="E27" s="3" t="n">
        <v>5000000</v>
      </c>
      <c r="F27" t="n">
        <v>0</v>
      </c>
      <c r="G27" t="n">
        <v>0</v>
      </c>
      <c r="H27" t="n">
        <v>0</v>
      </c>
      <c r="I27" s="3" t="n">
        <v>0</v>
      </c>
      <c r="J27" t="inlineStr">
        <is>
          <t>(0.50%): Fully unlock at TGE - retroactive, unconditional community airdrop.</t>
        </is>
      </c>
    </row>
    <row r="28">
      <c r="A28" s="8" t="inlineStr">
        <is>
          <t>Total</t>
        </is>
      </c>
      <c r="D28" s="3">
        <f>SUM(D12:D27)</f>
        <v>1000000000.0</v>
      </c>
      <c r="E28" s="3">
        <f>SUM(E12:E27)</f>
        <v>77000000.0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0" customWidth="1" min="20" max="20"/>
    <col width="14" customWidth="1" min="21" max="21"/>
  </cols>
  <sheetData>
    <row r="1">
      <c r="A1" s="1" t="inlineStr">
        <is>
          <t>Monthly unlock by pocket, T+0 to T+84 (formulas driven by Inputs)</t>
        </is>
      </c>
    </row>
    <row r="2">
      <c r="A2" s="2" t="inlineStr">
        <is>
          <t>Columns C onward: KNX unlocked in that month. Circulating is the running total. Beyond T+84 the emissions remainder is a ceiling under the cap, not scheduled supply.</t>
        </is>
      </c>
    </row>
    <row r="4">
      <c r="A4" s="6" t="inlineStr">
        <is>
          <t>Month</t>
        </is>
      </c>
      <c r="B4" s="6" t="inlineStr">
        <is>
          <t>Date</t>
        </is>
      </c>
      <c r="C4" s="6" t="inlineStr">
        <is>
          <t>Pre-seed (Brandon Torres Declet)</t>
        </is>
      </c>
      <c r="D4" s="6" t="inlineStr">
        <is>
          <t>Seed (LD Capital)</t>
        </is>
      </c>
      <c r="E4" s="6" t="inlineStr">
        <is>
          <t>Seed (Cogitent Ventures)</t>
        </is>
      </c>
      <c r="F4" s="6" t="inlineStr">
        <is>
          <t>Seed (Leland Ventures)</t>
        </is>
      </c>
      <c r="G4" s="6" t="inlineStr">
        <is>
          <t>Seed (M77 Ventures)</t>
        </is>
      </c>
      <c r="H4" s="6" t="inlineStr">
        <is>
          <t>Seed (Block Maven LLC)</t>
        </is>
      </c>
      <c r="I4" s="6" t="inlineStr">
        <is>
          <t>Seed (Covey)</t>
        </is>
      </c>
      <c r="J4" s="6" t="inlineStr">
        <is>
          <t>KOL round</t>
        </is>
      </c>
      <c r="K4" s="6" t="inlineStr">
        <is>
          <t>New round</t>
        </is>
      </c>
      <c r="L4" s="6" t="inlineStr">
        <is>
          <t>Mining and validator emissions</t>
        </is>
      </c>
      <c r="M4" s="6" t="inlineStr">
        <is>
          <t>Marketing and exchanges</t>
        </is>
      </c>
      <c r="N4" s="6" t="inlineStr">
        <is>
          <t>Treasury and reserves</t>
        </is>
      </c>
      <c r="O4" s="6" t="inlineStr">
        <is>
          <t>Foundation</t>
        </is>
      </c>
      <c r="P4" s="6" t="inlineStr">
        <is>
          <t>Team and advisors</t>
        </is>
      </c>
      <c r="Q4" s="6" t="inlineStr">
        <is>
          <t>Liquidity / market making</t>
        </is>
      </c>
      <c r="R4" s="6" t="inlineStr">
        <is>
          <t>Community airdrop</t>
        </is>
      </c>
      <c r="S4" s="6" t="inlineStr">
        <is>
          <t>Monthly total</t>
        </is>
      </c>
      <c r="T4" s="6" t="inlineStr">
        <is>
          <t>Circulating (cumulative)</t>
        </is>
      </c>
      <c r="U4" s="6" t="inlineStr">
        <is>
          <t>Circulating % of supply</t>
        </is>
      </c>
    </row>
    <row r="5">
      <c r="A5" t="n">
        <v>0</v>
      </c>
      <c r="B5" s="4">
        <f>EDATE(Inputs!$B$5,A5)</f>
        <v>46645.0</v>
      </c>
      <c r="C5" s="3">
        <f>IF(A5=0,Inputs!$E$12,IF(AND(A5&gt;=Inputs!$F$12,A5&lt;=Inputs!$G$12),Inputs!$I$12,0))</f>
        <v>0.0</v>
      </c>
      <c r="D5" s="3">
        <f>IF(A5=0,Inputs!$E$13,IF(AND(A5&gt;=Inputs!$F$13,A5&lt;=Inputs!$G$13),Inputs!$I$13,0))</f>
        <v>0.0</v>
      </c>
      <c r="E5" s="3">
        <f>IF(A5=0,Inputs!$E$14,IF(AND(A5&gt;=Inputs!$F$14,A5&lt;=Inputs!$G$14),Inputs!$I$14,0))</f>
        <v>0.0</v>
      </c>
      <c r="F5" s="3">
        <f>IF(A5=0,Inputs!$E$15,IF(AND(A5&gt;=Inputs!$F$15,A5&lt;=Inputs!$G$15),Inputs!$I$15,0))</f>
        <v>0.0</v>
      </c>
      <c r="G5" s="3">
        <f>IF(A5=0,Inputs!$E$16,IF(AND(A5&gt;=Inputs!$F$16,A5&lt;=Inputs!$G$16),Inputs!$I$16,0))</f>
        <v>0.0</v>
      </c>
      <c r="H5" s="3">
        <f>IF(A5=0,Inputs!$E$17,IF(AND(A5&gt;=Inputs!$F$17,A5&lt;=Inputs!$G$17),Inputs!$I$17,0))</f>
        <v>0.0</v>
      </c>
      <c r="I5" s="3">
        <f>IF(A5=0,Inputs!$E$18,IF(AND(A5&gt;=Inputs!$F$18,A5&lt;=Inputs!$G$18),Inputs!$I$18,0))</f>
        <v>0.0</v>
      </c>
      <c r="J5" s="3">
        <f>IF(A5=0,Inputs!$E$19,IF(AND(A5&gt;=Inputs!$F$19,A5&lt;=Inputs!$G$19),Inputs!$I$19,0))</f>
        <v>0.0</v>
      </c>
      <c r="K5" s="3">
        <f>IF(A5=0,Inputs!$E$20,IF(AND(A5&gt;=Inputs!$F$20,A5&lt;=Inputs!$G$20),Inputs!$I$20,0))</f>
        <v>0.0</v>
      </c>
      <c r="L5" s="3">
        <f>IF(A5&lt;Inputs!$B$9,0,IF(A5&lt;=12,Inputs!$B$8,Inputs!$B$6*(1-Inputs!$B$7)^(INT((A5-13)/12)+1)/12))</f>
        <v>0.0</v>
      </c>
      <c r="M5" s="3">
        <f>IF(A5=0,Inputs!$E$22,IF(AND(A5&gt;=Inputs!$F$22,A5&lt;=Inputs!$G$22),Inputs!$I$22,0))</f>
        <v>40000000.0</v>
      </c>
      <c r="N5" s="3">
        <f>IF(A5=0,Inputs!$E$23,IF(AND(A5&gt;=Inputs!$F$23,A5&lt;=Inputs!$G$23),Inputs!$I$23,0))</f>
        <v>1000000.0</v>
      </c>
      <c r="O5" s="3">
        <f>IF(A5=0,Inputs!$E$24,IF(AND(A5&gt;=Inputs!$F$24,A5&lt;=Inputs!$G$24),Inputs!$I$24,0))</f>
        <v>1000000.0</v>
      </c>
      <c r="P5" s="3">
        <f>IF(A5=0,Inputs!$E$25,IF(AND(A5&gt;=Inputs!$F$25,A5&lt;=Inputs!$G$25),Inputs!$I$25,0))</f>
        <v>0.0</v>
      </c>
      <c r="Q5" s="3">
        <f>IF(A5=0,Inputs!$E$26,IF(AND(A5&gt;=Inputs!$F$26,A5&lt;=Inputs!$G$26),Inputs!$I$26,0))</f>
        <v>30000000.0</v>
      </c>
      <c r="R5" s="3">
        <f>IF(A5=0,Inputs!$E$27,IF(AND(A5&gt;=Inputs!$F$27,A5&lt;=Inputs!$G$27),Inputs!$I$27,0))</f>
        <v>5000000.0</v>
      </c>
      <c r="S5" s="3">
        <f>SUM(C5:R5)</f>
        <v>77000000.0</v>
      </c>
      <c r="T5" s="3">
        <f>S5</f>
        <v>77000000.0</v>
      </c>
      <c r="U5" s="9">
        <f>T5/Inputs!$B$4</f>
        <v>0.077</v>
      </c>
    </row>
    <row r="6">
      <c r="A6" t="n">
        <v>1</v>
      </c>
      <c r="B6" s="4">
        <f>EDATE(Inputs!$B$5,A6)</f>
        <v>46675.0</v>
      </c>
      <c r="C6" s="3">
        <f>IF(A6=0,Inputs!$E$12,IF(AND(A6&gt;=Inputs!$F$12,A6&lt;=Inputs!$G$12),Inputs!$I$12,0))</f>
        <v>0.0</v>
      </c>
      <c r="D6" s="3">
        <f>IF(A6=0,Inputs!$E$13,IF(AND(A6&gt;=Inputs!$F$13,A6&lt;=Inputs!$G$13),Inputs!$I$13,0))</f>
        <v>0.0</v>
      </c>
      <c r="E6" s="3">
        <f>IF(A6=0,Inputs!$E$14,IF(AND(A6&gt;=Inputs!$F$14,A6&lt;=Inputs!$G$14),Inputs!$I$14,0))</f>
        <v>0.0</v>
      </c>
      <c r="F6" s="3">
        <f>IF(A6=0,Inputs!$E$15,IF(AND(A6&gt;=Inputs!$F$15,A6&lt;=Inputs!$G$15),Inputs!$I$15,0))</f>
        <v>0.0</v>
      </c>
      <c r="G6" s="3">
        <f>IF(A6=0,Inputs!$E$16,IF(AND(A6&gt;=Inputs!$F$16,A6&lt;=Inputs!$G$16),Inputs!$I$16,0))</f>
        <v>0.0</v>
      </c>
      <c r="H6" s="3">
        <f>IF(A6=0,Inputs!$E$17,IF(AND(A6&gt;=Inputs!$F$17,A6&lt;=Inputs!$G$17),Inputs!$I$17,0))</f>
        <v>0.0</v>
      </c>
      <c r="I6" s="3">
        <f>IF(A6=0,Inputs!$E$18,IF(AND(A6&gt;=Inputs!$F$18,A6&lt;=Inputs!$G$18),Inputs!$I$18,0))</f>
        <v>0.0</v>
      </c>
      <c r="J6" s="3">
        <f>IF(A6=0,Inputs!$E$19,IF(AND(A6&gt;=Inputs!$F$19,A6&lt;=Inputs!$G$19),Inputs!$I$19,0))</f>
        <v>0.0</v>
      </c>
      <c r="K6" s="3">
        <f>IF(A6=0,Inputs!$E$20,IF(AND(A6&gt;=Inputs!$F$20,A6&lt;=Inputs!$G$20),Inputs!$I$20,0))</f>
        <v>0.0</v>
      </c>
      <c r="L6" s="3">
        <f>IF(A6&lt;Inputs!$B$9,0,IF(A6&lt;=12,Inputs!$B$8,Inputs!$B$6*(1-Inputs!$B$7)^(INT((A6-13)/12)+1)/12))</f>
        <v>0.0</v>
      </c>
      <c r="M6" s="3">
        <f>IF(A6=0,Inputs!$E$22,IF(AND(A6&gt;=Inputs!$F$22,A6&lt;=Inputs!$G$22),Inputs!$I$22,0))</f>
        <v>1833333.3333333333</v>
      </c>
      <c r="N6" s="3">
        <f>IF(A6=0,Inputs!$E$23,IF(AND(A6&gt;=Inputs!$F$23,A6&lt;=Inputs!$G$23),Inputs!$I$23,0))</f>
        <v>0.0</v>
      </c>
      <c r="O6" s="3">
        <f>IF(A6=0,Inputs!$E$24,IF(AND(A6&gt;=Inputs!$F$24,A6&lt;=Inputs!$G$24),Inputs!$I$24,0))</f>
        <v>0.0</v>
      </c>
      <c r="P6" s="3">
        <f>IF(A6=0,Inputs!$E$25,IF(AND(A6&gt;=Inputs!$F$25,A6&lt;=Inputs!$G$25),Inputs!$I$25,0))</f>
        <v>0.0</v>
      </c>
      <c r="Q6" s="3">
        <f>IF(A6=0,Inputs!$E$26,IF(AND(A6&gt;=Inputs!$F$26,A6&lt;=Inputs!$G$26),Inputs!$I$26,0))</f>
        <v>0.0</v>
      </c>
      <c r="R6" s="3">
        <f>IF(A6=0,Inputs!$E$27,IF(AND(A6&gt;=Inputs!$F$27,A6&lt;=Inputs!$G$27),Inputs!$I$27,0))</f>
        <v>0.0</v>
      </c>
      <c r="S6" s="3">
        <f>SUM(C6:R6)</f>
        <v>1833333.3333333333</v>
      </c>
      <c r="T6" s="3">
        <f>T5+S6</f>
        <v>78833333.33333333</v>
      </c>
      <c r="U6" s="9">
        <f>T6/Inputs!$B$4</f>
        <v>0.0788333333</v>
      </c>
    </row>
    <row r="7">
      <c r="A7" t="n">
        <v>2</v>
      </c>
      <c r="B7" s="4">
        <f>EDATE(Inputs!$B$5,A7)</f>
        <v>46706.0</v>
      </c>
      <c r="C7" s="3">
        <f>IF(A7=0,Inputs!$E$12,IF(AND(A7&gt;=Inputs!$F$12,A7&lt;=Inputs!$G$12),Inputs!$I$12,0))</f>
        <v>0.0</v>
      </c>
      <c r="D7" s="3">
        <f>IF(A7=0,Inputs!$E$13,IF(AND(A7&gt;=Inputs!$F$13,A7&lt;=Inputs!$G$13),Inputs!$I$13,0))</f>
        <v>0.0</v>
      </c>
      <c r="E7" s="3">
        <f>IF(A7=0,Inputs!$E$14,IF(AND(A7&gt;=Inputs!$F$14,A7&lt;=Inputs!$G$14),Inputs!$I$14,0))</f>
        <v>0.0</v>
      </c>
      <c r="F7" s="3">
        <f>IF(A7=0,Inputs!$E$15,IF(AND(A7&gt;=Inputs!$F$15,A7&lt;=Inputs!$G$15),Inputs!$I$15,0))</f>
        <v>0.0</v>
      </c>
      <c r="G7" s="3">
        <f>IF(A7=0,Inputs!$E$16,IF(AND(A7&gt;=Inputs!$F$16,A7&lt;=Inputs!$G$16),Inputs!$I$16,0))</f>
        <v>0.0</v>
      </c>
      <c r="H7" s="3">
        <f>IF(A7=0,Inputs!$E$17,IF(AND(A7&gt;=Inputs!$F$17,A7&lt;=Inputs!$G$17),Inputs!$I$17,0))</f>
        <v>0.0</v>
      </c>
      <c r="I7" s="3">
        <f>IF(A7=0,Inputs!$E$18,IF(AND(A7&gt;=Inputs!$F$18,A7&lt;=Inputs!$G$18),Inputs!$I$18,0))</f>
        <v>0.0</v>
      </c>
      <c r="J7" s="3">
        <f>IF(A7=0,Inputs!$E$19,IF(AND(A7&gt;=Inputs!$F$19,A7&lt;=Inputs!$G$19),Inputs!$I$19,0))</f>
        <v>0.0</v>
      </c>
      <c r="K7" s="3">
        <f>IF(A7=0,Inputs!$E$20,IF(AND(A7&gt;=Inputs!$F$20,A7&lt;=Inputs!$G$20),Inputs!$I$20,0))</f>
        <v>0.0</v>
      </c>
      <c r="L7" s="3">
        <f>IF(A7&lt;Inputs!$B$9,0,IF(A7&lt;=12,Inputs!$B$8,Inputs!$B$6*(1-Inputs!$B$7)^(INT((A7-13)/12)+1)/12))</f>
        <v>0.0</v>
      </c>
      <c r="M7" s="3">
        <f>IF(A7=0,Inputs!$E$22,IF(AND(A7&gt;=Inputs!$F$22,A7&lt;=Inputs!$G$22),Inputs!$I$22,0))</f>
        <v>1833333.3333333333</v>
      </c>
      <c r="N7" s="3">
        <f>IF(A7=0,Inputs!$E$23,IF(AND(A7&gt;=Inputs!$F$23,A7&lt;=Inputs!$G$23),Inputs!$I$23,0))</f>
        <v>0.0</v>
      </c>
      <c r="O7" s="3">
        <f>IF(A7=0,Inputs!$E$24,IF(AND(A7&gt;=Inputs!$F$24,A7&lt;=Inputs!$G$24),Inputs!$I$24,0))</f>
        <v>0.0</v>
      </c>
      <c r="P7" s="3">
        <f>IF(A7=0,Inputs!$E$25,IF(AND(A7&gt;=Inputs!$F$25,A7&lt;=Inputs!$G$25),Inputs!$I$25,0))</f>
        <v>0.0</v>
      </c>
      <c r="Q7" s="3">
        <f>IF(A7=0,Inputs!$E$26,IF(AND(A7&gt;=Inputs!$F$26,A7&lt;=Inputs!$G$26),Inputs!$I$26,0))</f>
        <v>0.0</v>
      </c>
      <c r="R7" s="3">
        <f>IF(A7=0,Inputs!$E$27,IF(AND(A7&gt;=Inputs!$F$27,A7&lt;=Inputs!$G$27),Inputs!$I$27,0))</f>
        <v>0.0</v>
      </c>
      <c r="S7" s="3">
        <f>SUM(C7:R7)</f>
        <v>1833333.3333333333</v>
      </c>
      <c r="T7" s="3">
        <f>T6+S7</f>
        <v>80666666.66666666</v>
      </c>
      <c r="U7" s="9">
        <f>T7/Inputs!$B$4</f>
        <v>0.0806666667</v>
      </c>
    </row>
    <row r="8">
      <c r="A8" t="n">
        <v>3</v>
      </c>
      <c r="B8" s="4">
        <f>EDATE(Inputs!$B$5,A8)</f>
        <v>46736.0</v>
      </c>
      <c r="C8" s="3">
        <f>IF(A8=0,Inputs!$E$12,IF(AND(A8&gt;=Inputs!$F$12,A8&lt;=Inputs!$G$12),Inputs!$I$12,0))</f>
        <v>0.0</v>
      </c>
      <c r="D8" s="3">
        <f>IF(A8=0,Inputs!$E$13,IF(AND(A8&gt;=Inputs!$F$13,A8&lt;=Inputs!$G$13),Inputs!$I$13,0))</f>
        <v>0.0</v>
      </c>
      <c r="E8" s="3">
        <f>IF(A8=0,Inputs!$E$14,IF(AND(A8&gt;=Inputs!$F$14,A8&lt;=Inputs!$G$14),Inputs!$I$14,0))</f>
        <v>0.0</v>
      </c>
      <c r="F8" s="3">
        <f>IF(A8=0,Inputs!$E$15,IF(AND(A8&gt;=Inputs!$F$15,A8&lt;=Inputs!$G$15),Inputs!$I$15,0))</f>
        <v>0.0</v>
      </c>
      <c r="G8" s="3">
        <f>IF(A8=0,Inputs!$E$16,IF(AND(A8&gt;=Inputs!$F$16,A8&lt;=Inputs!$G$16),Inputs!$I$16,0))</f>
        <v>0.0</v>
      </c>
      <c r="H8" s="3">
        <f>IF(A8=0,Inputs!$E$17,IF(AND(A8&gt;=Inputs!$F$17,A8&lt;=Inputs!$G$17),Inputs!$I$17,0))</f>
        <v>0.0</v>
      </c>
      <c r="I8" s="3">
        <f>IF(A8=0,Inputs!$E$18,IF(AND(A8&gt;=Inputs!$F$18,A8&lt;=Inputs!$G$18),Inputs!$I$18,0))</f>
        <v>0.0</v>
      </c>
      <c r="J8" s="3">
        <f>IF(A8=0,Inputs!$E$19,IF(AND(A8&gt;=Inputs!$F$19,A8&lt;=Inputs!$G$19),Inputs!$I$19,0))</f>
        <v>0.0</v>
      </c>
      <c r="K8" s="3">
        <f>IF(A8=0,Inputs!$E$20,IF(AND(A8&gt;=Inputs!$F$20,A8&lt;=Inputs!$G$20),Inputs!$I$20,0))</f>
        <v>0.0</v>
      </c>
      <c r="L8" s="3">
        <f>IF(A8&lt;Inputs!$B$9,0,IF(A8&lt;=12,Inputs!$B$8,Inputs!$B$6*(1-Inputs!$B$7)^(INT((A8-13)/12)+1)/12))</f>
        <v>0.0</v>
      </c>
      <c r="M8" s="3">
        <f>IF(A8=0,Inputs!$E$22,IF(AND(A8&gt;=Inputs!$F$22,A8&lt;=Inputs!$G$22),Inputs!$I$22,0))</f>
        <v>1833333.3333333333</v>
      </c>
      <c r="N8" s="3">
        <f>IF(A8=0,Inputs!$E$23,IF(AND(A8&gt;=Inputs!$F$23,A8&lt;=Inputs!$G$23),Inputs!$I$23,0))</f>
        <v>0.0</v>
      </c>
      <c r="O8" s="3">
        <f>IF(A8=0,Inputs!$E$24,IF(AND(A8&gt;=Inputs!$F$24,A8&lt;=Inputs!$G$24),Inputs!$I$24,0))</f>
        <v>0.0</v>
      </c>
      <c r="P8" s="3">
        <f>IF(A8=0,Inputs!$E$25,IF(AND(A8&gt;=Inputs!$F$25,A8&lt;=Inputs!$G$25),Inputs!$I$25,0))</f>
        <v>0.0</v>
      </c>
      <c r="Q8" s="3">
        <f>IF(A8=0,Inputs!$E$26,IF(AND(A8&gt;=Inputs!$F$26,A8&lt;=Inputs!$G$26),Inputs!$I$26,0))</f>
        <v>0.0</v>
      </c>
      <c r="R8" s="3">
        <f>IF(A8=0,Inputs!$E$27,IF(AND(A8&gt;=Inputs!$F$27,A8&lt;=Inputs!$G$27),Inputs!$I$27,0))</f>
        <v>0.0</v>
      </c>
      <c r="S8" s="3">
        <f>SUM(C8:R8)</f>
        <v>1833333.3333333333</v>
      </c>
      <c r="T8" s="3">
        <f>T7+S8</f>
        <v>82499999.99999999</v>
      </c>
      <c r="U8" s="9">
        <f>T8/Inputs!$B$4</f>
        <v>0.0825</v>
      </c>
    </row>
    <row r="9">
      <c r="A9" t="n">
        <v>4</v>
      </c>
      <c r="B9" s="4">
        <f>EDATE(Inputs!$B$5,A9)</f>
        <v>46767.0</v>
      </c>
      <c r="C9" s="3">
        <f>IF(A9=0,Inputs!$E$12,IF(AND(A9&gt;=Inputs!$F$12,A9&lt;=Inputs!$G$12),Inputs!$I$12,0))</f>
        <v>0.0</v>
      </c>
      <c r="D9" s="3">
        <f>IF(A9=0,Inputs!$E$13,IF(AND(A9&gt;=Inputs!$F$13,A9&lt;=Inputs!$G$13),Inputs!$I$13,0))</f>
        <v>0.0</v>
      </c>
      <c r="E9" s="3">
        <f>IF(A9=0,Inputs!$E$14,IF(AND(A9&gt;=Inputs!$F$14,A9&lt;=Inputs!$G$14),Inputs!$I$14,0))</f>
        <v>0.0</v>
      </c>
      <c r="F9" s="3">
        <f>IF(A9=0,Inputs!$E$15,IF(AND(A9&gt;=Inputs!$F$15,A9&lt;=Inputs!$G$15),Inputs!$I$15,0))</f>
        <v>0.0</v>
      </c>
      <c r="G9" s="3">
        <f>IF(A9=0,Inputs!$E$16,IF(AND(A9&gt;=Inputs!$F$16,A9&lt;=Inputs!$G$16),Inputs!$I$16,0))</f>
        <v>0.0</v>
      </c>
      <c r="H9" s="3">
        <f>IF(A9=0,Inputs!$E$17,IF(AND(A9&gt;=Inputs!$F$17,A9&lt;=Inputs!$G$17),Inputs!$I$17,0))</f>
        <v>0.0</v>
      </c>
      <c r="I9" s="3">
        <f>IF(A9=0,Inputs!$E$18,IF(AND(A9&gt;=Inputs!$F$18,A9&lt;=Inputs!$G$18),Inputs!$I$18,0))</f>
        <v>0.0</v>
      </c>
      <c r="J9" s="3">
        <f>IF(A9=0,Inputs!$E$19,IF(AND(A9&gt;=Inputs!$F$19,A9&lt;=Inputs!$G$19),Inputs!$I$19,0))</f>
        <v>0.0</v>
      </c>
      <c r="K9" s="3">
        <f>IF(A9=0,Inputs!$E$20,IF(AND(A9&gt;=Inputs!$F$20,A9&lt;=Inputs!$G$20),Inputs!$I$20,0))</f>
        <v>0.0</v>
      </c>
      <c r="L9" s="3">
        <f>IF(A9&lt;Inputs!$B$9,0,IF(A9&lt;=12,Inputs!$B$8,Inputs!$B$6*(1-Inputs!$B$7)^(INT((A9-13)/12)+1)/12))</f>
        <v>4000000.0</v>
      </c>
      <c r="M9" s="3">
        <f>IF(A9=0,Inputs!$E$22,IF(AND(A9&gt;=Inputs!$F$22,A9&lt;=Inputs!$G$22),Inputs!$I$22,0))</f>
        <v>1833333.3333333333</v>
      </c>
      <c r="N9" s="3">
        <f>IF(A9=0,Inputs!$E$23,IF(AND(A9&gt;=Inputs!$F$23,A9&lt;=Inputs!$G$23),Inputs!$I$23,0))</f>
        <v>0.0</v>
      </c>
      <c r="O9" s="3">
        <f>IF(A9=0,Inputs!$E$24,IF(AND(A9&gt;=Inputs!$F$24,A9&lt;=Inputs!$G$24),Inputs!$I$24,0))</f>
        <v>0.0</v>
      </c>
      <c r="P9" s="3">
        <f>IF(A9=0,Inputs!$E$25,IF(AND(A9&gt;=Inputs!$F$25,A9&lt;=Inputs!$G$25),Inputs!$I$25,0))</f>
        <v>0.0</v>
      </c>
      <c r="Q9" s="3">
        <f>IF(A9=0,Inputs!$E$26,IF(AND(A9&gt;=Inputs!$F$26,A9&lt;=Inputs!$G$26),Inputs!$I$26,0))</f>
        <v>0.0</v>
      </c>
      <c r="R9" s="3">
        <f>IF(A9=0,Inputs!$E$27,IF(AND(A9&gt;=Inputs!$F$27,A9&lt;=Inputs!$G$27),Inputs!$I$27,0))</f>
        <v>0.0</v>
      </c>
      <c r="S9" s="3">
        <f>SUM(C9:R9)</f>
        <v>5833333.333333333</v>
      </c>
      <c r="T9" s="3">
        <f>T8+S9</f>
        <v>88333333.33333331</v>
      </c>
      <c r="U9" s="9">
        <f>T9/Inputs!$B$4</f>
        <v>0.0883333333</v>
      </c>
    </row>
    <row r="10">
      <c r="A10" t="n">
        <v>5</v>
      </c>
      <c r="B10" s="4">
        <f>EDATE(Inputs!$B$5,A10)</f>
        <v>46798.0</v>
      </c>
      <c r="C10" s="3">
        <f>IF(A10=0,Inputs!$E$12,IF(AND(A10&gt;=Inputs!$F$12,A10&lt;=Inputs!$G$12),Inputs!$I$12,0))</f>
        <v>0.0</v>
      </c>
      <c r="D10" s="3">
        <f>IF(A10=0,Inputs!$E$13,IF(AND(A10&gt;=Inputs!$F$13,A10&lt;=Inputs!$G$13),Inputs!$I$13,0))</f>
        <v>0.0</v>
      </c>
      <c r="E10" s="3">
        <f>IF(A10=0,Inputs!$E$14,IF(AND(A10&gt;=Inputs!$F$14,A10&lt;=Inputs!$G$14),Inputs!$I$14,0))</f>
        <v>0.0</v>
      </c>
      <c r="F10" s="3">
        <f>IF(A10=0,Inputs!$E$15,IF(AND(A10&gt;=Inputs!$F$15,A10&lt;=Inputs!$G$15),Inputs!$I$15,0))</f>
        <v>0.0</v>
      </c>
      <c r="G10" s="3">
        <f>IF(A10=0,Inputs!$E$16,IF(AND(A10&gt;=Inputs!$F$16,A10&lt;=Inputs!$G$16),Inputs!$I$16,0))</f>
        <v>0.0</v>
      </c>
      <c r="H10" s="3">
        <f>IF(A10=0,Inputs!$E$17,IF(AND(A10&gt;=Inputs!$F$17,A10&lt;=Inputs!$G$17),Inputs!$I$17,0))</f>
        <v>0.0</v>
      </c>
      <c r="I10" s="3">
        <f>IF(A10=0,Inputs!$E$18,IF(AND(A10&gt;=Inputs!$F$18,A10&lt;=Inputs!$G$18),Inputs!$I$18,0))</f>
        <v>0.0</v>
      </c>
      <c r="J10" s="3">
        <f>IF(A10=0,Inputs!$E$19,IF(AND(A10&gt;=Inputs!$F$19,A10&lt;=Inputs!$G$19),Inputs!$I$19,0))</f>
        <v>0.0</v>
      </c>
      <c r="K10" s="3">
        <f>IF(A10=0,Inputs!$E$20,IF(AND(A10&gt;=Inputs!$F$20,A10&lt;=Inputs!$G$20),Inputs!$I$20,0))</f>
        <v>0.0</v>
      </c>
      <c r="L10" s="3">
        <f>IF(A10&lt;Inputs!$B$9,0,IF(A10&lt;=12,Inputs!$B$8,Inputs!$B$6*(1-Inputs!$B$7)^(INT((A10-13)/12)+1)/12))</f>
        <v>4000000.0</v>
      </c>
      <c r="M10" s="3">
        <f>IF(A10=0,Inputs!$E$22,IF(AND(A10&gt;=Inputs!$F$22,A10&lt;=Inputs!$G$22),Inputs!$I$22,0))</f>
        <v>1833333.3333333333</v>
      </c>
      <c r="N10" s="3">
        <f>IF(A10=0,Inputs!$E$23,IF(AND(A10&gt;=Inputs!$F$23,A10&lt;=Inputs!$G$23),Inputs!$I$23,0))</f>
        <v>0.0</v>
      </c>
      <c r="O10" s="3">
        <f>IF(A10=0,Inputs!$E$24,IF(AND(A10&gt;=Inputs!$F$24,A10&lt;=Inputs!$G$24),Inputs!$I$24,0))</f>
        <v>0.0</v>
      </c>
      <c r="P10" s="3">
        <f>IF(A10=0,Inputs!$E$25,IF(AND(A10&gt;=Inputs!$F$25,A10&lt;=Inputs!$G$25),Inputs!$I$25,0))</f>
        <v>0.0</v>
      </c>
      <c r="Q10" s="3">
        <f>IF(A10=0,Inputs!$E$26,IF(AND(A10&gt;=Inputs!$F$26,A10&lt;=Inputs!$G$26),Inputs!$I$26,0))</f>
        <v>0.0</v>
      </c>
      <c r="R10" s="3">
        <f>IF(A10=0,Inputs!$E$27,IF(AND(A10&gt;=Inputs!$F$27,A10&lt;=Inputs!$G$27),Inputs!$I$27,0))</f>
        <v>0.0</v>
      </c>
      <c r="S10" s="3">
        <f>SUM(C10:R10)</f>
        <v>5833333.333333333</v>
      </c>
      <c r="T10" s="3">
        <f>T9+S10</f>
        <v>94166666.66666664</v>
      </c>
      <c r="U10" s="9">
        <f>T10/Inputs!$B$4</f>
        <v>0.0941666667</v>
      </c>
    </row>
    <row r="11">
      <c r="A11" t="n">
        <v>6</v>
      </c>
      <c r="B11" s="4">
        <f>EDATE(Inputs!$B$5,A11)</f>
        <v>46827.0</v>
      </c>
      <c r="C11" s="3">
        <f>IF(A11=0,Inputs!$E$12,IF(AND(A11&gt;=Inputs!$F$12,A11&lt;=Inputs!$G$12),Inputs!$I$12,0))</f>
        <v>0.0</v>
      </c>
      <c r="D11" s="3">
        <f>IF(A11=0,Inputs!$E$13,IF(AND(A11&gt;=Inputs!$F$13,A11&lt;=Inputs!$G$13),Inputs!$I$13,0))</f>
        <v>0.0</v>
      </c>
      <c r="E11" s="3">
        <f>IF(A11=0,Inputs!$E$14,IF(AND(A11&gt;=Inputs!$F$14,A11&lt;=Inputs!$G$14),Inputs!$I$14,0))</f>
        <v>0.0</v>
      </c>
      <c r="F11" s="3">
        <f>IF(A11=0,Inputs!$E$15,IF(AND(A11&gt;=Inputs!$F$15,A11&lt;=Inputs!$G$15),Inputs!$I$15,0))</f>
        <v>0.0</v>
      </c>
      <c r="G11" s="3">
        <f>IF(A11=0,Inputs!$E$16,IF(AND(A11&gt;=Inputs!$F$16,A11&lt;=Inputs!$G$16),Inputs!$I$16,0))</f>
        <v>0.0</v>
      </c>
      <c r="H11" s="3">
        <f>IF(A11=0,Inputs!$E$17,IF(AND(A11&gt;=Inputs!$F$17,A11&lt;=Inputs!$G$17),Inputs!$I$17,0))</f>
        <v>0.0</v>
      </c>
      <c r="I11" s="3">
        <f>IF(A11=0,Inputs!$E$18,IF(AND(A11&gt;=Inputs!$F$18,A11&lt;=Inputs!$G$18),Inputs!$I$18,0))</f>
        <v>0.0</v>
      </c>
      <c r="J11" s="3">
        <f>IF(A11=0,Inputs!$E$19,IF(AND(A11&gt;=Inputs!$F$19,A11&lt;=Inputs!$G$19),Inputs!$I$19,0))</f>
        <v>0.0</v>
      </c>
      <c r="K11" s="3">
        <f>IF(A11=0,Inputs!$E$20,IF(AND(A11&gt;=Inputs!$F$20,A11&lt;=Inputs!$G$20),Inputs!$I$20,0))</f>
        <v>0.0</v>
      </c>
      <c r="L11" s="3">
        <f>IF(A11&lt;Inputs!$B$9,0,IF(A11&lt;=12,Inputs!$B$8,Inputs!$B$6*(1-Inputs!$B$7)^(INT((A11-13)/12)+1)/12))</f>
        <v>4000000.0</v>
      </c>
      <c r="M11" s="3">
        <f>IF(A11=0,Inputs!$E$22,IF(AND(A11&gt;=Inputs!$F$22,A11&lt;=Inputs!$G$22),Inputs!$I$22,0))</f>
        <v>1833333.3333333333</v>
      </c>
      <c r="N11" s="3">
        <f>IF(A11=0,Inputs!$E$23,IF(AND(A11&gt;=Inputs!$F$23,A11&lt;=Inputs!$G$23),Inputs!$I$23,0))</f>
        <v>0.0</v>
      </c>
      <c r="O11" s="3">
        <f>IF(A11=0,Inputs!$E$24,IF(AND(A11&gt;=Inputs!$F$24,A11&lt;=Inputs!$G$24),Inputs!$I$24,0))</f>
        <v>0.0</v>
      </c>
      <c r="P11" s="3">
        <f>IF(A11=0,Inputs!$E$25,IF(AND(A11&gt;=Inputs!$F$25,A11&lt;=Inputs!$G$25),Inputs!$I$25,0))</f>
        <v>0.0</v>
      </c>
      <c r="Q11" s="3">
        <f>IF(A11=0,Inputs!$E$26,IF(AND(A11&gt;=Inputs!$F$26,A11&lt;=Inputs!$G$26),Inputs!$I$26,0))</f>
        <v>0.0</v>
      </c>
      <c r="R11" s="3">
        <f>IF(A11=0,Inputs!$E$27,IF(AND(A11&gt;=Inputs!$F$27,A11&lt;=Inputs!$G$27),Inputs!$I$27,0))</f>
        <v>0.0</v>
      </c>
      <c r="S11" s="3">
        <f>SUM(C11:R11)</f>
        <v>5833333.333333333</v>
      </c>
      <c r="T11" s="3">
        <f>T10+S11</f>
        <v>99999999.99999997</v>
      </c>
      <c r="U11" s="9">
        <f>T11/Inputs!$B$4</f>
        <v>0.1</v>
      </c>
    </row>
    <row r="12">
      <c r="A12" t="n">
        <v>7</v>
      </c>
      <c r="B12" s="4">
        <f>EDATE(Inputs!$B$5,A12)</f>
        <v>46858.0</v>
      </c>
      <c r="C12" s="3">
        <f>IF(A12=0,Inputs!$E$12,IF(AND(A12&gt;=Inputs!$F$12,A12&lt;=Inputs!$G$12),Inputs!$I$12,0))</f>
        <v>0.0</v>
      </c>
      <c r="D12" s="3">
        <f>IF(A12=0,Inputs!$E$13,IF(AND(A12&gt;=Inputs!$F$13,A12&lt;=Inputs!$G$13),Inputs!$I$13,0))</f>
        <v>0.0</v>
      </c>
      <c r="E12" s="3">
        <f>IF(A12=0,Inputs!$E$14,IF(AND(A12&gt;=Inputs!$F$14,A12&lt;=Inputs!$G$14),Inputs!$I$14,0))</f>
        <v>0.0</v>
      </c>
      <c r="F12" s="3">
        <f>IF(A12=0,Inputs!$E$15,IF(AND(A12&gt;=Inputs!$F$15,A12&lt;=Inputs!$G$15),Inputs!$I$15,0))</f>
        <v>0.0</v>
      </c>
      <c r="G12" s="3">
        <f>IF(A12=0,Inputs!$E$16,IF(AND(A12&gt;=Inputs!$F$16,A12&lt;=Inputs!$G$16),Inputs!$I$16,0))</f>
        <v>0.0</v>
      </c>
      <c r="H12" s="3">
        <f>IF(A12=0,Inputs!$E$17,IF(AND(A12&gt;=Inputs!$F$17,A12&lt;=Inputs!$G$17),Inputs!$I$17,0))</f>
        <v>0.0</v>
      </c>
      <c r="I12" s="3">
        <f>IF(A12=0,Inputs!$E$18,IF(AND(A12&gt;=Inputs!$F$18,A12&lt;=Inputs!$G$18),Inputs!$I$18,0))</f>
        <v>0.0</v>
      </c>
      <c r="J12" s="3">
        <f>IF(A12=0,Inputs!$E$19,IF(AND(A12&gt;=Inputs!$F$19,A12&lt;=Inputs!$G$19),Inputs!$I$19,0))</f>
        <v>0.0</v>
      </c>
      <c r="K12" s="3">
        <f>IF(A12=0,Inputs!$E$20,IF(AND(A12&gt;=Inputs!$F$20,A12&lt;=Inputs!$G$20),Inputs!$I$20,0))</f>
        <v>0.0</v>
      </c>
      <c r="L12" s="3">
        <f>IF(A12&lt;Inputs!$B$9,0,IF(A12&lt;=12,Inputs!$B$8,Inputs!$B$6*(1-Inputs!$B$7)^(INT((A12-13)/12)+1)/12))</f>
        <v>4000000.0</v>
      </c>
      <c r="M12" s="3">
        <f>IF(A12=0,Inputs!$E$22,IF(AND(A12&gt;=Inputs!$F$22,A12&lt;=Inputs!$G$22),Inputs!$I$22,0))</f>
        <v>1833333.3333333333</v>
      </c>
      <c r="N12" s="3">
        <f>IF(A12=0,Inputs!$E$23,IF(AND(A12&gt;=Inputs!$F$23,A12&lt;=Inputs!$G$23),Inputs!$I$23,0))</f>
        <v>1633333.3333333333</v>
      </c>
      <c r="O12" s="3">
        <f>IF(A12=0,Inputs!$E$24,IF(AND(A12&gt;=Inputs!$F$24,A12&lt;=Inputs!$G$24),Inputs!$I$24,0))</f>
        <v>0.0</v>
      </c>
      <c r="P12" s="3">
        <f>IF(A12=0,Inputs!$E$25,IF(AND(A12&gt;=Inputs!$F$25,A12&lt;=Inputs!$G$25),Inputs!$I$25,0))</f>
        <v>0.0</v>
      </c>
      <c r="Q12" s="3">
        <f>IF(A12=0,Inputs!$E$26,IF(AND(A12&gt;=Inputs!$F$26,A12&lt;=Inputs!$G$26),Inputs!$I$26,0))</f>
        <v>0.0</v>
      </c>
      <c r="R12" s="3">
        <f>IF(A12=0,Inputs!$E$27,IF(AND(A12&gt;=Inputs!$F$27,A12&lt;=Inputs!$G$27),Inputs!$I$27,0))</f>
        <v>0.0</v>
      </c>
      <c r="S12" s="3">
        <f>SUM(C12:R12)</f>
        <v>7466666.666666666</v>
      </c>
      <c r="T12" s="3">
        <f>T11+S12</f>
        <v>107466666.66666664</v>
      </c>
      <c r="U12" s="9">
        <f>T12/Inputs!$B$4</f>
        <v>0.1074666667</v>
      </c>
    </row>
    <row r="13">
      <c r="A13" t="n">
        <v>8</v>
      </c>
      <c r="B13" s="4">
        <f>EDATE(Inputs!$B$5,A13)</f>
        <v>46888.0</v>
      </c>
      <c r="C13" s="3">
        <f>IF(A13=0,Inputs!$E$12,IF(AND(A13&gt;=Inputs!$F$12,A13&lt;=Inputs!$G$12),Inputs!$I$12,0))</f>
        <v>0.0</v>
      </c>
      <c r="D13" s="3">
        <f>IF(A13=0,Inputs!$E$13,IF(AND(A13&gt;=Inputs!$F$13,A13&lt;=Inputs!$G$13),Inputs!$I$13,0))</f>
        <v>0.0</v>
      </c>
      <c r="E13" s="3">
        <f>IF(A13=0,Inputs!$E$14,IF(AND(A13&gt;=Inputs!$F$14,A13&lt;=Inputs!$G$14),Inputs!$I$14,0))</f>
        <v>0.0</v>
      </c>
      <c r="F13" s="3">
        <f>IF(A13=0,Inputs!$E$15,IF(AND(A13&gt;=Inputs!$F$15,A13&lt;=Inputs!$G$15),Inputs!$I$15,0))</f>
        <v>0.0</v>
      </c>
      <c r="G13" s="3">
        <f>IF(A13=0,Inputs!$E$16,IF(AND(A13&gt;=Inputs!$F$16,A13&lt;=Inputs!$G$16),Inputs!$I$16,0))</f>
        <v>0.0</v>
      </c>
      <c r="H13" s="3">
        <f>IF(A13=0,Inputs!$E$17,IF(AND(A13&gt;=Inputs!$F$17,A13&lt;=Inputs!$G$17),Inputs!$I$17,0))</f>
        <v>0.0</v>
      </c>
      <c r="I13" s="3">
        <f>IF(A13=0,Inputs!$E$18,IF(AND(A13&gt;=Inputs!$F$18,A13&lt;=Inputs!$G$18),Inputs!$I$18,0))</f>
        <v>0.0</v>
      </c>
      <c r="J13" s="3">
        <f>IF(A13=0,Inputs!$E$19,IF(AND(A13&gt;=Inputs!$F$19,A13&lt;=Inputs!$G$19),Inputs!$I$19,0))</f>
        <v>0.0</v>
      </c>
      <c r="K13" s="3">
        <f>IF(A13=0,Inputs!$E$20,IF(AND(A13&gt;=Inputs!$F$20,A13&lt;=Inputs!$G$20),Inputs!$I$20,0))</f>
        <v>0.0</v>
      </c>
      <c r="L13" s="3">
        <f>IF(A13&lt;Inputs!$B$9,0,IF(A13&lt;=12,Inputs!$B$8,Inputs!$B$6*(1-Inputs!$B$7)^(INT((A13-13)/12)+1)/12))</f>
        <v>4000000.0</v>
      </c>
      <c r="M13" s="3">
        <f>IF(A13=0,Inputs!$E$22,IF(AND(A13&gt;=Inputs!$F$22,A13&lt;=Inputs!$G$22),Inputs!$I$22,0))</f>
        <v>1833333.3333333333</v>
      </c>
      <c r="N13" s="3">
        <f>IF(A13=0,Inputs!$E$23,IF(AND(A13&gt;=Inputs!$F$23,A13&lt;=Inputs!$G$23),Inputs!$I$23,0))</f>
        <v>1633333.3333333333</v>
      </c>
      <c r="O13" s="3">
        <f>IF(A13=0,Inputs!$E$24,IF(AND(A13&gt;=Inputs!$F$24,A13&lt;=Inputs!$G$24),Inputs!$I$24,0))</f>
        <v>0.0</v>
      </c>
      <c r="P13" s="3">
        <f>IF(A13=0,Inputs!$E$25,IF(AND(A13&gt;=Inputs!$F$25,A13&lt;=Inputs!$G$25),Inputs!$I$25,0))</f>
        <v>0.0</v>
      </c>
      <c r="Q13" s="3">
        <f>IF(A13=0,Inputs!$E$26,IF(AND(A13&gt;=Inputs!$F$26,A13&lt;=Inputs!$G$26),Inputs!$I$26,0))</f>
        <v>0.0</v>
      </c>
      <c r="R13" s="3">
        <f>IF(A13=0,Inputs!$E$27,IF(AND(A13&gt;=Inputs!$F$27,A13&lt;=Inputs!$G$27),Inputs!$I$27,0))</f>
        <v>0.0</v>
      </c>
      <c r="S13" s="3">
        <f>SUM(C13:R13)</f>
        <v>7466666.666666666</v>
      </c>
      <c r="T13" s="3">
        <f>T12+S13</f>
        <v>114933333.33333331</v>
      </c>
      <c r="U13" s="9">
        <f>T13/Inputs!$B$4</f>
        <v>0.1149333333</v>
      </c>
    </row>
    <row r="14">
      <c r="A14" t="n">
        <v>9</v>
      </c>
      <c r="B14" s="4">
        <f>EDATE(Inputs!$B$5,A14)</f>
        <v>46919.0</v>
      </c>
      <c r="C14" s="3">
        <f>IF(A14=0,Inputs!$E$12,IF(AND(A14&gt;=Inputs!$F$12,A14&lt;=Inputs!$G$12),Inputs!$I$12,0))</f>
        <v>0.0</v>
      </c>
      <c r="D14" s="3">
        <f>IF(A14=0,Inputs!$E$13,IF(AND(A14&gt;=Inputs!$F$13,A14&lt;=Inputs!$G$13),Inputs!$I$13,0))</f>
        <v>0.0</v>
      </c>
      <c r="E14" s="3">
        <f>IF(A14=0,Inputs!$E$14,IF(AND(A14&gt;=Inputs!$F$14,A14&lt;=Inputs!$G$14),Inputs!$I$14,0))</f>
        <v>0.0</v>
      </c>
      <c r="F14" s="3">
        <f>IF(A14=0,Inputs!$E$15,IF(AND(A14&gt;=Inputs!$F$15,A14&lt;=Inputs!$G$15),Inputs!$I$15,0))</f>
        <v>0.0</v>
      </c>
      <c r="G14" s="3">
        <f>IF(A14=0,Inputs!$E$16,IF(AND(A14&gt;=Inputs!$F$16,A14&lt;=Inputs!$G$16),Inputs!$I$16,0))</f>
        <v>0.0</v>
      </c>
      <c r="H14" s="3">
        <f>IF(A14=0,Inputs!$E$17,IF(AND(A14&gt;=Inputs!$F$17,A14&lt;=Inputs!$G$17),Inputs!$I$17,0))</f>
        <v>0.0</v>
      </c>
      <c r="I14" s="3">
        <f>IF(A14=0,Inputs!$E$18,IF(AND(A14&gt;=Inputs!$F$18,A14&lt;=Inputs!$G$18),Inputs!$I$18,0))</f>
        <v>0.0</v>
      </c>
      <c r="J14" s="3">
        <f>IF(A14=0,Inputs!$E$19,IF(AND(A14&gt;=Inputs!$F$19,A14&lt;=Inputs!$G$19),Inputs!$I$19,0))</f>
        <v>0.0</v>
      </c>
      <c r="K14" s="3">
        <f>IF(A14=0,Inputs!$E$20,IF(AND(A14&gt;=Inputs!$F$20,A14&lt;=Inputs!$G$20),Inputs!$I$20,0))</f>
        <v>0.0</v>
      </c>
      <c r="L14" s="3">
        <f>IF(A14&lt;Inputs!$B$9,0,IF(A14&lt;=12,Inputs!$B$8,Inputs!$B$6*(1-Inputs!$B$7)^(INT((A14-13)/12)+1)/12))</f>
        <v>4000000.0</v>
      </c>
      <c r="M14" s="3">
        <f>IF(A14=0,Inputs!$E$22,IF(AND(A14&gt;=Inputs!$F$22,A14&lt;=Inputs!$G$22),Inputs!$I$22,0))</f>
        <v>1833333.3333333333</v>
      </c>
      <c r="N14" s="3">
        <f>IF(A14=0,Inputs!$E$23,IF(AND(A14&gt;=Inputs!$F$23,A14&lt;=Inputs!$G$23),Inputs!$I$23,0))</f>
        <v>1633333.3333333333</v>
      </c>
      <c r="O14" s="3">
        <f>IF(A14=0,Inputs!$E$24,IF(AND(A14&gt;=Inputs!$F$24,A14&lt;=Inputs!$G$24),Inputs!$I$24,0))</f>
        <v>0.0</v>
      </c>
      <c r="P14" s="3">
        <f>IF(A14=0,Inputs!$E$25,IF(AND(A14&gt;=Inputs!$F$25,A14&lt;=Inputs!$G$25),Inputs!$I$25,0))</f>
        <v>0.0</v>
      </c>
      <c r="Q14" s="3">
        <f>IF(A14=0,Inputs!$E$26,IF(AND(A14&gt;=Inputs!$F$26,A14&lt;=Inputs!$G$26),Inputs!$I$26,0))</f>
        <v>0.0</v>
      </c>
      <c r="R14" s="3">
        <f>IF(A14=0,Inputs!$E$27,IF(AND(A14&gt;=Inputs!$F$27,A14&lt;=Inputs!$G$27),Inputs!$I$27,0))</f>
        <v>0.0</v>
      </c>
      <c r="S14" s="3">
        <f>SUM(C14:R14)</f>
        <v>7466666.666666666</v>
      </c>
      <c r="T14" s="3">
        <f>T13+S14</f>
        <v>122399999.99999999</v>
      </c>
      <c r="U14" s="9">
        <f>T14/Inputs!$B$4</f>
        <v>0.1224</v>
      </c>
    </row>
    <row r="15">
      <c r="A15" t="n">
        <v>10</v>
      </c>
      <c r="B15" s="4">
        <f>EDATE(Inputs!$B$5,A15)</f>
        <v>46949.0</v>
      </c>
      <c r="C15" s="3">
        <f>IF(A15=0,Inputs!$E$12,IF(AND(A15&gt;=Inputs!$F$12,A15&lt;=Inputs!$G$12),Inputs!$I$12,0))</f>
        <v>0.0</v>
      </c>
      <c r="D15" s="3">
        <f>IF(A15=0,Inputs!$E$13,IF(AND(A15&gt;=Inputs!$F$13,A15&lt;=Inputs!$G$13),Inputs!$I$13,0))</f>
        <v>0.0</v>
      </c>
      <c r="E15" s="3">
        <f>IF(A15=0,Inputs!$E$14,IF(AND(A15&gt;=Inputs!$F$14,A15&lt;=Inputs!$G$14),Inputs!$I$14,0))</f>
        <v>0.0</v>
      </c>
      <c r="F15" s="3">
        <f>IF(A15=0,Inputs!$E$15,IF(AND(A15&gt;=Inputs!$F$15,A15&lt;=Inputs!$G$15),Inputs!$I$15,0))</f>
        <v>0.0</v>
      </c>
      <c r="G15" s="3">
        <f>IF(A15=0,Inputs!$E$16,IF(AND(A15&gt;=Inputs!$F$16,A15&lt;=Inputs!$G$16),Inputs!$I$16,0))</f>
        <v>0.0</v>
      </c>
      <c r="H15" s="3">
        <f>IF(A15=0,Inputs!$E$17,IF(AND(A15&gt;=Inputs!$F$17,A15&lt;=Inputs!$G$17),Inputs!$I$17,0))</f>
        <v>0.0</v>
      </c>
      <c r="I15" s="3">
        <f>IF(A15=0,Inputs!$E$18,IF(AND(A15&gt;=Inputs!$F$18,A15&lt;=Inputs!$G$18),Inputs!$I$18,0))</f>
        <v>0.0</v>
      </c>
      <c r="J15" s="3">
        <f>IF(A15=0,Inputs!$E$19,IF(AND(A15&gt;=Inputs!$F$19,A15&lt;=Inputs!$G$19),Inputs!$I$19,0))</f>
        <v>0.0</v>
      </c>
      <c r="K15" s="3">
        <f>IF(A15=0,Inputs!$E$20,IF(AND(A15&gt;=Inputs!$F$20,A15&lt;=Inputs!$G$20),Inputs!$I$20,0))</f>
        <v>0.0</v>
      </c>
      <c r="L15" s="3">
        <f>IF(A15&lt;Inputs!$B$9,0,IF(A15&lt;=12,Inputs!$B$8,Inputs!$B$6*(1-Inputs!$B$7)^(INT((A15-13)/12)+1)/12))</f>
        <v>4000000.0</v>
      </c>
      <c r="M15" s="3">
        <f>IF(A15=0,Inputs!$E$22,IF(AND(A15&gt;=Inputs!$F$22,A15&lt;=Inputs!$G$22),Inputs!$I$22,0))</f>
        <v>1833333.3333333333</v>
      </c>
      <c r="N15" s="3">
        <f>IF(A15=0,Inputs!$E$23,IF(AND(A15&gt;=Inputs!$F$23,A15&lt;=Inputs!$G$23),Inputs!$I$23,0))</f>
        <v>1633333.3333333333</v>
      </c>
      <c r="O15" s="3">
        <f>IF(A15=0,Inputs!$E$24,IF(AND(A15&gt;=Inputs!$F$24,A15&lt;=Inputs!$G$24),Inputs!$I$24,0))</f>
        <v>0.0</v>
      </c>
      <c r="P15" s="3">
        <f>IF(A15=0,Inputs!$E$25,IF(AND(A15&gt;=Inputs!$F$25,A15&lt;=Inputs!$G$25),Inputs!$I$25,0))</f>
        <v>0.0</v>
      </c>
      <c r="Q15" s="3">
        <f>IF(A15=0,Inputs!$E$26,IF(AND(A15&gt;=Inputs!$F$26,A15&lt;=Inputs!$G$26),Inputs!$I$26,0))</f>
        <v>0.0</v>
      </c>
      <c r="R15" s="3">
        <f>IF(A15=0,Inputs!$E$27,IF(AND(A15&gt;=Inputs!$F$27,A15&lt;=Inputs!$G$27),Inputs!$I$27,0))</f>
        <v>0.0</v>
      </c>
      <c r="S15" s="3">
        <f>SUM(C15:R15)</f>
        <v>7466666.666666666</v>
      </c>
      <c r="T15" s="3">
        <f>T14+S15</f>
        <v>129866666.66666666</v>
      </c>
      <c r="U15" s="9">
        <f>T15/Inputs!$B$4</f>
        <v>0.1298666667</v>
      </c>
    </row>
    <row r="16">
      <c r="A16" t="n">
        <v>11</v>
      </c>
      <c r="B16" s="4">
        <f>EDATE(Inputs!$B$5,A16)</f>
        <v>46980.0</v>
      </c>
      <c r="C16" s="3">
        <f>IF(A16=0,Inputs!$E$12,IF(AND(A16&gt;=Inputs!$F$12,A16&lt;=Inputs!$G$12),Inputs!$I$12,0))</f>
        <v>0.0</v>
      </c>
      <c r="D16" s="3">
        <f>IF(A16=0,Inputs!$E$13,IF(AND(A16&gt;=Inputs!$F$13,A16&lt;=Inputs!$G$13),Inputs!$I$13,0))</f>
        <v>0.0</v>
      </c>
      <c r="E16" s="3">
        <f>IF(A16=0,Inputs!$E$14,IF(AND(A16&gt;=Inputs!$F$14,A16&lt;=Inputs!$G$14),Inputs!$I$14,0))</f>
        <v>0.0</v>
      </c>
      <c r="F16" s="3">
        <f>IF(A16=0,Inputs!$E$15,IF(AND(A16&gt;=Inputs!$F$15,A16&lt;=Inputs!$G$15),Inputs!$I$15,0))</f>
        <v>0.0</v>
      </c>
      <c r="G16" s="3">
        <f>IF(A16=0,Inputs!$E$16,IF(AND(A16&gt;=Inputs!$F$16,A16&lt;=Inputs!$G$16),Inputs!$I$16,0))</f>
        <v>0.0</v>
      </c>
      <c r="H16" s="3">
        <f>IF(A16=0,Inputs!$E$17,IF(AND(A16&gt;=Inputs!$F$17,A16&lt;=Inputs!$G$17),Inputs!$I$17,0))</f>
        <v>0.0</v>
      </c>
      <c r="I16" s="3">
        <f>IF(A16=0,Inputs!$E$18,IF(AND(A16&gt;=Inputs!$F$18,A16&lt;=Inputs!$G$18),Inputs!$I$18,0))</f>
        <v>0.0</v>
      </c>
      <c r="J16" s="3">
        <f>IF(A16=0,Inputs!$E$19,IF(AND(A16&gt;=Inputs!$F$19,A16&lt;=Inputs!$G$19),Inputs!$I$19,0))</f>
        <v>0.0</v>
      </c>
      <c r="K16" s="3">
        <f>IF(A16=0,Inputs!$E$20,IF(AND(A16&gt;=Inputs!$F$20,A16&lt;=Inputs!$G$20),Inputs!$I$20,0))</f>
        <v>0.0</v>
      </c>
      <c r="L16" s="3">
        <f>IF(A16&lt;Inputs!$B$9,0,IF(A16&lt;=12,Inputs!$B$8,Inputs!$B$6*(1-Inputs!$B$7)^(INT((A16-13)/12)+1)/12))</f>
        <v>4000000.0</v>
      </c>
      <c r="M16" s="3">
        <f>IF(A16=0,Inputs!$E$22,IF(AND(A16&gt;=Inputs!$F$22,A16&lt;=Inputs!$G$22),Inputs!$I$22,0))</f>
        <v>1833333.3333333333</v>
      </c>
      <c r="N16" s="3">
        <f>IF(A16=0,Inputs!$E$23,IF(AND(A16&gt;=Inputs!$F$23,A16&lt;=Inputs!$G$23),Inputs!$I$23,0))</f>
        <v>1633333.3333333333</v>
      </c>
      <c r="O16" s="3">
        <f>IF(A16=0,Inputs!$E$24,IF(AND(A16&gt;=Inputs!$F$24,A16&lt;=Inputs!$G$24),Inputs!$I$24,0))</f>
        <v>0.0</v>
      </c>
      <c r="P16" s="3">
        <f>IF(A16=0,Inputs!$E$25,IF(AND(A16&gt;=Inputs!$F$25,A16&lt;=Inputs!$G$25),Inputs!$I$25,0))</f>
        <v>0.0</v>
      </c>
      <c r="Q16" s="3">
        <f>IF(A16=0,Inputs!$E$26,IF(AND(A16&gt;=Inputs!$F$26,A16&lt;=Inputs!$G$26),Inputs!$I$26,0))</f>
        <v>0.0</v>
      </c>
      <c r="R16" s="3">
        <f>IF(A16=0,Inputs!$E$27,IF(AND(A16&gt;=Inputs!$F$27,A16&lt;=Inputs!$G$27),Inputs!$I$27,0))</f>
        <v>0.0</v>
      </c>
      <c r="S16" s="3">
        <f>SUM(C16:R16)</f>
        <v>7466666.666666666</v>
      </c>
      <c r="T16" s="3">
        <f>T15+S16</f>
        <v>137333333.3333333</v>
      </c>
      <c r="U16" s="9">
        <f>T16/Inputs!$B$4</f>
        <v>0.1373333333</v>
      </c>
    </row>
    <row r="17">
      <c r="A17" t="n">
        <v>12</v>
      </c>
      <c r="B17" s="4">
        <f>EDATE(Inputs!$B$5,A17)</f>
        <v>47011.0</v>
      </c>
      <c r="C17" s="3">
        <f>IF(A17=0,Inputs!$E$12,IF(AND(A17&gt;=Inputs!$F$12,A17&lt;=Inputs!$G$12),Inputs!$I$12,0))</f>
        <v>0.0</v>
      </c>
      <c r="D17" s="3">
        <f>IF(A17=0,Inputs!$E$13,IF(AND(A17&gt;=Inputs!$F$13,A17&lt;=Inputs!$G$13),Inputs!$I$13,0))</f>
        <v>0.0</v>
      </c>
      <c r="E17" s="3">
        <f>IF(A17=0,Inputs!$E$14,IF(AND(A17&gt;=Inputs!$F$14,A17&lt;=Inputs!$G$14),Inputs!$I$14,0))</f>
        <v>0.0</v>
      </c>
      <c r="F17" s="3">
        <f>IF(A17=0,Inputs!$E$15,IF(AND(A17&gt;=Inputs!$F$15,A17&lt;=Inputs!$G$15),Inputs!$I$15,0))</f>
        <v>0.0</v>
      </c>
      <c r="G17" s="3">
        <f>IF(A17=0,Inputs!$E$16,IF(AND(A17&gt;=Inputs!$F$16,A17&lt;=Inputs!$G$16),Inputs!$I$16,0))</f>
        <v>0.0</v>
      </c>
      <c r="H17" s="3">
        <f>IF(A17=0,Inputs!$E$17,IF(AND(A17&gt;=Inputs!$F$17,A17&lt;=Inputs!$G$17),Inputs!$I$17,0))</f>
        <v>0.0</v>
      </c>
      <c r="I17" s="3">
        <f>IF(A17=0,Inputs!$E$18,IF(AND(A17&gt;=Inputs!$F$18,A17&lt;=Inputs!$G$18),Inputs!$I$18,0))</f>
        <v>0.0</v>
      </c>
      <c r="J17" s="3">
        <f>IF(A17=0,Inputs!$E$19,IF(AND(A17&gt;=Inputs!$F$19,A17&lt;=Inputs!$G$19),Inputs!$I$19,0))</f>
        <v>0.0</v>
      </c>
      <c r="K17" s="3">
        <f>IF(A17=0,Inputs!$E$20,IF(AND(A17&gt;=Inputs!$F$20,A17&lt;=Inputs!$G$20),Inputs!$I$20,0))</f>
        <v>0.0</v>
      </c>
      <c r="L17" s="3">
        <f>IF(A17&lt;Inputs!$B$9,0,IF(A17&lt;=12,Inputs!$B$8,Inputs!$B$6*(1-Inputs!$B$7)^(INT((A17-13)/12)+1)/12))</f>
        <v>4000000.0</v>
      </c>
      <c r="M17" s="3">
        <f>IF(A17=0,Inputs!$E$22,IF(AND(A17&gt;=Inputs!$F$22,A17&lt;=Inputs!$G$22),Inputs!$I$22,0))</f>
        <v>1833333.3333333333</v>
      </c>
      <c r="N17" s="3">
        <f>IF(A17=0,Inputs!$E$23,IF(AND(A17&gt;=Inputs!$F$23,A17&lt;=Inputs!$G$23),Inputs!$I$23,0))</f>
        <v>1633333.3333333333</v>
      </c>
      <c r="O17" s="3">
        <f>IF(A17=0,Inputs!$E$24,IF(AND(A17&gt;=Inputs!$F$24,A17&lt;=Inputs!$G$24),Inputs!$I$24,0))</f>
        <v>0.0</v>
      </c>
      <c r="P17" s="3">
        <f>IF(A17=0,Inputs!$E$25,IF(AND(A17&gt;=Inputs!$F$25,A17&lt;=Inputs!$G$25),Inputs!$I$25,0))</f>
        <v>0.0</v>
      </c>
      <c r="Q17" s="3">
        <f>IF(A17=0,Inputs!$E$26,IF(AND(A17&gt;=Inputs!$F$26,A17&lt;=Inputs!$G$26),Inputs!$I$26,0))</f>
        <v>0.0</v>
      </c>
      <c r="R17" s="3">
        <f>IF(A17=0,Inputs!$E$27,IF(AND(A17&gt;=Inputs!$F$27,A17&lt;=Inputs!$G$27),Inputs!$I$27,0))</f>
        <v>0.0</v>
      </c>
      <c r="S17" s="3">
        <f>SUM(C17:R17)</f>
        <v>7466666.666666666</v>
      </c>
      <c r="T17" s="3">
        <f>T16+S17</f>
        <v>144799999.99999997</v>
      </c>
      <c r="U17" s="9">
        <f>T17/Inputs!$B$4</f>
        <v>0.1448</v>
      </c>
    </row>
    <row r="18">
      <c r="A18" t="n">
        <v>13</v>
      </c>
      <c r="B18" s="4">
        <f>EDATE(Inputs!$B$5,A18)</f>
        <v>47041.0</v>
      </c>
      <c r="C18" s="3">
        <f>IF(A18=0,Inputs!$E$12,IF(AND(A18&gt;=Inputs!$F$12,A18&lt;=Inputs!$G$12),Inputs!$I$12,0))</f>
        <v>215237.401375325</v>
      </c>
      <c r="D18" s="3">
        <f>IF(A18=0,Inputs!$E$13,IF(AND(A18&gt;=Inputs!$F$13,A18&lt;=Inputs!$G$13),Inputs!$I$13,0))</f>
        <v>568942.8418819729</v>
      </c>
      <c r="E18" s="3">
        <f>IF(A18=0,Inputs!$E$14,IF(AND(A18&gt;=Inputs!$F$14,A18&lt;=Inputs!$G$14),Inputs!$I$14,0))</f>
        <v>341365.7051291833</v>
      </c>
      <c r="F18" s="3">
        <f>IF(A18=0,Inputs!$E$15,IF(AND(A18&gt;=Inputs!$F$15,A18&lt;=Inputs!$G$15),Inputs!$I$15,0))</f>
        <v>227577.1367527896</v>
      </c>
      <c r="G18" s="3">
        <f>IF(A18=0,Inputs!$E$16,IF(AND(A18&gt;=Inputs!$F$16,A18&lt;=Inputs!$G$16),Inputs!$I$16,0))</f>
        <v>227577.1367527896</v>
      </c>
      <c r="H18" s="3">
        <f>IF(A18=0,Inputs!$E$17,IF(AND(A18&gt;=Inputs!$F$17,A18&lt;=Inputs!$G$17),Inputs!$I$17,0))</f>
        <v>227577.1367527896</v>
      </c>
      <c r="I18" s="3">
        <f>IF(A18=0,Inputs!$E$18,IF(AND(A18&gt;=Inputs!$F$18,A18&lt;=Inputs!$G$18),Inputs!$I$18,0))</f>
        <v>227577.1367527896</v>
      </c>
      <c r="J18" s="3">
        <f>IF(A18=0,Inputs!$E$19,IF(AND(A18&gt;=Inputs!$F$19,A18&lt;=Inputs!$G$19),Inputs!$I$19,0))</f>
        <v>47478.8379356935</v>
      </c>
      <c r="K18" s="3">
        <f>IF(A18=0,Inputs!$E$20,IF(AND(A18&gt;=Inputs!$F$20,A18&lt;=Inputs!$G$20),Inputs!$I$20,0))</f>
        <v>8333333.333333333</v>
      </c>
      <c r="L18" s="3">
        <f>IF(A18&lt;Inputs!$B$9,0,IF(A18&lt;=12,Inputs!$B$8,Inputs!$B$6*(1-Inputs!$B$7)^(INT((A18-13)/12)+1)/12))</f>
        <v>3400000.0</v>
      </c>
      <c r="M18" s="3">
        <f>IF(A18=0,Inputs!$E$22,IF(AND(A18&gt;=Inputs!$F$22,A18&lt;=Inputs!$G$22),Inputs!$I$22,0))</f>
        <v>1833333.3333333333</v>
      </c>
      <c r="N18" s="3">
        <f>IF(A18=0,Inputs!$E$23,IF(AND(A18&gt;=Inputs!$F$23,A18&lt;=Inputs!$G$23),Inputs!$I$23,0))</f>
        <v>1633333.3333333333</v>
      </c>
      <c r="O18" s="3">
        <f>IF(A18=0,Inputs!$E$24,IF(AND(A18&gt;=Inputs!$F$24,A18&lt;=Inputs!$G$24),Inputs!$I$24,0))</f>
        <v>1625000.0</v>
      </c>
      <c r="P18" s="3">
        <f>IF(A18=0,Inputs!$E$25,IF(AND(A18&gt;=Inputs!$F$25,A18&lt;=Inputs!$G$25),Inputs!$I$25,0))</f>
        <v>0.0</v>
      </c>
      <c r="Q18" s="3">
        <f>IF(A18=0,Inputs!$E$26,IF(AND(A18&gt;=Inputs!$F$26,A18&lt;=Inputs!$G$26),Inputs!$I$26,0))</f>
        <v>0.0</v>
      </c>
      <c r="R18" s="3">
        <f>IF(A18=0,Inputs!$E$27,IF(AND(A18&gt;=Inputs!$F$27,A18&lt;=Inputs!$G$27),Inputs!$I$27,0))</f>
        <v>0.0</v>
      </c>
      <c r="S18" s="3">
        <f>SUM(C18:R18)</f>
        <v>18908333.333333332</v>
      </c>
      <c r="T18" s="3">
        <f>T17+S18</f>
        <v>163708333.3333333</v>
      </c>
      <c r="U18" s="9">
        <f>T18/Inputs!$B$4</f>
        <v>0.1637083333</v>
      </c>
    </row>
    <row r="19">
      <c r="A19" t="n">
        <v>14</v>
      </c>
      <c r="B19" s="4">
        <f>EDATE(Inputs!$B$5,A19)</f>
        <v>47072.0</v>
      </c>
      <c r="C19" s="3">
        <f>IF(A19=0,Inputs!$E$12,IF(AND(A19&gt;=Inputs!$F$12,A19&lt;=Inputs!$G$12),Inputs!$I$12,0))</f>
        <v>215237.401375325</v>
      </c>
      <c r="D19" s="3">
        <f>IF(A19=0,Inputs!$E$13,IF(AND(A19&gt;=Inputs!$F$13,A19&lt;=Inputs!$G$13),Inputs!$I$13,0))</f>
        <v>568942.8418819729</v>
      </c>
      <c r="E19" s="3">
        <f>IF(A19=0,Inputs!$E$14,IF(AND(A19&gt;=Inputs!$F$14,A19&lt;=Inputs!$G$14),Inputs!$I$14,0))</f>
        <v>341365.7051291833</v>
      </c>
      <c r="F19" s="3">
        <f>IF(A19=0,Inputs!$E$15,IF(AND(A19&gt;=Inputs!$F$15,A19&lt;=Inputs!$G$15),Inputs!$I$15,0))</f>
        <v>227577.1367527896</v>
      </c>
      <c r="G19" s="3">
        <f>IF(A19=0,Inputs!$E$16,IF(AND(A19&gt;=Inputs!$F$16,A19&lt;=Inputs!$G$16),Inputs!$I$16,0))</f>
        <v>227577.1367527896</v>
      </c>
      <c r="H19" s="3">
        <f>IF(A19=0,Inputs!$E$17,IF(AND(A19&gt;=Inputs!$F$17,A19&lt;=Inputs!$G$17),Inputs!$I$17,0))</f>
        <v>227577.1367527896</v>
      </c>
      <c r="I19" s="3">
        <f>IF(A19=0,Inputs!$E$18,IF(AND(A19&gt;=Inputs!$F$18,A19&lt;=Inputs!$G$18),Inputs!$I$18,0))</f>
        <v>227577.1367527896</v>
      </c>
      <c r="J19" s="3">
        <f>IF(A19=0,Inputs!$E$19,IF(AND(A19&gt;=Inputs!$F$19,A19&lt;=Inputs!$G$19),Inputs!$I$19,0))</f>
        <v>47478.8379356935</v>
      </c>
      <c r="K19" s="3">
        <f>IF(A19=0,Inputs!$E$20,IF(AND(A19&gt;=Inputs!$F$20,A19&lt;=Inputs!$G$20),Inputs!$I$20,0))</f>
        <v>8333333.333333333</v>
      </c>
      <c r="L19" s="3">
        <f>IF(A19&lt;Inputs!$B$9,0,IF(A19&lt;=12,Inputs!$B$8,Inputs!$B$6*(1-Inputs!$B$7)^(INT((A19-13)/12)+1)/12))</f>
        <v>3400000.0</v>
      </c>
      <c r="M19" s="3">
        <f>IF(A19=0,Inputs!$E$22,IF(AND(A19&gt;=Inputs!$F$22,A19&lt;=Inputs!$G$22),Inputs!$I$22,0))</f>
        <v>1833333.3333333333</v>
      </c>
      <c r="N19" s="3">
        <f>IF(A19=0,Inputs!$E$23,IF(AND(A19&gt;=Inputs!$F$23,A19&lt;=Inputs!$G$23),Inputs!$I$23,0))</f>
        <v>1633333.3333333333</v>
      </c>
      <c r="O19" s="3">
        <f>IF(A19=0,Inputs!$E$24,IF(AND(A19&gt;=Inputs!$F$24,A19&lt;=Inputs!$G$24),Inputs!$I$24,0))</f>
        <v>1625000.0</v>
      </c>
      <c r="P19" s="3">
        <f>IF(A19=0,Inputs!$E$25,IF(AND(A19&gt;=Inputs!$F$25,A19&lt;=Inputs!$G$25),Inputs!$I$25,0))</f>
        <v>2000000.0</v>
      </c>
      <c r="Q19" s="3">
        <f>IF(A19=0,Inputs!$E$26,IF(AND(A19&gt;=Inputs!$F$26,A19&lt;=Inputs!$G$26),Inputs!$I$26,0))</f>
        <v>0.0</v>
      </c>
      <c r="R19" s="3">
        <f>IF(A19=0,Inputs!$E$27,IF(AND(A19&gt;=Inputs!$F$27,A19&lt;=Inputs!$G$27),Inputs!$I$27,0))</f>
        <v>0.0</v>
      </c>
      <c r="S19" s="3">
        <f>SUM(C19:R19)</f>
        <v>20908333.333333332</v>
      </c>
      <c r="T19" s="3">
        <f>T18+S19</f>
        <v>184616666.66666666</v>
      </c>
      <c r="U19" s="9">
        <f>T19/Inputs!$B$4</f>
        <v>0.1846166667</v>
      </c>
    </row>
    <row r="20">
      <c r="A20" t="n">
        <v>15</v>
      </c>
      <c r="B20" s="4">
        <f>EDATE(Inputs!$B$5,A20)</f>
        <v>47102.0</v>
      </c>
      <c r="C20" s="3">
        <f>IF(A20=0,Inputs!$E$12,IF(AND(A20&gt;=Inputs!$F$12,A20&lt;=Inputs!$G$12),Inputs!$I$12,0))</f>
        <v>215237.401375325</v>
      </c>
      <c r="D20" s="3">
        <f>IF(A20=0,Inputs!$E$13,IF(AND(A20&gt;=Inputs!$F$13,A20&lt;=Inputs!$G$13),Inputs!$I$13,0))</f>
        <v>568942.8418819729</v>
      </c>
      <c r="E20" s="3">
        <f>IF(A20=0,Inputs!$E$14,IF(AND(A20&gt;=Inputs!$F$14,A20&lt;=Inputs!$G$14),Inputs!$I$14,0))</f>
        <v>341365.7051291833</v>
      </c>
      <c r="F20" s="3">
        <f>IF(A20=0,Inputs!$E$15,IF(AND(A20&gt;=Inputs!$F$15,A20&lt;=Inputs!$G$15),Inputs!$I$15,0))</f>
        <v>227577.1367527896</v>
      </c>
      <c r="G20" s="3">
        <f>IF(A20=0,Inputs!$E$16,IF(AND(A20&gt;=Inputs!$F$16,A20&lt;=Inputs!$G$16),Inputs!$I$16,0))</f>
        <v>227577.1367527896</v>
      </c>
      <c r="H20" s="3">
        <f>IF(A20=0,Inputs!$E$17,IF(AND(A20&gt;=Inputs!$F$17,A20&lt;=Inputs!$G$17),Inputs!$I$17,0))</f>
        <v>227577.1367527896</v>
      </c>
      <c r="I20" s="3">
        <f>IF(A20=0,Inputs!$E$18,IF(AND(A20&gt;=Inputs!$F$18,A20&lt;=Inputs!$G$18),Inputs!$I$18,0))</f>
        <v>227577.1367527896</v>
      </c>
      <c r="J20" s="3">
        <f>IF(A20=0,Inputs!$E$19,IF(AND(A20&gt;=Inputs!$F$19,A20&lt;=Inputs!$G$19),Inputs!$I$19,0))</f>
        <v>47478.8379356935</v>
      </c>
      <c r="K20" s="3">
        <f>IF(A20=0,Inputs!$E$20,IF(AND(A20&gt;=Inputs!$F$20,A20&lt;=Inputs!$G$20),Inputs!$I$20,0))</f>
        <v>8333333.333333333</v>
      </c>
      <c r="L20" s="3">
        <f>IF(A20&lt;Inputs!$B$9,0,IF(A20&lt;=12,Inputs!$B$8,Inputs!$B$6*(1-Inputs!$B$7)^(INT((A20-13)/12)+1)/12))</f>
        <v>3400000.0</v>
      </c>
      <c r="M20" s="3">
        <f>IF(A20=0,Inputs!$E$22,IF(AND(A20&gt;=Inputs!$F$22,A20&lt;=Inputs!$G$22),Inputs!$I$22,0))</f>
        <v>1833333.3333333333</v>
      </c>
      <c r="N20" s="3">
        <f>IF(A20=0,Inputs!$E$23,IF(AND(A20&gt;=Inputs!$F$23,A20&lt;=Inputs!$G$23),Inputs!$I$23,0))</f>
        <v>1633333.3333333333</v>
      </c>
      <c r="O20" s="3">
        <f>IF(A20=0,Inputs!$E$24,IF(AND(A20&gt;=Inputs!$F$24,A20&lt;=Inputs!$G$24),Inputs!$I$24,0))</f>
        <v>1625000.0</v>
      </c>
      <c r="P20" s="3">
        <f>IF(A20=0,Inputs!$E$25,IF(AND(A20&gt;=Inputs!$F$25,A20&lt;=Inputs!$G$25),Inputs!$I$25,0))</f>
        <v>2000000.0</v>
      </c>
      <c r="Q20" s="3">
        <f>IF(A20=0,Inputs!$E$26,IF(AND(A20&gt;=Inputs!$F$26,A20&lt;=Inputs!$G$26),Inputs!$I$26,0))</f>
        <v>0.0</v>
      </c>
      <c r="R20" s="3">
        <f>IF(A20=0,Inputs!$E$27,IF(AND(A20&gt;=Inputs!$F$27,A20&lt;=Inputs!$G$27),Inputs!$I$27,0))</f>
        <v>0.0</v>
      </c>
      <c r="S20" s="3">
        <f>SUM(C20:R20)</f>
        <v>20908333.333333332</v>
      </c>
      <c r="T20" s="3">
        <f>T19+S20</f>
        <v>205525000.0</v>
      </c>
      <c r="U20" s="9">
        <f>T20/Inputs!$B$4</f>
        <v>0.205525</v>
      </c>
    </row>
    <row r="21">
      <c r="A21" t="n">
        <v>16</v>
      </c>
      <c r="B21" s="4">
        <f>EDATE(Inputs!$B$5,A21)</f>
        <v>47133.0</v>
      </c>
      <c r="C21" s="3">
        <f>IF(A21=0,Inputs!$E$12,IF(AND(A21&gt;=Inputs!$F$12,A21&lt;=Inputs!$G$12),Inputs!$I$12,0))</f>
        <v>215237.401375325</v>
      </c>
      <c r="D21" s="3">
        <f>IF(A21=0,Inputs!$E$13,IF(AND(A21&gt;=Inputs!$F$13,A21&lt;=Inputs!$G$13),Inputs!$I$13,0))</f>
        <v>568942.8418819729</v>
      </c>
      <c r="E21" s="3">
        <f>IF(A21=0,Inputs!$E$14,IF(AND(A21&gt;=Inputs!$F$14,A21&lt;=Inputs!$G$14),Inputs!$I$14,0))</f>
        <v>341365.7051291833</v>
      </c>
      <c r="F21" s="3">
        <f>IF(A21=0,Inputs!$E$15,IF(AND(A21&gt;=Inputs!$F$15,A21&lt;=Inputs!$G$15),Inputs!$I$15,0))</f>
        <v>227577.1367527896</v>
      </c>
      <c r="G21" s="3">
        <f>IF(A21=0,Inputs!$E$16,IF(AND(A21&gt;=Inputs!$F$16,A21&lt;=Inputs!$G$16),Inputs!$I$16,0))</f>
        <v>227577.1367527896</v>
      </c>
      <c r="H21" s="3">
        <f>IF(A21=0,Inputs!$E$17,IF(AND(A21&gt;=Inputs!$F$17,A21&lt;=Inputs!$G$17),Inputs!$I$17,0))</f>
        <v>227577.1367527896</v>
      </c>
      <c r="I21" s="3">
        <f>IF(A21=0,Inputs!$E$18,IF(AND(A21&gt;=Inputs!$F$18,A21&lt;=Inputs!$G$18),Inputs!$I$18,0))</f>
        <v>227577.1367527896</v>
      </c>
      <c r="J21" s="3">
        <f>IF(A21=0,Inputs!$E$19,IF(AND(A21&gt;=Inputs!$F$19,A21&lt;=Inputs!$G$19),Inputs!$I$19,0))</f>
        <v>47478.8379356935</v>
      </c>
      <c r="K21" s="3">
        <f>IF(A21=0,Inputs!$E$20,IF(AND(A21&gt;=Inputs!$F$20,A21&lt;=Inputs!$G$20),Inputs!$I$20,0))</f>
        <v>8333333.333333333</v>
      </c>
      <c r="L21" s="3">
        <f>IF(A21&lt;Inputs!$B$9,0,IF(A21&lt;=12,Inputs!$B$8,Inputs!$B$6*(1-Inputs!$B$7)^(INT((A21-13)/12)+1)/12))</f>
        <v>3400000.0</v>
      </c>
      <c r="M21" s="3">
        <f>IF(A21=0,Inputs!$E$22,IF(AND(A21&gt;=Inputs!$F$22,A21&lt;=Inputs!$G$22),Inputs!$I$22,0))</f>
        <v>1833333.3333333333</v>
      </c>
      <c r="N21" s="3">
        <f>IF(A21=0,Inputs!$E$23,IF(AND(A21&gt;=Inputs!$F$23,A21&lt;=Inputs!$G$23),Inputs!$I$23,0))</f>
        <v>1633333.3333333333</v>
      </c>
      <c r="O21" s="3">
        <f>IF(A21=0,Inputs!$E$24,IF(AND(A21&gt;=Inputs!$F$24,A21&lt;=Inputs!$G$24),Inputs!$I$24,0))</f>
        <v>1625000.0</v>
      </c>
      <c r="P21" s="3">
        <f>IF(A21=0,Inputs!$E$25,IF(AND(A21&gt;=Inputs!$F$25,A21&lt;=Inputs!$G$25),Inputs!$I$25,0))</f>
        <v>2000000.0</v>
      </c>
      <c r="Q21" s="3">
        <f>IF(A21=0,Inputs!$E$26,IF(AND(A21&gt;=Inputs!$F$26,A21&lt;=Inputs!$G$26),Inputs!$I$26,0))</f>
        <v>0.0</v>
      </c>
      <c r="R21" s="3">
        <f>IF(A21=0,Inputs!$E$27,IF(AND(A21&gt;=Inputs!$F$27,A21&lt;=Inputs!$G$27),Inputs!$I$27,0))</f>
        <v>0.0</v>
      </c>
      <c r="S21" s="3">
        <f>SUM(C21:R21)</f>
        <v>20908333.333333332</v>
      </c>
      <c r="T21" s="3">
        <f>T20+S21</f>
        <v>226433333.33333334</v>
      </c>
      <c r="U21" s="9">
        <f>T21/Inputs!$B$4</f>
        <v>0.2264333333</v>
      </c>
    </row>
    <row r="22">
      <c r="A22" t="n">
        <v>17</v>
      </c>
      <c r="B22" s="4">
        <f>EDATE(Inputs!$B$5,A22)</f>
        <v>47164.0</v>
      </c>
      <c r="C22" s="3">
        <f>IF(A22=0,Inputs!$E$12,IF(AND(A22&gt;=Inputs!$F$12,A22&lt;=Inputs!$G$12),Inputs!$I$12,0))</f>
        <v>215237.401375325</v>
      </c>
      <c r="D22" s="3">
        <f>IF(A22=0,Inputs!$E$13,IF(AND(A22&gt;=Inputs!$F$13,A22&lt;=Inputs!$G$13),Inputs!$I$13,0))</f>
        <v>568942.8418819729</v>
      </c>
      <c r="E22" s="3">
        <f>IF(A22=0,Inputs!$E$14,IF(AND(A22&gt;=Inputs!$F$14,A22&lt;=Inputs!$G$14),Inputs!$I$14,0))</f>
        <v>341365.7051291833</v>
      </c>
      <c r="F22" s="3">
        <f>IF(A22=0,Inputs!$E$15,IF(AND(A22&gt;=Inputs!$F$15,A22&lt;=Inputs!$G$15),Inputs!$I$15,0))</f>
        <v>227577.1367527896</v>
      </c>
      <c r="G22" s="3">
        <f>IF(A22=0,Inputs!$E$16,IF(AND(A22&gt;=Inputs!$F$16,A22&lt;=Inputs!$G$16),Inputs!$I$16,0))</f>
        <v>227577.1367527896</v>
      </c>
      <c r="H22" s="3">
        <f>IF(A22=0,Inputs!$E$17,IF(AND(A22&gt;=Inputs!$F$17,A22&lt;=Inputs!$G$17),Inputs!$I$17,0))</f>
        <v>227577.1367527896</v>
      </c>
      <c r="I22" s="3">
        <f>IF(A22=0,Inputs!$E$18,IF(AND(A22&gt;=Inputs!$F$18,A22&lt;=Inputs!$G$18),Inputs!$I$18,0))</f>
        <v>227577.1367527896</v>
      </c>
      <c r="J22" s="3">
        <f>IF(A22=0,Inputs!$E$19,IF(AND(A22&gt;=Inputs!$F$19,A22&lt;=Inputs!$G$19),Inputs!$I$19,0))</f>
        <v>47478.8379356935</v>
      </c>
      <c r="K22" s="3">
        <f>IF(A22=0,Inputs!$E$20,IF(AND(A22&gt;=Inputs!$F$20,A22&lt;=Inputs!$G$20),Inputs!$I$20,0))</f>
        <v>8333333.333333333</v>
      </c>
      <c r="L22" s="3">
        <f>IF(A22&lt;Inputs!$B$9,0,IF(A22&lt;=12,Inputs!$B$8,Inputs!$B$6*(1-Inputs!$B$7)^(INT((A22-13)/12)+1)/12))</f>
        <v>3400000.0</v>
      </c>
      <c r="M22" s="3">
        <f>IF(A22=0,Inputs!$E$22,IF(AND(A22&gt;=Inputs!$F$22,A22&lt;=Inputs!$G$22),Inputs!$I$22,0))</f>
        <v>1833333.3333333333</v>
      </c>
      <c r="N22" s="3">
        <f>IF(A22=0,Inputs!$E$23,IF(AND(A22&gt;=Inputs!$F$23,A22&lt;=Inputs!$G$23),Inputs!$I$23,0))</f>
        <v>1633333.3333333333</v>
      </c>
      <c r="O22" s="3">
        <f>IF(A22=0,Inputs!$E$24,IF(AND(A22&gt;=Inputs!$F$24,A22&lt;=Inputs!$G$24),Inputs!$I$24,0))</f>
        <v>1625000.0</v>
      </c>
      <c r="P22" s="3">
        <f>IF(A22=0,Inputs!$E$25,IF(AND(A22&gt;=Inputs!$F$25,A22&lt;=Inputs!$G$25),Inputs!$I$25,0))</f>
        <v>2000000.0</v>
      </c>
      <c r="Q22" s="3">
        <f>IF(A22=0,Inputs!$E$26,IF(AND(A22&gt;=Inputs!$F$26,A22&lt;=Inputs!$G$26),Inputs!$I$26,0))</f>
        <v>0.0</v>
      </c>
      <c r="R22" s="3">
        <f>IF(A22=0,Inputs!$E$27,IF(AND(A22&gt;=Inputs!$F$27,A22&lt;=Inputs!$G$27),Inputs!$I$27,0))</f>
        <v>0.0</v>
      </c>
      <c r="S22" s="3">
        <f>SUM(C22:R22)</f>
        <v>20908333.333333332</v>
      </c>
      <c r="T22" s="3">
        <f>T21+S22</f>
        <v>247341666.6666667</v>
      </c>
      <c r="U22" s="9">
        <f>T22/Inputs!$B$4</f>
        <v>0.2473416667</v>
      </c>
    </row>
    <row r="23">
      <c r="A23" t="n">
        <v>18</v>
      </c>
      <c r="B23" s="4">
        <f>EDATE(Inputs!$B$5,A23)</f>
        <v>47192.0</v>
      </c>
      <c r="C23" s="3">
        <f>IF(A23=0,Inputs!$E$12,IF(AND(A23&gt;=Inputs!$F$12,A23&lt;=Inputs!$G$12),Inputs!$I$12,0))</f>
        <v>215237.401375325</v>
      </c>
      <c r="D23" s="3">
        <f>IF(A23=0,Inputs!$E$13,IF(AND(A23&gt;=Inputs!$F$13,A23&lt;=Inputs!$G$13),Inputs!$I$13,0))</f>
        <v>568942.8418819729</v>
      </c>
      <c r="E23" s="3">
        <f>IF(A23=0,Inputs!$E$14,IF(AND(A23&gt;=Inputs!$F$14,A23&lt;=Inputs!$G$14),Inputs!$I$14,0))</f>
        <v>341365.7051291833</v>
      </c>
      <c r="F23" s="3">
        <f>IF(A23=0,Inputs!$E$15,IF(AND(A23&gt;=Inputs!$F$15,A23&lt;=Inputs!$G$15),Inputs!$I$15,0))</f>
        <v>227577.1367527896</v>
      </c>
      <c r="G23" s="3">
        <f>IF(A23=0,Inputs!$E$16,IF(AND(A23&gt;=Inputs!$F$16,A23&lt;=Inputs!$G$16),Inputs!$I$16,0))</f>
        <v>227577.1367527896</v>
      </c>
      <c r="H23" s="3">
        <f>IF(A23=0,Inputs!$E$17,IF(AND(A23&gt;=Inputs!$F$17,A23&lt;=Inputs!$G$17),Inputs!$I$17,0))</f>
        <v>227577.1367527896</v>
      </c>
      <c r="I23" s="3">
        <f>IF(A23=0,Inputs!$E$18,IF(AND(A23&gt;=Inputs!$F$18,A23&lt;=Inputs!$G$18),Inputs!$I$18,0))</f>
        <v>227577.1367527896</v>
      </c>
      <c r="J23" s="3">
        <f>IF(A23=0,Inputs!$E$19,IF(AND(A23&gt;=Inputs!$F$19,A23&lt;=Inputs!$G$19),Inputs!$I$19,0))</f>
        <v>47478.8379356935</v>
      </c>
      <c r="K23" s="3">
        <f>IF(A23=0,Inputs!$E$20,IF(AND(A23&gt;=Inputs!$F$20,A23&lt;=Inputs!$G$20),Inputs!$I$20,0))</f>
        <v>8333333.333333333</v>
      </c>
      <c r="L23" s="3">
        <f>IF(A23&lt;Inputs!$B$9,0,IF(A23&lt;=12,Inputs!$B$8,Inputs!$B$6*(1-Inputs!$B$7)^(INT((A23-13)/12)+1)/12))</f>
        <v>3400000.0</v>
      </c>
      <c r="M23" s="3">
        <f>IF(A23=0,Inputs!$E$22,IF(AND(A23&gt;=Inputs!$F$22,A23&lt;=Inputs!$G$22),Inputs!$I$22,0))</f>
        <v>1833333.3333333333</v>
      </c>
      <c r="N23" s="3">
        <f>IF(A23=0,Inputs!$E$23,IF(AND(A23&gt;=Inputs!$F$23,A23&lt;=Inputs!$G$23),Inputs!$I$23,0))</f>
        <v>1633333.3333333333</v>
      </c>
      <c r="O23" s="3">
        <f>IF(A23=0,Inputs!$E$24,IF(AND(A23&gt;=Inputs!$F$24,A23&lt;=Inputs!$G$24),Inputs!$I$24,0))</f>
        <v>1625000.0</v>
      </c>
      <c r="P23" s="3">
        <f>IF(A23=0,Inputs!$E$25,IF(AND(A23&gt;=Inputs!$F$25,A23&lt;=Inputs!$G$25),Inputs!$I$25,0))</f>
        <v>2000000.0</v>
      </c>
      <c r="Q23" s="3">
        <f>IF(A23=0,Inputs!$E$26,IF(AND(A23&gt;=Inputs!$F$26,A23&lt;=Inputs!$G$26),Inputs!$I$26,0))</f>
        <v>0.0</v>
      </c>
      <c r="R23" s="3">
        <f>IF(A23=0,Inputs!$E$27,IF(AND(A23&gt;=Inputs!$F$27,A23&lt;=Inputs!$G$27),Inputs!$I$27,0))</f>
        <v>0.0</v>
      </c>
      <c r="S23" s="3">
        <f>SUM(C23:R23)</f>
        <v>20908333.333333332</v>
      </c>
      <c r="T23" s="3">
        <f>T22+S23</f>
        <v>268250000.00000003</v>
      </c>
      <c r="U23" s="9">
        <f>T23/Inputs!$B$4</f>
        <v>0.26825</v>
      </c>
    </row>
    <row r="24">
      <c r="A24" t="n">
        <v>19</v>
      </c>
      <c r="B24" s="4">
        <f>EDATE(Inputs!$B$5,A24)</f>
        <v>47223.0</v>
      </c>
      <c r="C24" s="3">
        <f>IF(A24=0,Inputs!$E$12,IF(AND(A24&gt;=Inputs!$F$12,A24&lt;=Inputs!$G$12),Inputs!$I$12,0))</f>
        <v>215237.401375325</v>
      </c>
      <c r="D24" s="3">
        <f>IF(A24=0,Inputs!$E$13,IF(AND(A24&gt;=Inputs!$F$13,A24&lt;=Inputs!$G$13),Inputs!$I$13,0))</f>
        <v>568942.8418819729</v>
      </c>
      <c r="E24" s="3">
        <f>IF(A24=0,Inputs!$E$14,IF(AND(A24&gt;=Inputs!$F$14,A24&lt;=Inputs!$G$14),Inputs!$I$14,0))</f>
        <v>341365.7051291833</v>
      </c>
      <c r="F24" s="3">
        <f>IF(A24=0,Inputs!$E$15,IF(AND(A24&gt;=Inputs!$F$15,A24&lt;=Inputs!$G$15),Inputs!$I$15,0))</f>
        <v>227577.1367527896</v>
      </c>
      <c r="G24" s="3">
        <f>IF(A24=0,Inputs!$E$16,IF(AND(A24&gt;=Inputs!$F$16,A24&lt;=Inputs!$G$16),Inputs!$I$16,0))</f>
        <v>227577.1367527896</v>
      </c>
      <c r="H24" s="3">
        <f>IF(A24=0,Inputs!$E$17,IF(AND(A24&gt;=Inputs!$F$17,A24&lt;=Inputs!$G$17),Inputs!$I$17,0))</f>
        <v>227577.1367527896</v>
      </c>
      <c r="I24" s="3">
        <f>IF(A24=0,Inputs!$E$18,IF(AND(A24&gt;=Inputs!$F$18,A24&lt;=Inputs!$G$18),Inputs!$I$18,0))</f>
        <v>227577.1367527896</v>
      </c>
      <c r="J24" s="3">
        <f>IF(A24=0,Inputs!$E$19,IF(AND(A24&gt;=Inputs!$F$19,A24&lt;=Inputs!$G$19),Inputs!$I$19,0))</f>
        <v>47478.8379356935</v>
      </c>
      <c r="K24" s="3">
        <f>IF(A24=0,Inputs!$E$20,IF(AND(A24&gt;=Inputs!$F$20,A24&lt;=Inputs!$G$20),Inputs!$I$20,0))</f>
        <v>8333333.333333333</v>
      </c>
      <c r="L24" s="3">
        <f>IF(A24&lt;Inputs!$B$9,0,IF(A24&lt;=12,Inputs!$B$8,Inputs!$B$6*(1-Inputs!$B$7)^(INT((A24-13)/12)+1)/12))</f>
        <v>3400000.0</v>
      </c>
      <c r="M24" s="3">
        <f>IF(A24=0,Inputs!$E$22,IF(AND(A24&gt;=Inputs!$F$22,A24&lt;=Inputs!$G$22),Inputs!$I$22,0))</f>
        <v>1833333.3333333333</v>
      </c>
      <c r="N24" s="3">
        <f>IF(A24=0,Inputs!$E$23,IF(AND(A24&gt;=Inputs!$F$23,A24&lt;=Inputs!$G$23),Inputs!$I$23,0))</f>
        <v>1633333.3333333333</v>
      </c>
      <c r="O24" s="3">
        <f>IF(A24=0,Inputs!$E$24,IF(AND(A24&gt;=Inputs!$F$24,A24&lt;=Inputs!$G$24),Inputs!$I$24,0))</f>
        <v>1625000.0</v>
      </c>
      <c r="P24" s="3">
        <f>IF(A24=0,Inputs!$E$25,IF(AND(A24&gt;=Inputs!$F$25,A24&lt;=Inputs!$G$25),Inputs!$I$25,0))</f>
        <v>2000000.0</v>
      </c>
      <c r="Q24" s="3">
        <f>IF(A24=0,Inputs!$E$26,IF(AND(A24&gt;=Inputs!$F$26,A24&lt;=Inputs!$G$26),Inputs!$I$26,0))</f>
        <v>0.0</v>
      </c>
      <c r="R24" s="3">
        <f>IF(A24=0,Inputs!$E$27,IF(AND(A24&gt;=Inputs!$F$27,A24&lt;=Inputs!$G$27),Inputs!$I$27,0))</f>
        <v>0.0</v>
      </c>
      <c r="S24" s="3">
        <f>SUM(C24:R24)</f>
        <v>20908333.333333332</v>
      </c>
      <c r="T24" s="3">
        <f>T23+S24</f>
        <v>289158333.3333334</v>
      </c>
      <c r="U24" s="9">
        <f>T24/Inputs!$B$4</f>
        <v>0.2891583333</v>
      </c>
    </row>
    <row r="25">
      <c r="A25" t="n">
        <v>20</v>
      </c>
      <c r="B25" s="4">
        <f>EDATE(Inputs!$B$5,A25)</f>
        <v>47253.0</v>
      </c>
      <c r="C25" s="3">
        <f>IF(A25=0,Inputs!$E$12,IF(AND(A25&gt;=Inputs!$F$12,A25&lt;=Inputs!$G$12),Inputs!$I$12,0))</f>
        <v>215237.401375325</v>
      </c>
      <c r="D25" s="3">
        <f>IF(A25=0,Inputs!$E$13,IF(AND(A25&gt;=Inputs!$F$13,A25&lt;=Inputs!$G$13),Inputs!$I$13,0))</f>
        <v>568942.8418819729</v>
      </c>
      <c r="E25" s="3">
        <f>IF(A25=0,Inputs!$E$14,IF(AND(A25&gt;=Inputs!$F$14,A25&lt;=Inputs!$G$14),Inputs!$I$14,0))</f>
        <v>341365.7051291833</v>
      </c>
      <c r="F25" s="3">
        <f>IF(A25=0,Inputs!$E$15,IF(AND(A25&gt;=Inputs!$F$15,A25&lt;=Inputs!$G$15),Inputs!$I$15,0))</f>
        <v>227577.1367527896</v>
      </c>
      <c r="G25" s="3">
        <f>IF(A25=0,Inputs!$E$16,IF(AND(A25&gt;=Inputs!$F$16,A25&lt;=Inputs!$G$16),Inputs!$I$16,0))</f>
        <v>227577.1367527896</v>
      </c>
      <c r="H25" s="3">
        <f>IF(A25=0,Inputs!$E$17,IF(AND(A25&gt;=Inputs!$F$17,A25&lt;=Inputs!$G$17),Inputs!$I$17,0))</f>
        <v>227577.1367527896</v>
      </c>
      <c r="I25" s="3">
        <f>IF(A25=0,Inputs!$E$18,IF(AND(A25&gt;=Inputs!$F$18,A25&lt;=Inputs!$G$18),Inputs!$I$18,0))</f>
        <v>227577.1367527896</v>
      </c>
      <c r="J25" s="3">
        <f>IF(A25=0,Inputs!$E$19,IF(AND(A25&gt;=Inputs!$F$19,A25&lt;=Inputs!$G$19),Inputs!$I$19,0))</f>
        <v>47478.8379356935</v>
      </c>
      <c r="K25" s="3">
        <f>IF(A25=0,Inputs!$E$20,IF(AND(A25&gt;=Inputs!$F$20,A25&lt;=Inputs!$G$20),Inputs!$I$20,0))</f>
        <v>8333333.333333333</v>
      </c>
      <c r="L25" s="3">
        <f>IF(A25&lt;Inputs!$B$9,0,IF(A25&lt;=12,Inputs!$B$8,Inputs!$B$6*(1-Inputs!$B$7)^(INT((A25-13)/12)+1)/12))</f>
        <v>3400000.0</v>
      </c>
      <c r="M25" s="3">
        <f>IF(A25=0,Inputs!$E$22,IF(AND(A25&gt;=Inputs!$F$22,A25&lt;=Inputs!$G$22),Inputs!$I$22,0))</f>
        <v>1833333.3333333333</v>
      </c>
      <c r="N25" s="3">
        <f>IF(A25=0,Inputs!$E$23,IF(AND(A25&gt;=Inputs!$F$23,A25&lt;=Inputs!$G$23),Inputs!$I$23,0))</f>
        <v>1633333.3333333333</v>
      </c>
      <c r="O25" s="3">
        <f>IF(A25=0,Inputs!$E$24,IF(AND(A25&gt;=Inputs!$F$24,A25&lt;=Inputs!$G$24),Inputs!$I$24,0))</f>
        <v>1625000.0</v>
      </c>
      <c r="P25" s="3">
        <f>IF(A25=0,Inputs!$E$25,IF(AND(A25&gt;=Inputs!$F$25,A25&lt;=Inputs!$G$25),Inputs!$I$25,0))</f>
        <v>2000000.0</v>
      </c>
      <c r="Q25" s="3">
        <f>IF(A25=0,Inputs!$E$26,IF(AND(A25&gt;=Inputs!$F$26,A25&lt;=Inputs!$G$26),Inputs!$I$26,0))</f>
        <v>0.0</v>
      </c>
      <c r="R25" s="3">
        <f>IF(A25=0,Inputs!$E$27,IF(AND(A25&gt;=Inputs!$F$27,A25&lt;=Inputs!$G$27),Inputs!$I$27,0))</f>
        <v>0.0</v>
      </c>
      <c r="S25" s="3">
        <f>SUM(C25:R25)</f>
        <v>20908333.333333332</v>
      </c>
      <c r="T25" s="3">
        <f>T24+S25</f>
        <v>310066666.6666667</v>
      </c>
      <c r="U25" s="9">
        <f>T25/Inputs!$B$4</f>
        <v>0.3100666667</v>
      </c>
    </row>
    <row r="26">
      <c r="A26" t="n">
        <v>21</v>
      </c>
      <c r="B26" s="4">
        <f>EDATE(Inputs!$B$5,A26)</f>
        <v>47284.0</v>
      </c>
      <c r="C26" s="3">
        <f>IF(A26=0,Inputs!$E$12,IF(AND(A26&gt;=Inputs!$F$12,A26&lt;=Inputs!$G$12),Inputs!$I$12,0))</f>
        <v>215237.401375325</v>
      </c>
      <c r="D26" s="3">
        <f>IF(A26=0,Inputs!$E$13,IF(AND(A26&gt;=Inputs!$F$13,A26&lt;=Inputs!$G$13),Inputs!$I$13,0))</f>
        <v>568942.8418819729</v>
      </c>
      <c r="E26" s="3">
        <f>IF(A26=0,Inputs!$E$14,IF(AND(A26&gt;=Inputs!$F$14,A26&lt;=Inputs!$G$14),Inputs!$I$14,0))</f>
        <v>341365.7051291833</v>
      </c>
      <c r="F26" s="3">
        <f>IF(A26=0,Inputs!$E$15,IF(AND(A26&gt;=Inputs!$F$15,A26&lt;=Inputs!$G$15),Inputs!$I$15,0))</f>
        <v>227577.1367527896</v>
      </c>
      <c r="G26" s="3">
        <f>IF(A26=0,Inputs!$E$16,IF(AND(A26&gt;=Inputs!$F$16,A26&lt;=Inputs!$G$16),Inputs!$I$16,0))</f>
        <v>227577.1367527896</v>
      </c>
      <c r="H26" s="3">
        <f>IF(A26=0,Inputs!$E$17,IF(AND(A26&gt;=Inputs!$F$17,A26&lt;=Inputs!$G$17),Inputs!$I$17,0))</f>
        <v>227577.1367527896</v>
      </c>
      <c r="I26" s="3">
        <f>IF(A26=0,Inputs!$E$18,IF(AND(A26&gt;=Inputs!$F$18,A26&lt;=Inputs!$G$18),Inputs!$I$18,0))</f>
        <v>227577.1367527896</v>
      </c>
      <c r="J26" s="3">
        <f>IF(A26=0,Inputs!$E$19,IF(AND(A26&gt;=Inputs!$F$19,A26&lt;=Inputs!$G$19),Inputs!$I$19,0))</f>
        <v>47478.8379356935</v>
      </c>
      <c r="K26" s="3">
        <f>IF(A26=0,Inputs!$E$20,IF(AND(A26&gt;=Inputs!$F$20,A26&lt;=Inputs!$G$20),Inputs!$I$20,0))</f>
        <v>8333333.333333333</v>
      </c>
      <c r="L26" s="3">
        <f>IF(A26&lt;Inputs!$B$9,0,IF(A26&lt;=12,Inputs!$B$8,Inputs!$B$6*(1-Inputs!$B$7)^(INT((A26-13)/12)+1)/12))</f>
        <v>3400000.0</v>
      </c>
      <c r="M26" s="3">
        <f>IF(A26=0,Inputs!$E$22,IF(AND(A26&gt;=Inputs!$F$22,A26&lt;=Inputs!$G$22),Inputs!$I$22,0))</f>
        <v>1833333.3333333333</v>
      </c>
      <c r="N26" s="3">
        <f>IF(A26=0,Inputs!$E$23,IF(AND(A26&gt;=Inputs!$F$23,A26&lt;=Inputs!$G$23),Inputs!$I$23,0))</f>
        <v>1633333.3333333333</v>
      </c>
      <c r="O26" s="3">
        <f>IF(A26=0,Inputs!$E$24,IF(AND(A26&gt;=Inputs!$F$24,A26&lt;=Inputs!$G$24),Inputs!$I$24,0))</f>
        <v>1625000.0</v>
      </c>
      <c r="P26" s="3">
        <f>IF(A26=0,Inputs!$E$25,IF(AND(A26&gt;=Inputs!$F$25,A26&lt;=Inputs!$G$25),Inputs!$I$25,0))</f>
        <v>2000000.0</v>
      </c>
      <c r="Q26" s="3">
        <f>IF(A26=0,Inputs!$E$26,IF(AND(A26&gt;=Inputs!$F$26,A26&lt;=Inputs!$G$26),Inputs!$I$26,0))</f>
        <v>0.0</v>
      </c>
      <c r="R26" s="3">
        <f>IF(A26=0,Inputs!$E$27,IF(AND(A26&gt;=Inputs!$F$27,A26&lt;=Inputs!$G$27),Inputs!$I$27,0))</f>
        <v>0.0</v>
      </c>
      <c r="S26" s="3">
        <f>SUM(C26:R26)</f>
        <v>20908333.333333332</v>
      </c>
      <c r="T26" s="3">
        <f>T25+S26</f>
        <v>330975000.0</v>
      </c>
      <c r="U26" s="9">
        <f>T26/Inputs!$B$4</f>
        <v>0.330975</v>
      </c>
    </row>
    <row r="27">
      <c r="A27" t="n">
        <v>22</v>
      </c>
      <c r="B27" s="4">
        <f>EDATE(Inputs!$B$5,A27)</f>
        <v>47314.0</v>
      </c>
      <c r="C27" s="3">
        <f>IF(A27=0,Inputs!$E$12,IF(AND(A27&gt;=Inputs!$F$12,A27&lt;=Inputs!$G$12),Inputs!$I$12,0))</f>
        <v>215237.401375325</v>
      </c>
      <c r="D27" s="3">
        <f>IF(A27=0,Inputs!$E$13,IF(AND(A27&gt;=Inputs!$F$13,A27&lt;=Inputs!$G$13),Inputs!$I$13,0))</f>
        <v>568942.8418819729</v>
      </c>
      <c r="E27" s="3">
        <f>IF(A27=0,Inputs!$E$14,IF(AND(A27&gt;=Inputs!$F$14,A27&lt;=Inputs!$G$14),Inputs!$I$14,0))</f>
        <v>341365.7051291833</v>
      </c>
      <c r="F27" s="3">
        <f>IF(A27=0,Inputs!$E$15,IF(AND(A27&gt;=Inputs!$F$15,A27&lt;=Inputs!$G$15),Inputs!$I$15,0))</f>
        <v>227577.1367527896</v>
      </c>
      <c r="G27" s="3">
        <f>IF(A27=0,Inputs!$E$16,IF(AND(A27&gt;=Inputs!$F$16,A27&lt;=Inputs!$G$16),Inputs!$I$16,0))</f>
        <v>227577.1367527896</v>
      </c>
      <c r="H27" s="3">
        <f>IF(A27=0,Inputs!$E$17,IF(AND(A27&gt;=Inputs!$F$17,A27&lt;=Inputs!$G$17),Inputs!$I$17,0))</f>
        <v>227577.1367527896</v>
      </c>
      <c r="I27" s="3">
        <f>IF(A27=0,Inputs!$E$18,IF(AND(A27&gt;=Inputs!$F$18,A27&lt;=Inputs!$G$18),Inputs!$I$18,0))</f>
        <v>227577.1367527896</v>
      </c>
      <c r="J27" s="3">
        <f>IF(A27=0,Inputs!$E$19,IF(AND(A27&gt;=Inputs!$F$19,A27&lt;=Inputs!$G$19),Inputs!$I$19,0))</f>
        <v>47478.8379356935</v>
      </c>
      <c r="K27" s="3">
        <f>IF(A27=0,Inputs!$E$20,IF(AND(A27&gt;=Inputs!$F$20,A27&lt;=Inputs!$G$20),Inputs!$I$20,0))</f>
        <v>8333333.333333333</v>
      </c>
      <c r="L27" s="3">
        <f>IF(A27&lt;Inputs!$B$9,0,IF(A27&lt;=12,Inputs!$B$8,Inputs!$B$6*(1-Inputs!$B$7)^(INT((A27-13)/12)+1)/12))</f>
        <v>3400000.0</v>
      </c>
      <c r="M27" s="3">
        <f>IF(A27=0,Inputs!$E$22,IF(AND(A27&gt;=Inputs!$F$22,A27&lt;=Inputs!$G$22),Inputs!$I$22,0))</f>
        <v>1833333.3333333333</v>
      </c>
      <c r="N27" s="3">
        <f>IF(A27=0,Inputs!$E$23,IF(AND(A27&gt;=Inputs!$F$23,A27&lt;=Inputs!$G$23),Inputs!$I$23,0))</f>
        <v>1633333.3333333333</v>
      </c>
      <c r="O27" s="3">
        <f>IF(A27=0,Inputs!$E$24,IF(AND(A27&gt;=Inputs!$F$24,A27&lt;=Inputs!$G$24),Inputs!$I$24,0))</f>
        <v>1625000.0</v>
      </c>
      <c r="P27" s="3">
        <f>IF(A27=0,Inputs!$E$25,IF(AND(A27&gt;=Inputs!$F$25,A27&lt;=Inputs!$G$25),Inputs!$I$25,0))</f>
        <v>2000000.0</v>
      </c>
      <c r="Q27" s="3">
        <f>IF(A27=0,Inputs!$E$26,IF(AND(A27&gt;=Inputs!$F$26,A27&lt;=Inputs!$G$26),Inputs!$I$26,0))</f>
        <v>0.0</v>
      </c>
      <c r="R27" s="3">
        <f>IF(A27=0,Inputs!$E$27,IF(AND(A27&gt;=Inputs!$F$27,A27&lt;=Inputs!$G$27),Inputs!$I$27,0))</f>
        <v>0.0</v>
      </c>
      <c r="S27" s="3">
        <f>SUM(C27:R27)</f>
        <v>20908333.333333332</v>
      </c>
      <c r="T27" s="3">
        <f>T26+S27</f>
        <v>351883333.3333333</v>
      </c>
      <c r="U27" s="9">
        <f>T27/Inputs!$B$4</f>
        <v>0.3518833333</v>
      </c>
    </row>
    <row r="28">
      <c r="A28" t="n">
        <v>23</v>
      </c>
      <c r="B28" s="4">
        <f>EDATE(Inputs!$B$5,A28)</f>
        <v>47345.0</v>
      </c>
      <c r="C28" s="3">
        <f>IF(A28=0,Inputs!$E$12,IF(AND(A28&gt;=Inputs!$F$12,A28&lt;=Inputs!$G$12),Inputs!$I$12,0))</f>
        <v>215237.401375325</v>
      </c>
      <c r="D28" s="3">
        <f>IF(A28=0,Inputs!$E$13,IF(AND(A28&gt;=Inputs!$F$13,A28&lt;=Inputs!$G$13),Inputs!$I$13,0))</f>
        <v>568942.8418819729</v>
      </c>
      <c r="E28" s="3">
        <f>IF(A28=0,Inputs!$E$14,IF(AND(A28&gt;=Inputs!$F$14,A28&lt;=Inputs!$G$14),Inputs!$I$14,0))</f>
        <v>341365.7051291833</v>
      </c>
      <c r="F28" s="3">
        <f>IF(A28=0,Inputs!$E$15,IF(AND(A28&gt;=Inputs!$F$15,A28&lt;=Inputs!$G$15),Inputs!$I$15,0))</f>
        <v>227577.1367527896</v>
      </c>
      <c r="G28" s="3">
        <f>IF(A28=0,Inputs!$E$16,IF(AND(A28&gt;=Inputs!$F$16,A28&lt;=Inputs!$G$16),Inputs!$I$16,0))</f>
        <v>227577.1367527896</v>
      </c>
      <c r="H28" s="3">
        <f>IF(A28=0,Inputs!$E$17,IF(AND(A28&gt;=Inputs!$F$17,A28&lt;=Inputs!$G$17),Inputs!$I$17,0))</f>
        <v>227577.1367527896</v>
      </c>
      <c r="I28" s="3">
        <f>IF(A28=0,Inputs!$E$18,IF(AND(A28&gt;=Inputs!$F$18,A28&lt;=Inputs!$G$18),Inputs!$I$18,0))</f>
        <v>227577.1367527896</v>
      </c>
      <c r="J28" s="3">
        <f>IF(A28=0,Inputs!$E$19,IF(AND(A28&gt;=Inputs!$F$19,A28&lt;=Inputs!$G$19),Inputs!$I$19,0))</f>
        <v>47478.8379356935</v>
      </c>
      <c r="K28" s="3">
        <f>IF(A28=0,Inputs!$E$20,IF(AND(A28&gt;=Inputs!$F$20,A28&lt;=Inputs!$G$20),Inputs!$I$20,0))</f>
        <v>8333333.333333333</v>
      </c>
      <c r="L28" s="3">
        <f>IF(A28&lt;Inputs!$B$9,0,IF(A28&lt;=12,Inputs!$B$8,Inputs!$B$6*(1-Inputs!$B$7)^(INT((A28-13)/12)+1)/12))</f>
        <v>3400000.0</v>
      </c>
      <c r="M28" s="3">
        <f>IF(A28=0,Inputs!$E$22,IF(AND(A28&gt;=Inputs!$F$22,A28&lt;=Inputs!$G$22),Inputs!$I$22,0))</f>
        <v>1833333.3333333333</v>
      </c>
      <c r="N28" s="3">
        <f>IF(A28=0,Inputs!$E$23,IF(AND(A28&gt;=Inputs!$F$23,A28&lt;=Inputs!$G$23),Inputs!$I$23,0))</f>
        <v>1633333.3333333333</v>
      </c>
      <c r="O28" s="3">
        <f>IF(A28=0,Inputs!$E$24,IF(AND(A28&gt;=Inputs!$F$24,A28&lt;=Inputs!$G$24),Inputs!$I$24,0))</f>
        <v>1625000.0</v>
      </c>
      <c r="P28" s="3">
        <f>IF(A28=0,Inputs!$E$25,IF(AND(A28&gt;=Inputs!$F$25,A28&lt;=Inputs!$G$25),Inputs!$I$25,0))</f>
        <v>2000000.0</v>
      </c>
      <c r="Q28" s="3">
        <f>IF(A28=0,Inputs!$E$26,IF(AND(A28&gt;=Inputs!$F$26,A28&lt;=Inputs!$G$26),Inputs!$I$26,0))</f>
        <v>0.0</v>
      </c>
      <c r="R28" s="3">
        <f>IF(A28=0,Inputs!$E$27,IF(AND(A28&gt;=Inputs!$F$27,A28&lt;=Inputs!$G$27),Inputs!$I$27,0))</f>
        <v>0.0</v>
      </c>
      <c r="S28" s="3">
        <f>SUM(C28:R28)</f>
        <v>20908333.333333332</v>
      </c>
      <c r="T28" s="3">
        <f>T27+S28</f>
        <v>372791666.6666666</v>
      </c>
      <c r="U28" s="9">
        <f>T28/Inputs!$B$4</f>
        <v>0.3727916667</v>
      </c>
    </row>
    <row r="29">
      <c r="A29" t="n">
        <v>24</v>
      </c>
      <c r="B29" s="4">
        <f>EDATE(Inputs!$B$5,A29)</f>
        <v>47376.0</v>
      </c>
      <c r="C29" s="3">
        <f>IF(A29=0,Inputs!$E$12,IF(AND(A29&gt;=Inputs!$F$12,A29&lt;=Inputs!$G$12),Inputs!$I$12,0))</f>
        <v>215237.401375325</v>
      </c>
      <c r="D29" s="3">
        <f>IF(A29=0,Inputs!$E$13,IF(AND(A29&gt;=Inputs!$F$13,A29&lt;=Inputs!$G$13),Inputs!$I$13,0))</f>
        <v>568942.8418819729</v>
      </c>
      <c r="E29" s="3">
        <f>IF(A29=0,Inputs!$E$14,IF(AND(A29&gt;=Inputs!$F$14,A29&lt;=Inputs!$G$14),Inputs!$I$14,0))</f>
        <v>341365.7051291833</v>
      </c>
      <c r="F29" s="3">
        <f>IF(A29=0,Inputs!$E$15,IF(AND(A29&gt;=Inputs!$F$15,A29&lt;=Inputs!$G$15),Inputs!$I$15,0))</f>
        <v>227577.1367527896</v>
      </c>
      <c r="G29" s="3">
        <f>IF(A29=0,Inputs!$E$16,IF(AND(A29&gt;=Inputs!$F$16,A29&lt;=Inputs!$G$16),Inputs!$I$16,0))</f>
        <v>227577.1367527896</v>
      </c>
      <c r="H29" s="3">
        <f>IF(A29=0,Inputs!$E$17,IF(AND(A29&gt;=Inputs!$F$17,A29&lt;=Inputs!$G$17),Inputs!$I$17,0))</f>
        <v>227577.1367527896</v>
      </c>
      <c r="I29" s="3">
        <f>IF(A29=0,Inputs!$E$18,IF(AND(A29&gt;=Inputs!$F$18,A29&lt;=Inputs!$G$18),Inputs!$I$18,0))</f>
        <v>227577.1367527896</v>
      </c>
      <c r="J29" s="3">
        <f>IF(A29=0,Inputs!$E$19,IF(AND(A29&gt;=Inputs!$F$19,A29&lt;=Inputs!$G$19),Inputs!$I$19,0))</f>
        <v>47478.8379356935</v>
      </c>
      <c r="K29" s="3">
        <f>IF(A29=0,Inputs!$E$20,IF(AND(A29&gt;=Inputs!$F$20,A29&lt;=Inputs!$G$20),Inputs!$I$20,0))</f>
        <v>8333333.333333333</v>
      </c>
      <c r="L29" s="3">
        <f>IF(A29&lt;Inputs!$B$9,0,IF(A29&lt;=12,Inputs!$B$8,Inputs!$B$6*(1-Inputs!$B$7)^(INT((A29-13)/12)+1)/12))</f>
        <v>3400000.0</v>
      </c>
      <c r="M29" s="3">
        <f>IF(A29=0,Inputs!$E$22,IF(AND(A29&gt;=Inputs!$F$22,A29&lt;=Inputs!$G$22),Inputs!$I$22,0))</f>
        <v>1833333.3333333333</v>
      </c>
      <c r="N29" s="3">
        <f>IF(A29=0,Inputs!$E$23,IF(AND(A29&gt;=Inputs!$F$23,A29&lt;=Inputs!$G$23),Inputs!$I$23,0))</f>
        <v>1633333.3333333333</v>
      </c>
      <c r="O29" s="3">
        <f>IF(A29=0,Inputs!$E$24,IF(AND(A29&gt;=Inputs!$F$24,A29&lt;=Inputs!$G$24),Inputs!$I$24,0))</f>
        <v>1625000.0</v>
      </c>
      <c r="P29" s="3">
        <f>IF(A29=0,Inputs!$E$25,IF(AND(A29&gt;=Inputs!$F$25,A29&lt;=Inputs!$G$25),Inputs!$I$25,0))</f>
        <v>2000000.0</v>
      </c>
      <c r="Q29" s="3">
        <f>IF(A29=0,Inputs!$E$26,IF(AND(A29&gt;=Inputs!$F$26,A29&lt;=Inputs!$G$26),Inputs!$I$26,0))</f>
        <v>0.0</v>
      </c>
      <c r="R29" s="3">
        <f>IF(A29=0,Inputs!$E$27,IF(AND(A29&gt;=Inputs!$F$27,A29&lt;=Inputs!$G$27),Inputs!$I$27,0))</f>
        <v>0.0</v>
      </c>
      <c r="S29" s="3">
        <f>SUM(C29:R29)</f>
        <v>20908333.333333332</v>
      </c>
      <c r="T29" s="3">
        <f>T28+S29</f>
        <v>393699999.99999994</v>
      </c>
      <c r="U29" s="9">
        <f>T29/Inputs!$B$4</f>
        <v>0.3937</v>
      </c>
    </row>
    <row r="30">
      <c r="A30" t="n">
        <v>25</v>
      </c>
      <c r="B30" s="4">
        <f>EDATE(Inputs!$B$5,A30)</f>
        <v>47406.0</v>
      </c>
      <c r="C30" s="3">
        <f>IF(A30=0,Inputs!$E$12,IF(AND(A30&gt;=Inputs!$F$12,A30&lt;=Inputs!$G$12),Inputs!$I$12,0))</f>
        <v>215237.401375325</v>
      </c>
      <c r="D30" s="3">
        <f>IF(A30=0,Inputs!$E$13,IF(AND(A30&gt;=Inputs!$F$13,A30&lt;=Inputs!$G$13),Inputs!$I$13,0))</f>
        <v>568942.8418819729</v>
      </c>
      <c r="E30" s="3">
        <f>IF(A30=0,Inputs!$E$14,IF(AND(A30&gt;=Inputs!$F$14,A30&lt;=Inputs!$G$14),Inputs!$I$14,0))</f>
        <v>341365.7051291833</v>
      </c>
      <c r="F30" s="3">
        <f>IF(A30=0,Inputs!$E$15,IF(AND(A30&gt;=Inputs!$F$15,A30&lt;=Inputs!$G$15),Inputs!$I$15,0))</f>
        <v>227577.1367527896</v>
      </c>
      <c r="G30" s="3">
        <f>IF(A30=0,Inputs!$E$16,IF(AND(A30&gt;=Inputs!$F$16,A30&lt;=Inputs!$G$16),Inputs!$I$16,0))</f>
        <v>227577.1367527896</v>
      </c>
      <c r="H30" s="3">
        <f>IF(A30=0,Inputs!$E$17,IF(AND(A30&gt;=Inputs!$F$17,A30&lt;=Inputs!$G$17),Inputs!$I$17,0))</f>
        <v>227577.1367527896</v>
      </c>
      <c r="I30" s="3">
        <f>IF(A30=0,Inputs!$E$18,IF(AND(A30&gt;=Inputs!$F$18,A30&lt;=Inputs!$G$18),Inputs!$I$18,0))</f>
        <v>227577.1367527896</v>
      </c>
      <c r="J30" s="3">
        <f>IF(A30=0,Inputs!$E$19,IF(AND(A30&gt;=Inputs!$F$19,A30&lt;=Inputs!$G$19),Inputs!$I$19,0))</f>
        <v>47478.8379356935</v>
      </c>
      <c r="K30" s="3">
        <f>IF(A30=0,Inputs!$E$20,IF(AND(A30&gt;=Inputs!$F$20,A30&lt;=Inputs!$G$20),Inputs!$I$20,0))</f>
        <v>8333333.333333333</v>
      </c>
      <c r="L30" s="3">
        <f>IF(A30&lt;Inputs!$B$9,0,IF(A30&lt;=12,Inputs!$B$8,Inputs!$B$6*(1-Inputs!$B$7)^(INT((A30-13)/12)+1)/12))</f>
        <v>2889999.9999999995</v>
      </c>
      <c r="M30" s="3">
        <f>IF(A30=0,Inputs!$E$22,IF(AND(A30&gt;=Inputs!$F$22,A30&lt;=Inputs!$G$22),Inputs!$I$22,0))</f>
        <v>1833333.3333333333</v>
      </c>
      <c r="N30" s="3">
        <f>IF(A30=0,Inputs!$E$23,IF(AND(A30&gt;=Inputs!$F$23,A30&lt;=Inputs!$G$23),Inputs!$I$23,0))</f>
        <v>1633333.3333333333</v>
      </c>
      <c r="O30" s="3">
        <f>IF(A30=0,Inputs!$E$24,IF(AND(A30&gt;=Inputs!$F$24,A30&lt;=Inputs!$G$24),Inputs!$I$24,0))</f>
        <v>1625000.0</v>
      </c>
      <c r="P30" s="3">
        <f>IF(A30=0,Inputs!$E$25,IF(AND(A30&gt;=Inputs!$F$25,A30&lt;=Inputs!$G$25),Inputs!$I$25,0))</f>
        <v>2000000.0</v>
      </c>
      <c r="Q30" s="3">
        <f>IF(A30=0,Inputs!$E$26,IF(AND(A30&gt;=Inputs!$F$26,A30&lt;=Inputs!$G$26),Inputs!$I$26,0))</f>
        <v>0.0</v>
      </c>
      <c r="R30" s="3">
        <f>IF(A30=0,Inputs!$E$27,IF(AND(A30&gt;=Inputs!$F$27,A30&lt;=Inputs!$G$27),Inputs!$I$27,0))</f>
        <v>0.0</v>
      </c>
      <c r="S30" s="3">
        <f>SUM(C30:R30)</f>
        <v>20398333.333333332</v>
      </c>
      <c r="T30" s="3">
        <f>T29+S30</f>
        <v>414098333.33333325</v>
      </c>
      <c r="U30" s="9">
        <f>T30/Inputs!$B$4</f>
        <v>0.4140983333</v>
      </c>
    </row>
    <row r="31">
      <c r="A31" t="n">
        <v>26</v>
      </c>
      <c r="B31" s="4">
        <f>EDATE(Inputs!$B$5,A31)</f>
        <v>47437.0</v>
      </c>
      <c r="C31" s="3">
        <f>IF(A31=0,Inputs!$E$12,IF(AND(A31&gt;=Inputs!$F$12,A31&lt;=Inputs!$G$12),Inputs!$I$12,0))</f>
        <v>215237.401375325</v>
      </c>
      <c r="D31" s="3">
        <f>IF(A31=0,Inputs!$E$13,IF(AND(A31&gt;=Inputs!$F$13,A31&lt;=Inputs!$G$13),Inputs!$I$13,0))</f>
        <v>568942.8418819729</v>
      </c>
      <c r="E31" s="3">
        <f>IF(A31=0,Inputs!$E$14,IF(AND(A31&gt;=Inputs!$F$14,A31&lt;=Inputs!$G$14),Inputs!$I$14,0))</f>
        <v>341365.7051291833</v>
      </c>
      <c r="F31" s="3">
        <f>IF(A31=0,Inputs!$E$15,IF(AND(A31&gt;=Inputs!$F$15,A31&lt;=Inputs!$G$15),Inputs!$I$15,0))</f>
        <v>227577.1367527896</v>
      </c>
      <c r="G31" s="3">
        <f>IF(A31=0,Inputs!$E$16,IF(AND(A31&gt;=Inputs!$F$16,A31&lt;=Inputs!$G$16),Inputs!$I$16,0))</f>
        <v>227577.1367527896</v>
      </c>
      <c r="H31" s="3">
        <f>IF(A31=0,Inputs!$E$17,IF(AND(A31&gt;=Inputs!$F$17,A31&lt;=Inputs!$G$17),Inputs!$I$17,0))</f>
        <v>227577.1367527896</v>
      </c>
      <c r="I31" s="3">
        <f>IF(A31=0,Inputs!$E$18,IF(AND(A31&gt;=Inputs!$F$18,A31&lt;=Inputs!$G$18),Inputs!$I$18,0))</f>
        <v>227577.1367527896</v>
      </c>
      <c r="J31" s="3">
        <f>IF(A31=0,Inputs!$E$19,IF(AND(A31&gt;=Inputs!$F$19,A31&lt;=Inputs!$G$19),Inputs!$I$19,0))</f>
        <v>47478.8379356935</v>
      </c>
      <c r="K31" s="3">
        <f>IF(A31=0,Inputs!$E$20,IF(AND(A31&gt;=Inputs!$F$20,A31&lt;=Inputs!$G$20),Inputs!$I$20,0))</f>
        <v>8333333.333333333</v>
      </c>
      <c r="L31" s="3">
        <f>IF(A31&lt;Inputs!$B$9,0,IF(A31&lt;=12,Inputs!$B$8,Inputs!$B$6*(1-Inputs!$B$7)^(INT((A31-13)/12)+1)/12))</f>
        <v>2889999.9999999995</v>
      </c>
      <c r="M31" s="3">
        <f>IF(A31=0,Inputs!$E$22,IF(AND(A31&gt;=Inputs!$F$22,A31&lt;=Inputs!$G$22),Inputs!$I$22,0))</f>
        <v>1833333.3333333333</v>
      </c>
      <c r="N31" s="3">
        <f>IF(A31=0,Inputs!$E$23,IF(AND(A31&gt;=Inputs!$F$23,A31&lt;=Inputs!$G$23),Inputs!$I$23,0))</f>
        <v>1633333.3333333333</v>
      </c>
      <c r="O31" s="3">
        <f>IF(A31=0,Inputs!$E$24,IF(AND(A31&gt;=Inputs!$F$24,A31&lt;=Inputs!$G$24),Inputs!$I$24,0))</f>
        <v>1625000.0</v>
      </c>
      <c r="P31" s="3">
        <f>IF(A31=0,Inputs!$E$25,IF(AND(A31&gt;=Inputs!$F$25,A31&lt;=Inputs!$G$25),Inputs!$I$25,0))</f>
        <v>2000000.0</v>
      </c>
      <c r="Q31" s="3">
        <f>IF(A31=0,Inputs!$E$26,IF(AND(A31&gt;=Inputs!$F$26,A31&lt;=Inputs!$G$26),Inputs!$I$26,0))</f>
        <v>0.0</v>
      </c>
      <c r="R31" s="3">
        <f>IF(A31=0,Inputs!$E$27,IF(AND(A31&gt;=Inputs!$F$27,A31&lt;=Inputs!$G$27),Inputs!$I$27,0))</f>
        <v>0.0</v>
      </c>
      <c r="S31" s="3">
        <f>SUM(C31:R31)</f>
        <v>20398333.333333332</v>
      </c>
      <c r="T31" s="3">
        <f>T30+S31</f>
        <v>434496666.66666657</v>
      </c>
      <c r="U31" s="9">
        <f>T31/Inputs!$B$4</f>
        <v>0.4344966667</v>
      </c>
    </row>
    <row r="32">
      <c r="A32" t="n">
        <v>27</v>
      </c>
      <c r="B32" s="4">
        <f>EDATE(Inputs!$B$5,A32)</f>
        <v>47467.0</v>
      </c>
      <c r="C32" s="3">
        <f>IF(A32=0,Inputs!$E$12,IF(AND(A32&gt;=Inputs!$F$12,A32&lt;=Inputs!$G$12),Inputs!$I$12,0))</f>
        <v>215237.401375325</v>
      </c>
      <c r="D32" s="3">
        <f>IF(A32=0,Inputs!$E$13,IF(AND(A32&gt;=Inputs!$F$13,A32&lt;=Inputs!$G$13),Inputs!$I$13,0))</f>
        <v>568942.8418819729</v>
      </c>
      <c r="E32" s="3">
        <f>IF(A32=0,Inputs!$E$14,IF(AND(A32&gt;=Inputs!$F$14,A32&lt;=Inputs!$G$14),Inputs!$I$14,0))</f>
        <v>341365.7051291833</v>
      </c>
      <c r="F32" s="3">
        <f>IF(A32=0,Inputs!$E$15,IF(AND(A32&gt;=Inputs!$F$15,A32&lt;=Inputs!$G$15),Inputs!$I$15,0))</f>
        <v>227577.1367527896</v>
      </c>
      <c r="G32" s="3">
        <f>IF(A32=0,Inputs!$E$16,IF(AND(A32&gt;=Inputs!$F$16,A32&lt;=Inputs!$G$16),Inputs!$I$16,0))</f>
        <v>227577.1367527896</v>
      </c>
      <c r="H32" s="3">
        <f>IF(A32=0,Inputs!$E$17,IF(AND(A32&gt;=Inputs!$F$17,A32&lt;=Inputs!$G$17),Inputs!$I$17,0))</f>
        <v>227577.1367527896</v>
      </c>
      <c r="I32" s="3">
        <f>IF(A32=0,Inputs!$E$18,IF(AND(A32&gt;=Inputs!$F$18,A32&lt;=Inputs!$G$18),Inputs!$I$18,0))</f>
        <v>227577.1367527896</v>
      </c>
      <c r="J32" s="3">
        <f>IF(A32=0,Inputs!$E$19,IF(AND(A32&gt;=Inputs!$F$19,A32&lt;=Inputs!$G$19),Inputs!$I$19,0))</f>
        <v>47478.8379356935</v>
      </c>
      <c r="K32" s="3">
        <f>IF(A32=0,Inputs!$E$20,IF(AND(A32&gt;=Inputs!$F$20,A32&lt;=Inputs!$G$20),Inputs!$I$20,0))</f>
        <v>8333333.333333333</v>
      </c>
      <c r="L32" s="3">
        <f>IF(A32&lt;Inputs!$B$9,0,IF(A32&lt;=12,Inputs!$B$8,Inputs!$B$6*(1-Inputs!$B$7)^(INT((A32-13)/12)+1)/12))</f>
        <v>2889999.9999999995</v>
      </c>
      <c r="M32" s="3">
        <f>IF(A32=0,Inputs!$E$22,IF(AND(A32&gt;=Inputs!$F$22,A32&lt;=Inputs!$G$22),Inputs!$I$22,0))</f>
        <v>1833333.3333333333</v>
      </c>
      <c r="N32" s="3">
        <f>IF(A32=0,Inputs!$E$23,IF(AND(A32&gt;=Inputs!$F$23,A32&lt;=Inputs!$G$23),Inputs!$I$23,0))</f>
        <v>1633333.3333333333</v>
      </c>
      <c r="O32" s="3">
        <f>IF(A32=0,Inputs!$E$24,IF(AND(A32&gt;=Inputs!$F$24,A32&lt;=Inputs!$G$24),Inputs!$I$24,0))</f>
        <v>1625000.0</v>
      </c>
      <c r="P32" s="3">
        <f>IF(A32=0,Inputs!$E$25,IF(AND(A32&gt;=Inputs!$F$25,A32&lt;=Inputs!$G$25),Inputs!$I$25,0))</f>
        <v>2000000.0</v>
      </c>
      <c r="Q32" s="3">
        <f>IF(A32=0,Inputs!$E$26,IF(AND(A32&gt;=Inputs!$F$26,A32&lt;=Inputs!$G$26),Inputs!$I$26,0))</f>
        <v>0.0</v>
      </c>
      <c r="R32" s="3">
        <f>IF(A32=0,Inputs!$E$27,IF(AND(A32&gt;=Inputs!$F$27,A32&lt;=Inputs!$G$27),Inputs!$I$27,0))</f>
        <v>0.0</v>
      </c>
      <c r="S32" s="3">
        <f>SUM(C32:R32)</f>
        <v>20398333.333333332</v>
      </c>
      <c r="T32" s="3">
        <f>T31+S32</f>
        <v>454894999.9999999</v>
      </c>
      <c r="U32" s="9">
        <f>T32/Inputs!$B$4</f>
        <v>0.454895</v>
      </c>
    </row>
    <row r="33">
      <c r="A33" t="n">
        <v>28</v>
      </c>
      <c r="B33" s="4">
        <f>EDATE(Inputs!$B$5,A33)</f>
        <v>47498.0</v>
      </c>
      <c r="C33" s="3">
        <f>IF(A33=0,Inputs!$E$12,IF(AND(A33&gt;=Inputs!$F$12,A33&lt;=Inputs!$G$12),Inputs!$I$12,0))</f>
        <v>215237.401375325</v>
      </c>
      <c r="D33" s="3">
        <f>IF(A33=0,Inputs!$E$13,IF(AND(A33&gt;=Inputs!$F$13,A33&lt;=Inputs!$G$13),Inputs!$I$13,0))</f>
        <v>568942.8418819729</v>
      </c>
      <c r="E33" s="3">
        <f>IF(A33=0,Inputs!$E$14,IF(AND(A33&gt;=Inputs!$F$14,A33&lt;=Inputs!$G$14),Inputs!$I$14,0))</f>
        <v>341365.7051291833</v>
      </c>
      <c r="F33" s="3">
        <f>IF(A33=0,Inputs!$E$15,IF(AND(A33&gt;=Inputs!$F$15,A33&lt;=Inputs!$G$15),Inputs!$I$15,0))</f>
        <v>227577.1367527896</v>
      </c>
      <c r="G33" s="3">
        <f>IF(A33=0,Inputs!$E$16,IF(AND(A33&gt;=Inputs!$F$16,A33&lt;=Inputs!$G$16),Inputs!$I$16,0))</f>
        <v>227577.1367527896</v>
      </c>
      <c r="H33" s="3">
        <f>IF(A33=0,Inputs!$E$17,IF(AND(A33&gt;=Inputs!$F$17,A33&lt;=Inputs!$G$17),Inputs!$I$17,0))</f>
        <v>227577.1367527896</v>
      </c>
      <c r="I33" s="3">
        <f>IF(A33=0,Inputs!$E$18,IF(AND(A33&gt;=Inputs!$F$18,A33&lt;=Inputs!$G$18),Inputs!$I$18,0))</f>
        <v>227577.1367527896</v>
      </c>
      <c r="J33" s="3">
        <f>IF(A33=0,Inputs!$E$19,IF(AND(A33&gt;=Inputs!$F$19,A33&lt;=Inputs!$G$19),Inputs!$I$19,0))</f>
        <v>47478.8379356935</v>
      </c>
      <c r="K33" s="3">
        <f>IF(A33=0,Inputs!$E$20,IF(AND(A33&gt;=Inputs!$F$20,A33&lt;=Inputs!$G$20),Inputs!$I$20,0))</f>
        <v>8333333.333333333</v>
      </c>
      <c r="L33" s="3">
        <f>IF(A33&lt;Inputs!$B$9,0,IF(A33&lt;=12,Inputs!$B$8,Inputs!$B$6*(1-Inputs!$B$7)^(INT((A33-13)/12)+1)/12))</f>
        <v>2889999.9999999995</v>
      </c>
      <c r="M33" s="3">
        <f>IF(A33=0,Inputs!$E$22,IF(AND(A33&gt;=Inputs!$F$22,A33&lt;=Inputs!$G$22),Inputs!$I$22,0))</f>
        <v>1833333.3333333333</v>
      </c>
      <c r="N33" s="3">
        <f>IF(A33=0,Inputs!$E$23,IF(AND(A33&gt;=Inputs!$F$23,A33&lt;=Inputs!$G$23),Inputs!$I$23,0))</f>
        <v>1633333.3333333333</v>
      </c>
      <c r="O33" s="3">
        <f>IF(A33=0,Inputs!$E$24,IF(AND(A33&gt;=Inputs!$F$24,A33&lt;=Inputs!$G$24),Inputs!$I$24,0))</f>
        <v>1625000.0</v>
      </c>
      <c r="P33" s="3">
        <f>IF(A33=0,Inputs!$E$25,IF(AND(A33&gt;=Inputs!$F$25,A33&lt;=Inputs!$G$25),Inputs!$I$25,0))</f>
        <v>2000000.0</v>
      </c>
      <c r="Q33" s="3">
        <f>IF(A33=0,Inputs!$E$26,IF(AND(A33&gt;=Inputs!$F$26,A33&lt;=Inputs!$G$26),Inputs!$I$26,0))</f>
        <v>0.0</v>
      </c>
      <c r="R33" s="3">
        <f>IF(A33=0,Inputs!$E$27,IF(AND(A33&gt;=Inputs!$F$27,A33&lt;=Inputs!$G$27),Inputs!$I$27,0))</f>
        <v>0.0</v>
      </c>
      <c r="S33" s="3">
        <f>SUM(C33:R33)</f>
        <v>20398333.333333332</v>
      </c>
      <c r="T33" s="3">
        <f>T32+S33</f>
        <v>475293333.3333332</v>
      </c>
      <c r="U33" s="9">
        <f>T33/Inputs!$B$4</f>
        <v>0.4752933333</v>
      </c>
    </row>
    <row r="34">
      <c r="A34" t="n">
        <v>29</v>
      </c>
      <c r="B34" s="4">
        <f>EDATE(Inputs!$B$5,A34)</f>
        <v>47529.0</v>
      </c>
      <c r="C34" s="3">
        <f>IF(A34=0,Inputs!$E$12,IF(AND(A34&gt;=Inputs!$F$12,A34&lt;=Inputs!$G$12),Inputs!$I$12,0))</f>
        <v>215237.401375325</v>
      </c>
      <c r="D34" s="3">
        <f>IF(A34=0,Inputs!$E$13,IF(AND(A34&gt;=Inputs!$F$13,A34&lt;=Inputs!$G$13),Inputs!$I$13,0))</f>
        <v>568942.8418819729</v>
      </c>
      <c r="E34" s="3">
        <f>IF(A34=0,Inputs!$E$14,IF(AND(A34&gt;=Inputs!$F$14,A34&lt;=Inputs!$G$14),Inputs!$I$14,0))</f>
        <v>341365.7051291833</v>
      </c>
      <c r="F34" s="3">
        <f>IF(A34=0,Inputs!$E$15,IF(AND(A34&gt;=Inputs!$F$15,A34&lt;=Inputs!$G$15),Inputs!$I$15,0))</f>
        <v>227577.1367527896</v>
      </c>
      <c r="G34" s="3">
        <f>IF(A34=0,Inputs!$E$16,IF(AND(A34&gt;=Inputs!$F$16,A34&lt;=Inputs!$G$16),Inputs!$I$16,0))</f>
        <v>227577.1367527896</v>
      </c>
      <c r="H34" s="3">
        <f>IF(A34=0,Inputs!$E$17,IF(AND(A34&gt;=Inputs!$F$17,A34&lt;=Inputs!$G$17),Inputs!$I$17,0))</f>
        <v>227577.1367527896</v>
      </c>
      <c r="I34" s="3">
        <f>IF(A34=0,Inputs!$E$18,IF(AND(A34&gt;=Inputs!$F$18,A34&lt;=Inputs!$G$18),Inputs!$I$18,0))</f>
        <v>227577.1367527896</v>
      </c>
      <c r="J34" s="3">
        <f>IF(A34=0,Inputs!$E$19,IF(AND(A34&gt;=Inputs!$F$19,A34&lt;=Inputs!$G$19),Inputs!$I$19,0))</f>
        <v>47478.8379356935</v>
      </c>
      <c r="K34" s="3">
        <f>IF(A34=0,Inputs!$E$20,IF(AND(A34&gt;=Inputs!$F$20,A34&lt;=Inputs!$G$20),Inputs!$I$20,0))</f>
        <v>8333333.333333333</v>
      </c>
      <c r="L34" s="3">
        <f>IF(A34&lt;Inputs!$B$9,0,IF(A34&lt;=12,Inputs!$B$8,Inputs!$B$6*(1-Inputs!$B$7)^(INT((A34-13)/12)+1)/12))</f>
        <v>2889999.9999999995</v>
      </c>
      <c r="M34" s="3">
        <f>IF(A34=0,Inputs!$E$22,IF(AND(A34&gt;=Inputs!$F$22,A34&lt;=Inputs!$G$22),Inputs!$I$22,0))</f>
        <v>1833333.3333333333</v>
      </c>
      <c r="N34" s="3">
        <f>IF(A34=0,Inputs!$E$23,IF(AND(A34&gt;=Inputs!$F$23,A34&lt;=Inputs!$G$23),Inputs!$I$23,0))</f>
        <v>1633333.3333333333</v>
      </c>
      <c r="O34" s="3">
        <f>IF(A34=0,Inputs!$E$24,IF(AND(A34&gt;=Inputs!$F$24,A34&lt;=Inputs!$G$24),Inputs!$I$24,0))</f>
        <v>1625000.0</v>
      </c>
      <c r="P34" s="3">
        <f>IF(A34=0,Inputs!$E$25,IF(AND(A34&gt;=Inputs!$F$25,A34&lt;=Inputs!$G$25),Inputs!$I$25,0))</f>
        <v>2000000.0</v>
      </c>
      <c r="Q34" s="3">
        <f>IF(A34=0,Inputs!$E$26,IF(AND(A34&gt;=Inputs!$F$26,A34&lt;=Inputs!$G$26),Inputs!$I$26,0))</f>
        <v>0.0</v>
      </c>
      <c r="R34" s="3">
        <f>IF(A34=0,Inputs!$E$27,IF(AND(A34&gt;=Inputs!$F$27,A34&lt;=Inputs!$G$27),Inputs!$I$27,0))</f>
        <v>0.0</v>
      </c>
      <c r="S34" s="3">
        <f>SUM(C34:R34)</f>
        <v>20398333.333333332</v>
      </c>
      <c r="T34" s="3">
        <f>T33+S34</f>
        <v>495691666.6666665</v>
      </c>
      <c r="U34" s="9">
        <f>T34/Inputs!$B$4</f>
        <v>0.4956916667</v>
      </c>
    </row>
    <row r="35">
      <c r="A35" t="n">
        <v>30</v>
      </c>
      <c r="B35" s="4">
        <f>EDATE(Inputs!$B$5,A35)</f>
        <v>47557.0</v>
      </c>
      <c r="C35" s="3">
        <f>IF(A35=0,Inputs!$E$12,IF(AND(A35&gt;=Inputs!$F$12,A35&lt;=Inputs!$G$12),Inputs!$I$12,0))</f>
        <v>215237.401375325</v>
      </c>
      <c r="D35" s="3">
        <f>IF(A35=0,Inputs!$E$13,IF(AND(A35&gt;=Inputs!$F$13,A35&lt;=Inputs!$G$13),Inputs!$I$13,0))</f>
        <v>568942.8418819729</v>
      </c>
      <c r="E35" s="3">
        <f>IF(A35=0,Inputs!$E$14,IF(AND(A35&gt;=Inputs!$F$14,A35&lt;=Inputs!$G$14),Inputs!$I$14,0))</f>
        <v>341365.7051291833</v>
      </c>
      <c r="F35" s="3">
        <f>IF(A35=0,Inputs!$E$15,IF(AND(A35&gt;=Inputs!$F$15,A35&lt;=Inputs!$G$15),Inputs!$I$15,0))</f>
        <v>227577.1367527896</v>
      </c>
      <c r="G35" s="3">
        <f>IF(A35=0,Inputs!$E$16,IF(AND(A35&gt;=Inputs!$F$16,A35&lt;=Inputs!$G$16),Inputs!$I$16,0))</f>
        <v>227577.1367527896</v>
      </c>
      <c r="H35" s="3">
        <f>IF(A35=0,Inputs!$E$17,IF(AND(A35&gt;=Inputs!$F$17,A35&lt;=Inputs!$G$17),Inputs!$I$17,0))</f>
        <v>227577.1367527896</v>
      </c>
      <c r="I35" s="3">
        <f>IF(A35=0,Inputs!$E$18,IF(AND(A35&gt;=Inputs!$F$18,A35&lt;=Inputs!$G$18),Inputs!$I$18,0))</f>
        <v>227577.1367527896</v>
      </c>
      <c r="J35" s="3">
        <f>IF(A35=0,Inputs!$E$19,IF(AND(A35&gt;=Inputs!$F$19,A35&lt;=Inputs!$G$19),Inputs!$I$19,0))</f>
        <v>47478.8379356935</v>
      </c>
      <c r="K35" s="3">
        <f>IF(A35=0,Inputs!$E$20,IF(AND(A35&gt;=Inputs!$F$20,A35&lt;=Inputs!$G$20),Inputs!$I$20,0))</f>
        <v>8333333.333333333</v>
      </c>
      <c r="L35" s="3">
        <f>IF(A35&lt;Inputs!$B$9,0,IF(A35&lt;=12,Inputs!$B$8,Inputs!$B$6*(1-Inputs!$B$7)^(INT((A35-13)/12)+1)/12))</f>
        <v>2889999.9999999995</v>
      </c>
      <c r="M35" s="3">
        <f>IF(A35=0,Inputs!$E$22,IF(AND(A35&gt;=Inputs!$F$22,A35&lt;=Inputs!$G$22),Inputs!$I$22,0))</f>
        <v>1833333.3333333333</v>
      </c>
      <c r="N35" s="3">
        <f>IF(A35=0,Inputs!$E$23,IF(AND(A35&gt;=Inputs!$F$23,A35&lt;=Inputs!$G$23),Inputs!$I$23,0))</f>
        <v>1633333.3333333333</v>
      </c>
      <c r="O35" s="3">
        <f>IF(A35=0,Inputs!$E$24,IF(AND(A35&gt;=Inputs!$F$24,A35&lt;=Inputs!$G$24),Inputs!$I$24,0))</f>
        <v>1625000.0</v>
      </c>
      <c r="P35" s="3">
        <f>IF(A35=0,Inputs!$E$25,IF(AND(A35&gt;=Inputs!$F$25,A35&lt;=Inputs!$G$25),Inputs!$I$25,0))</f>
        <v>2000000.0</v>
      </c>
      <c r="Q35" s="3">
        <f>IF(A35=0,Inputs!$E$26,IF(AND(A35&gt;=Inputs!$F$26,A35&lt;=Inputs!$G$26),Inputs!$I$26,0))</f>
        <v>0.0</v>
      </c>
      <c r="R35" s="3">
        <f>IF(A35=0,Inputs!$E$27,IF(AND(A35&gt;=Inputs!$F$27,A35&lt;=Inputs!$G$27),Inputs!$I$27,0))</f>
        <v>0.0</v>
      </c>
      <c r="S35" s="3">
        <f>SUM(C35:R35)</f>
        <v>20398333.333333332</v>
      </c>
      <c r="T35" s="3">
        <f>T34+S35</f>
        <v>516089999.9999998</v>
      </c>
      <c r="U35" s="9">
        <f>T35/Inputs!$B$4</f>
        <v>0.51609</v>
      </c>
    </row>
    <row r="36">
      <c r="A36" t="n">
        <v>31</v>
      </c>
      <c r="B36" s="4">
        <f>EDATE(Inputs!$B$5,A36)</f>
        <v>47588.0</v>
      </c>
      <c r="C36" s="3">
        <f>IF(A36=0,Inputs!$E$12,IF(AND(A36&gt;=Inputs!$F$12,A36&lt;=Inputs!$G$12),Inputs!$I$12,0))</f>
        <v>215237.401375325</v>
      </c>
      <c r="D36" s="3">
        <f>IF(A36=0,Inputs!$E$13,IF(AND(A36&gt;=Inputs!$F$13,A36&lt;=Inputs!$G$13),Inputs!$I$13,0))</f>
        <v>568942.8418819729</v>
      </c>
      <c r="E36" s="3">
        <f>IF(A36=0,Inputs!$E$14,IF(AND(A36&gt;=Inputs!$F$14,A36&lt;=Inputs!$G$14),Inputs!$I$14,0))</f>
        <v>341365.7051291833</v>
      </c>
      <c r="F36" s="3">
        <f>IF(A36=0,Inputs!$E$15,IF(AND(A36&gt;=Inputs!$F$15,A36&lt;=Inputs!$G$15),Inputs!$I$15,0))</f>
        <v>227577.1367527896</v>
      </c>
      <c r="G36" s="3">
        <f>IF(A36=0,Inputs!$E$16,IF(AND(A36&gt;=Inputs!$F$16,A36&lt;=Inputs!$G$16),Inputs!$I$16,0))</f>
        <v>227577.1367527896</v>
      </c>
      <c r="H36" s="3">
        <f>IF(A36=0,Inputs!$E$17,IF(AND(A36&gt;=Inputs!$F$17,A36&lt;=Inputs!$G$17),Inputs!$I$17,0))</f>
        <v>227577.1367527896</v>
      </c>
      <c r="I36" s="3">
        <f>IF(A36=0,Inputs!$E$18,IF(AND(A36&gt;=Inputs!$F$18,A36&lt;=Inputs!$G$18),Inputs!$I$18,0))</f>
        <v>227577.1367527896</v>
      </c>
      <c r="J36" s="3">
        <f>IF(A36=0,Inputs!$E$19,IF(AND(A36&gt;=Inputs!$F$19,A36&lt;=Inputs!$G$19),Inputs!$I$19,0))</f>
        <v>47478.8379356935</v>
      </c>
      <c r="K36" s="3">
        <f>IF(A36=0,Inputs!$E$20,IF(AND(A36&gt;=Inputs!$F$20,A36&lt;=Inputs!$G$20),Inputs!$I$20,0))</f>
        <v>8333333.333333333</v>
      </c>
      <c r="L36" s="3">
        <f>IF(A36&lt;Inputs!$B$9,0,IF(A36&lt;=12,Inputs!$B$8,Inputs!$B$6*(1-Inputs!$B$7)^(INT((A36-13)/12)+1)/12))</f>
        <v>2889999.9999999995</v>
      </c>
      <c r="M36" s="3">
        <f>IF(A36=0,Inputs!$E$22,IF(AND(A36&gt;=Inputs!$F$22,A36&lt;=Inputs!$G$22),Inputs!$I$22,0))</f>
        <v>0.0</v>
      </c>
      <c r="N36" s="3">
        <f>IF(A36=0,Inputs!$E$23,IF(AND(A36&gt;=Inputs!$F$23,A36&lt;=Inputs!$G$23),Inputs!$I$23,0))</f>
        <v>1633333.3333333333</v>
      </c>
      <c r="O36" s="3">
        <f>IF(A36=0,Inputs!$E$24,IF(AND(A36&gt;=Inputs!$F$24,A36&lt;=Inputs!$G$24),Inputs!$I$24,0))</f>
        <v>1625000.0</v>
      </c>
      <c r="P36" s="3">
        <f>IF(A36=0,Inputs!$E$25,IF(AND(A36&gt;=Inputs!$F$25,A36&lt;=Inputs!$G$25),Inputs!$I$25,0))</f>
        <v>2000000.0</v>
      </c>
      <c r="Q36" s="3">
        <f>IF(A36=0,Inputs!$E$26,IF(AND(A36&gt;=Inputs!$F$26,A36&lt;=Inputs!$G$26),Inputs!$I$26,0))</f>
        <v>0.0</v>
      </c>
      <c r="R36" s="3">
        <f>IF(A36=0,Inputs!$E$27,IF(AND(A36&gt;=Inputs!$F$27,A36&lt;=Inputs!$G$27),Inputs!$I$27,0))</f>
        <v>0.0</v>
      </c>
      <c r="S36" s="3">
        <f>SUM(C36:R36)</f>
        <v>18564999.999999996</v>
      </c>
      <c r="T36" s="3">
        <f>T35+S36</f>
        <v>534654999.9999998</v>
      </c>
      <c r="U36" s="9">
        <f>T36/Inputs!$B$4</f>
        <v>0.534655</v>
      </c>
    </row>
    <row r="37">
      <c r="A37" t="n">
        <v>32</v>
      </c>
      <c r="B37" s="4">
        <f>EDATE(Inputs!$B$5,A37)</f>
        <v>47618.0</v>
      </c>
      <c r="C37" s="3">
        <f>IF(A37=0,Inputs!$E$12,IF(AND(A37&gt;=Inputs!$F$12,A37&lt;=Inputs!$G$12),Inputs!$I$12,0))</f>
        <v>215237.401375325</v>
      </c>
      <c r="D37" s="3">
        <f>IF(A37=0,Inputs!$E$13,IF(AND(A37&gt;=Inputs!$F$13,A37&lt;=Inputs!$G$13),Inputs!$I$13,0))</f>
        <v>568942.8418819729</v>
      </c>
      <c r="E37" s="3">
        <f>IF(A37=0,Inputs!$E$14,IF(AND(A37&gt;=Inputs!$F$14,A37&lt;=Inputs!$G$14),Inputs!$I$14,0))</f>
        <v>341365.7051291833</v>
      </c>
      <c r="F37" s="3">
        <f>IF(A37=0,Inputs!$E$15,IF(AND(A37&gt;=Inputs!$F$15,A37&lt;=Inputs!$G$15),Inputs!$I$15,0))</f>
        <v>227577.1367527896</v>
      </c>
      <c r="G37" s="3">
        <f>IF(A37=0,Inputs!$E$16,IF(AND(A37&gt;=Inputs!$F$16,A37&lt;=Inputs!$G$16),Inputs!$I$16,0))</f>
        <v>227577.1367527896</v>
      </c>
      <c r="H37" s="3">
        <f>IF(A37=0,Inputs!$E$17,IF(AND(A37&gt;=Inputs!$F$17,A37&lt;=Inputs!$G$17),Inputs!$I$17,0))</f>
        <v>227577.1367527896</v>
      </c>
      <c r="I37" s="3">
        <f>IF(A37=0,Inputs!$E$18,IF(AND(A37&gt;=Inputs!$F$18,A37&lt;=Inputs!$G$18),Inputs!$I$18,0))</f>
        <v>227577.1367527896</v>
      </c>
      <c r="J37" s="3">
        <f>IF(A37=0,Inputs!$E$19,IF(AND(A37&gt;=Inputs!$F$19,A37&lt;=Inputs!$G$19),Inputs!$I$19,0))</f>
        <v>47478.8379356935</v>
      </c>
      <c r="K37" s="3">
        <f>IF(A37=0,Inputs!$E$20,IF(AND(A37&gt;=Inputs!$F$20,A37&lt;=Inputs!$G$20),Inputs!$I$20,0))</f>
        <v>8333333.333333333</v>
      </c>
      <c r="L37" s="3">
        <f>IF(A37&lt;Inputs!$B$9,0,IF(A37&lt;=12,Inputs!$B$8,Inputs!$B$6*(1-Inputs!$B$7)^(INT((A37-13)/12)+1)/12))</f>
        <v>2889999.9999999995</v>
      </c>
      <c r="M37" s="3">
        <f>IF(A37=0,Inputs!$E$22,IF(AND(A37&gt;=Inputs!$F$22,A37&lt;=Inputs!$G$22),Inputs!$I$22,0))</f>
        <v>0.0</v>
      </c>
      <c r="N37" s="3">
        <f>IF(A37=0,Inputs!$E$23,IF(AND(A37&gt;=Inputs!$F$23,A37&lt;=Inputs!$G$23),Inputs!$I$23,0))</f>
        <v>1633333.3333333333</v>
      </c>
      <c r="O37" s="3">
        <f>IF(A37=0,Inputs!$E$24,IF(AND(A37&gt;=Inputs!$F$24,A37&lt;=Inputs!$G$24),Inputs!$I$24,0))</f>
        <v>1625000.0</v>
      </c>
      <c r="P37" s="3">
        <f>IF(A37=0,Inputs!$E$25,IF(AND(A37&gt;=Inputs!$F$25,A37&lt;=Inputs!$G$25),Inputs!$I$25,0))</f>
        <v>2000000.0</v>
      </c>
      <c r="Q37" s="3">
        <f>IF(A37=0,Inputs!$E$26,IF(AND(A37&gt;=Inputs!$F$26,A37&lt;=Inputs!$G$26),Inputs!$I$26,0))</f>
        <v>0.0</v>
      </c>
      <c r="R37" s="3">
        <f>IF(A37=0,Inputs!$E$27,IF(AND(A37&gt;=Inputs!$F$27,A37&lt;=Inputs!$G$27),Inputs!$I$27,0))</f>
        <v>0.0</v>
      </c>
      <c r="S37" s="3">
        <f>SUM(C37:R37)</f>
        <v>18564999.999999996</v>
      </c>
      <c r="T37" s="3">
        <f>T36+S37</f>
        <v>553219999.9999998</v>
      </c>
      <c r="U37" s="9">
        <f>T37/Inputs!$B$4</f>
        <v>0.55322</v>
      </c>
    </row>
    <row r="38">
      <c r="A38" t="n">
        <v>33</v>
      </c>
      <c r="B38" s="4">
        <f>EDATE(Inputs!$B$5,A38)</f>
        <v>47649.0</v>
      </c>
      <c r="C38" s="3">
        <f>IF(A38=0,Inputs!$E$12,IF(AND(A38&gt;=Inputs!$F$12,A38&lt;=Inputs!$G$12),Inputs!$I$12,0))</f>
        <v>215237.401375325</v>
      </c>
      <c r="D38" s="3">
        <f>IF(A38=0,Inputs!$E$13,IF(AND(A38&gt;=Inputs!$F$13,A38&lt;=Inputs!$G$13),Inputs!$I$13,0))</f>
        <v>568942.8418819729</v>
      </c>
      <c r="E38" s="3">
        <f>IF(A38=0,Inputs!$E$14,IF(AND(A38&gt;=Inputs!$F$14,A38&lt;=Inputs!$G$14),Inputs!$I$14,0))</f>
        <v>341365.7051291833</v>
      </c>
      <c r="F38" s="3">
        <f>IF(A38=0,Inputs!$E$15,IF(AND(A38&gt;=Inputs!$F$15,A38&lt;=Inputs!$G$15),Inputs!$I$15,0))</f>
        <v>227577.1367527896</v>
      </c>
      <c r="G38" s="3">
        <f>IF(A38=0,Inputs!$E$16,IF(AND(A38&gt;=Inputs!$F$16,A38&lt;=Inputs!$G$16),Inputs!$I$16,0))</f>
        <v>227577.1367527896</v>
      </c>
      <c r="H38" s="3">
        <f>IF(A38=0,Inputs!$E$17,IF(AND(A38&gt;=Inputs!$F$17,A38&lt;=Inputs!$G$17),Inputs!$I$17,0))</f>
        <v>227577.1367527896</v>
      </c>
      <c r="I38" s="3">
        <f>IF(A38=0,Inputs!$E$18,IF(AND(A38&gt;=Inputs!$F$18,A38&lt;=Inputs!$G$18),Inputs!$I$18,0))</f>
        <v>227577.1367527896</v>
      </c>
      <c r="J38" s="3">
        <f>IF(A38=0,Inputs!$E$19,IF(AND(A38&gt;=Inputs!$F$19,A38&lt;=Inputs!$G$19),Inputs!$I$19,0))</f>
        <v>47478.8379356935</v>
      </c>
      <c r="K38" s="3">
        <f>IF(A38=0,Inputs!$E$20,IF(AND(A38&gt;=Inputs!$F$20,A38&lt;=Inputs!$G$20),Inputs!$I$20,0))</f>
        <v>8333333.333333333</v>
      </c>
      <c r="L38" s="3">
        <f>IF(A38&lt;Inputs!$B$9,0,IF(A38&lt;=12,Inputs!$B$8,Inputs!$B$6*(1-Inputs!$B$7)^(INT((A38-13)/12)+1)/12))</f>
        <v>2889999.9999999995</v>
      </c>
      <c r="M38" s="3">
        <f>IF(A38=0,Inputs!$E$22,IF(AND(A38&gt;=Inputs!$F$22,A38&lt;=Inputs!$G$22),Inputs!$I$22,0))</f>
        <v>0.0</v>
      </c>
      <c r="N38" s="3">
        <f>IF(A38=0,Inputs!$E$23,IF(AND(A38&gt;=Inputs!$F$23,A38&lt;=Inputs!$G$23),Inputs!$I$23,0))</f>
        <v>1633333.3333333333</v>
      </c>
      <c r="O38" s="3">
        <f>IF(A38=0,Inputs!$E$24,IF(AND(A38&gt;=Inputs!$F$24,A38&lt;=Inputs!$G$24),Inputs!$I$24,0))</f>
        <v>1625000.0</v>
      </c>
      <c r="P38" s="3">
        <f>IF(A38=0,Inputs!$E$25,IF(AND(A38&gt;=Inputs!$F$25,A38&lt;=Inputs!$G$25),Inputs!$I$25,0))</f>
        <v>2000000.0</v>
      </c>
      <c r="Q38" s="3">
        <f>IF(A38=0,Inputs!$E$26,IF(AND(A38&gt;=Inputs!$F$26,A38&lt;=Inputs!$G$26),Inputs!$I$26,0))</f>
        <v>0.0</v>
      </c>
      <c r="R38" s="3">
        <f>IF(A38=0,Inputs!$E$27,IF(AND(A38&gt;=Inputs!$F$27,A38&lt;=Inputs!$G$27),Inputs!$I$27,0))</f>
        <v>0.0</v>
      </c>
      <c r="S38" s="3">
        <f>SUM(C38:R38)</f>
        <v>18564999.999999996</v>
      </c>
      <c r="T38" s="3">
        <f>T37+S38</f>
        <v>571784999.9999998</v>
      </c>
      <c r="U38" s="9">
        <f>T38/Inputs!$B$4</f>
        <v>0.571785</v>
      </c>
    </row>
    <row r="39">
      <c r="A39" t="n">
        <v>34</v>
      </c>
      <c r="B39" s="4">
        <f>EDATE(Inputs!$B$5,A39)</f>
        <v>47679.0</v>
      </c>
      <c r="C39" s="3">
        <f>IF(A39=0,Inputs!$E$12,IF(AND(A39&gt;=Inputs!$F$12,A39&lt;=Inputs!$G$12),Inputs!$I$12,0))</f>
        <v>215237.401375325</v>
      </c>
      <c r="D39" s="3">
        <f>IF(A39=0,Inputs!$E$13,IF(AND(A39&gt;=Inputs!$F$13,A39&lt;=Inputs!$G$13),Inputs!$I$13,0))</f>
        <v>568942.8418819729</v>
      </c>
      <c r="E39" s="3">
        <f>IF(A39=0,Inputs!$E$14,IF(AND(A39&gt;=Inputs!$F$14,A39&lt;=Inputs!$G$14),Inputs!$I$14,0))</f>
        <v>341365.7051291833</v>
      </c>
      <c r="F39" s="3">
        <f>IF(A39=0,Inputs!$E$15,IF(AND(A39&gt;=Inputs!$F$15,A39&lt;=Inputs!$G$15),Inputs!$I$15,0))</f>
        <v>227577.1367527896</v>
      </c>
      <c r="G39" s="3">
        <f>IF(A39=0,Inputs!$E$16,IF(AND(A39&gt;=Inputs!$F$16,A39&lt;=Inputs!$G$16),Inputs!$I$16,0))</f>
        <v>227577.1367527896</v>
      </c>
      <c r="H39" s="3">
        <f>IF(A39=0,Inputs!$E$17,IF(AND(A39&gt;=Inputs!$F$17,A39&lt;=Inputs!$G$17),Inputs!$I$17,0))</f>
        <v>227577.1367527896</v>
      </c>
      <c r="I39" s="3">
        <f>IF(A39=0,Inputs!$E$18,IF(AND(A39&gt;=Inputs!$F$18,A39&lt;=Inputs!$G$18),Inputs!$I$18,0))</f>
        <v>227577.1367527896</v>
      </c>
      <c r="J39" s="3">
        <f>IF(A39=0,Inputs!$E$19,IF(AND(A39&gt;=Inputs!$F$19,A39&lt;=Inputs!$G$19),Inputs!$I$19,0))</f>
        <v>47478.8379356935</v>
      </c>
      <c r="K39" s="3">
        <f>IF(A39=0,Inputs!$E$20,IF(AND(A39&gt;=Inputs!$F$20,A39&lt;=Inputs!$G$20),Inputs!$I$20,0))</f>
        <v>8333333.333333333</v>
      </c>
      <c r="L39" s="3">
        <f>IF(A39&lt;Inputs!$B$9,0,IF(A39&lt;=12,Inputs!$B$8,Inputs!$B$6*(1-Inputs!$B$7)^(INT((A39-13)/12)+1)/12))</f>
        <v>2889999.9999999995</v>
      </c>
      <c r="M39" s="3">
        <f>IF(A39=0,Inputs!$E$22,IF(AND(A39&gt;=Inputs!$F$22,A39&lt;=Inputs!$G$22),Inputs!$I$22,0))</f>
        <v>0.0</v>
      </c>
      <c r="N39" s="3">
        <f>IF(A39=0,Inputs!$E$23,IF(AND(A39&gt;=Inputs!$F$23,A39&lt;=Inputs!$G$23),Inputs!$I$23,0))</f>
        <v>1633333.3333333333</v>
      </c>
      <c r="O39" s="3">
        <f>IF(A39=0,Inputs!$E$24,IF(AND(A39&gt;=Inputs!$F$24,A39&lt;=Inputs!$G$24),Inputs!$I$24,0))</f>
        <v>1625000.0</v>
      </c>
      <c r="P39" s="3">
        <f>IF(A39=0,Inputs!$E$25,IF(AND(A39&gt;=Inputs!$F$25,A39&lt;=Inputs!$G$25),Inputs!$I$25,0))</f>
        <v>2000000.0</v>
      </c>
      <c r="Q39" s="3">
        <f>IF(A39=0,Inputs!$E$26,IF(AND(A39&gt;=Inputs!$F$26,A39&lt;=Inputs!$G$26),Inputs!$I$26,0))</f>
        <v>0.0</v>
      </c>
      <c r="R39" s="3">
        <f>IF(A39=0,Inputs!$E$27,IF(AND(A39&gt;=Inputs!$F$27,A39&lt;=Inputs!$G$27),Inputs!$I$27,0))</f>
        <v>0.0</v>
      </c>
      <c r="S39" s="3">
        <f>SUM(C39:R39)</f>
        <v>18564999.999999996</v>
      </c>
      <c r="T39" s="3">
        <f>T38+S39</f>
        <v>590349999.9999998</v>
      </c>
      <c r="U39" s="9">
        <f>T39/Inputs!$B$4</f>
        <v>0.59035</v>
      </c>
    </row>
    <row r="40">
      <c r="A40" t="n">
        <v>35</v>
      </c>
      <c r="B40" s="4">
        <f>EDATE(Inputs!$B$5,A40)</f>
        <v>47710.0</v>
      </c>
      <c r="C40" s="3">
        <f>IF(A40=0,Inputs!$E$12,IF(AND(A40&gt;=Inputs!$F$12,A40&lt;=Inputs!$G$12),Inputs!$I$12,0))</f>
        <v>215237.401375325</v>
      </c>
      <c r="D40" s="3">
        <f>IF(A40=0,Inputs!$E$13,IF(AND(A40&gt;=Inputs!$F$13,A40&lt;=Inputs!$G$13),Inputs!$I$13,0))</f>
        <v>568942.8418819729</v>
      </c>
      <c r="E40" s="3">
        <f>IF(A40=0,Inputs!$E$14,IF(AND(A40&gt;=Inputs!$F$14,A40&lt;=Inputs!$G$14),Inputs!$I$14,0))</f>
        <v>341365.7051291833</v>
      </c>
      <c r="F40" s="3">
        <f>IF(A40=0,Inputs!$E$15,IF(AND(A40&gt;=Inputs!$F$15,A40&lt;=Inputs!$G$15),Inputs!$I$15,0))</f>
        <v>227577.1367527896</v>
      </c>
      <c r="G40" s="3">
        <f>IF(A40=0,Inputs!$E$16,IF(AND(A40&gt;=Inputs!$F$16,A40&lt;=Inputs!$G$16),Inputs!$I$16,0))</f>
        <v>227577.1367527896</v>
      </c>
      <c r="H40" s="3">
        <f>IF(A40=0,Inputs!$E$17,IF(AND(A40&gt;=Inputs!$F$17,A40&lt;=Inputs!$G$17),Inputs!$I$17,0))</f>
        <v>227577.1367527896</v>
      </c>
      <c r="I40" s="3">
        <f>IF(A40=0,Inputs!$E$18,IF(AND(A40&gt;=Inputs!$F$18,A40&lt;=Inputs!$G$18),Inputs!$I$18,0))</f>
        <v>227577.1367527896</v>
      </c>
      <c r="J40" s="3">
        <f>IF(A40=0,Inputs!$E$19,IF(AND(A40&gt;=Inputs!$F$19,A40&lt;=Inputs!$G$19),Inputs!$I$19,0))</f>
        <v>47478.8379356935</v>
      </c>
      <c r="K40" s="3">
        <f>IF(A40=0,Inputs!$E$20,IF(AND(A40&gt;=Inputs!$F$20,A40&lt;=Inputs!$G$20),Inputs!$I$20,0))</f>
        <v>8333333.333333333</v>
      </c>
      <c r="L40" s="3">
        <f>IF(A40&lt;Inputs!$B$9,0,IF(A40&lt;=12,Inputs!$B$8,Inputs!$B$6*(1-Inputs!$B$7)^(INT((A40-13)/12)+1)/12))</f>
        <v>2889999.9999999995</v>
      </c>
      <c r="M40" s="3">
        <f>IF(A40=0,Inputs!$E$22,IF(AND(A40&gt;=Inputs!$F$22,A40&lt;=Inputs!$G$22),Inputs!$I$22,0))</f>
        <v>0.0</v>
      </c>
      <c r="N40" s="3">
        <f>IF(A40=0,Inputs!$E$23,IF(AND(A40&gt;=Inputs!$F$23,A40&lt;=Inputs!$G$23),Inputs!$I$23,0))</f>
        <v>1633333.3333333333</v>
      </c>
      <c r="O40" s="3">
        <f>IF(A40=0,Inputs!$E$24,IF(AND(A40&gt;=Inputs!$F$24,A40&lt;=Inputs!$G$24),Inputs!$I$24,0))</f>
        <v>1625000.0</v>
      </c>
      <c r="P40" s="3">
        <f>IF(A40=0,Inputs!$E$25,IF(AND(A40&gt;=Inputs!$F$25,A40&lt;=Inputs!$G$25),Inputs!$I$25,0))</f>
        <v>2000000.0</v>
      </c>
      <c r="Q40" s="3">
        <f>IF(A40=0,Inputs!$E$26,IF(AND(A40&gt;=Inputs!$F$26,A40&lt;=Inputs!$G$26),Inputs!$I$26,0))</f>
        <v>0.0</v>
      </c>
      <c r="R40" s="3">
        <f>IF(A40=0,Inputs!$E$27,IF(AND(A40&gt;=Inputs!$F$27,A40&lt;=Inputs!$G$27),Inputs!$I$27,0))</f>
        <v>0.0</v>
      </c>
      <c r="S40" s="3">
        <f>SUM(C40:R40)</f>
        <v>18564999.999999996</v>
      </c>
      <c r="T40" s="3">
        <f>T39+S40</f>
        <v>608914999.9999998</v>
      </c>
      <c r="U40" s="9">
        <f>T40/Inputs!$B$4</f>
        <v>0.608915</v>
      </c>
    </row>
    <row r="41">
      <c r="A41" t="n">
        <v>36</v>
      </c>
      <c r="B41" s="4">
        <f>EDATE(Inputs!$B$5,A41)</f>
        <v>47741.0</v>
      </c>
      <c r="C41" s="3">
        <f>IF(A41=0,Inputs!$E$12,IF(AND(A41&gt;=Inputs!$F$12,A41&lt;=Inputs!$G$12),Inputs!$I$12,0))</f>
        <v>215237.401375325</v>
      </c>
      <c r="D41" s="3">
        <f>IF(A41=0,Inputs!$E$13,IF(AND(A41&gt;=Inputs!$F$13,A41&lt;=Inputs!$G$13),Inputs!$I$13,0))</f>
        <v>568942.8418819729</v>
      </c>
      <c r="E41" s="3">
        <f>IF(A41=0,Inputs!$E$14,IF(AND(A41&gt;=Inputs!$F$14,A41&lt;=Inputs!$G$14),Inputs!$I$14,0))</f>
        <v>341365.7051291833</v>
      </c>
      <c r="F41" s="3">
        <f>IF(A41=0,Inputs!$E$15,IF(AND(A41&gt;=Inputs!$F$15,A41&lt;=Inputs!$G$15),Inputs!$I$15,0))</f>
        <v>227577.1367527896</v>
      </c>
      <c r="G41" s="3">
        <f>IF(A41=0,Inputs!$E$16,IF(AND(A41&gt;=Inputs!$F$16,A41&lt;=Inputs!$G$16),Inputs!$I$16,0))</f>
        <v>227577.1367527896</v>
      </c>
      <c r="H41" s="3">
        <f>IF(A41=0,Inputs!$E$17,IF(AND(A41&gt;=Inputs!$F$17,A41&lt;=Inputs!$G$17),Inputs!$I$17,0))</f>
        <v>227577.1367527896</v>
      </c>
      <c r="I41" s="3">
        <f>IF(A41=0,Inputs!$E$18,IF(AND(A41&gt;=Inputs!$F$18,A41&lt;=Inputs!$G$18),Inputs!$I$18,0))</f>
        <v>227577.1367527896</v>
      </c>
      <c r="J41" s="3">
        <f>IF(A41=0,Inputs!$E$19,IF(AND(A41&gt;=Inputs!$F$19,A41&lt;=Inputs!$G$19),Inputs!$I$19,0))</f>
        <v>47478.8379356935</v>
      </c>
      <c r="K41" s="3">
        <f>IF(A41=0,Inputs!$E$20,IF(AND(A41&gt;=Inputs!$F$20,A41&lt;=Inputs!$G$20),Inputs!$I$20,0))</f>
        <v>8333333.333333333</v>
      </c>
      <c r="L41" s="3">
        <f>IF(A41&lt;Inputs!$B$9,0,IF(A41&lt;=12,Inputs!$B$8,Inputs!$B$6*(1-Inputs!$B$7)^(INT((A41-13)/12)+1)/12))</f>
        <v>2889999.9999999995</v>
      </c>
      <c r="M41" s="3">
        <f>IF(A41=0,Inputs!$E$22,IF(AND(A41&gt;=Inputs!$F$22,A41&lt;=Inputs!$G$22),Inputs!$I$22,0))</f>
        <v>0.0</v>
      </c>
      <c r="N41" s="3">
        <f>IF(A41=0,Inputs!$E$23,IF(AND(A41&gt;=Inputs!$F$23,A41&lt;=Inputs!$G$23),Inputs!$I$23,0))</f>
        <v>1633333.3333333333</v>
      </c>
      <c r="O41" s="3">
        <f>IF(A41=0,Inputs!$E$24,IF(AND(A41&gt;=Inputs!$F$24,A41&lt;=Inputs!$G$24),Inputs!$I$24,0))</f>
        <v>1625000.0</v>
      </c>
      <c r="P41" s="3">
        <f>IF(A41=0,Inputs!$E$25,IF(AND(A41&gt;=Inputs!$F$25,A41&lt;=Inputs!$G$25),Inputs!$I$25,0))</f>
        <v>2000000.0</v>
      </c>
      <c r="Q41" s="3">
        <f>IF(A41=0,Inputs!$E$26,IF(AND(A41&gt;=Inputs!$F$26,A41&lt;=Inputs!$G$26),Inputs!$I$26,0))</f>
        <v>0.0</v>
      </c>
      <c r="R41" s="3">
        <f>IF(A41=0,Inputs!$E$27,IF(AND(A41&gt;=Inputs!$F$27,A41&lt;=Inputs!$G$27),Inputs!$I$27,0))</f>
        <v>0.0</v>
      </c>
      <c r="S41" s="3">
        <f>SUM(C41:R41)</f>
        <v>18564999.999999996</v>
      </c>
      <c r="T41" s="3">
        <f>T40+S41</f>
        <v>627479999.9999998</v>
      </c>
      <c r="U41" s="9">
        <f>T41/Inputs!$B$4</f>
        <v>0.62748</v>
      </c>
    </row>
    <row r="42">
      <c r="A42" t="n">
        <v>37</v>
      </c>
      <c r="B42" s="4">
        <f>EDATE(Inputs!$B$5,A42)</f>
        <v>47771.0</v>
      </c>
      <c r="C42" s="3">
        <f>IF(A42=0,Inputs!$E$12,IF(AND(A42&gt;=Inputs!$F$12,A42&lt;=Inputs!$G$12),Inputs!$I$12,0))</f>
        <v>215237.401375325</v>
      </c>
      <c r="D42" s="3">
        <f>IF(A42=0,Inputs!$E$13,IF(AND(A42&gt;=Inputs!$F$13,A42&lt;=Inputs!$G$13),Inputs!$I$13,0))</f>
        <v>568942.8418819729</v>
      </c>
      <c r="E42" s="3">
        <f>IF(A42=0,Inputs!$E$14,IF(AND(A42&gt;=Inputs!$F$14,A42&lt;=Inputs!$G$14),Inputs!$I$14,0))</f>
        <v>341365.7051291833</v>
      </c>
      <c r="F42" s="3">
        <f>IF(A42=0,Inputs!$E$15,IF(AND(A42&gt;=Inputs!$F$15,A42&lt;=Inputs!$G$15),Inputs!$I$15,0))</f>
        <v>227577.1367527896</v>
      </c>
      <c r="G42" s="3">
        <f>IF(A42=0,Inputs!$E$16,IF(AND(A42&gt;=Inputs!$F$16,A42&lt;=Inputs!$G$16),Inputs!$I$16,0))</f>
        <v>227577.1367527896</v>
      </c>
      <c r="H42" s="3">
        <f>IF(A42=0,Inputs!$E$17,IF(AND(A42&gt;=Inputs!$F$17,A42&lt;=Inputs!$G$17),Inputs!$I$17,0))</f>
        <v>227577.1367527896</v>
      </c>
      <c r="I42" s="3">
        <f>IF(A42=0,Inputs!$E$18,IF(AND(A42&gt;=Inputs!$F$18,A42&lt;=Inputs!$G$18),Inputs!$I$18,0))</f>
        <v>227577.1367527896</v>
      </c>
      <c r="J42" s="3">
        <f>IF(A42=0,Inputs!$E$19,IF(AND(A42&gt;=Inputs!$F$19,A42&lt;=Inputs!$G$19),Inputs!$I$19,0))</f>
        <v>47478.8379356935</v>
      </c>
      <c r="K42" s="3">
        <f>IF(A42=0,Inputs!$E$20,IF(AND(A42&gt;=Inputs!$F$20,A42&lt;=Inputs!$G$20),Inputs!$I$20,0))</f>
        <v>0.0</v>
      </c>
      <c r="L42" s="3">
        <f>IF(A42&lt;Inputs!$B$9,0,IF(A42&lt;=12,Inputs!$B$8,Inputs!$B$6*(1-Inputs!$B$7)^(INT((A42-13)/12)+1)/12))</f>
        <v>2456499.9999999995</v>
      </c>
      <c r="M42" s="3">
        <f>IF(A42=0,Inputs!$E$22,IF(AND(A42&gt;=Inputs!$F$22,A42&lt;=Inputs!$G$22),Inputs!$I$22,0))</f>
        <v>0.0</v>
      </c>
      <c r="N42" s="3">
        <f>IF(A42=0,Inputs!$E$23,IF(AND(A42&gt;=Inputs!$F$23,A42&lt;=Inputs!$G$23),Inputs!$I$23,0))</f>
        <v>0.0</v>
      </c>
      <c r="O42" s="3">
        <f>IF(A42=0,Inputs!$E$24,IF(AND(A42&gt;=Inputs!$F$24,A42&lt;=Inputs!$G$24),Inputs!$I$24,0))</f>
        <v>0.0</v>
      </c>
      <c r="P42" s="3">
        <f>IF(A42=0,Inputs!$E$25,IF(AND(A42&gt;=Inputs!$F$25,A42&lt;=Inputs!$G$25),Inputs!$I$25,0))</f>
        <v>2000000.0</v>
      </c>
      <c r="Q42" s="3">
        <f>IF(A42=0,Inputs!$E$26,IF(AND(A42&gt;=Inputs!$F$26,A42&lt;=Inputs!$G$26),Inputs!$I$26,0))</f>
        <v>0.0</v>
      </c>
      <c r="R42" s="3">
        <f>IF(A42=0,Inputs!$E$27,IF(AND(A42&gt;=Inputs!$F$27,A42&lt;=Inputs!$G$27),Inputs!$I$27,0))</f>
        <v>0.0</v>
      </c>
      <c r="S42" s="3">
        <f>SUM(C42:R42)</f>
        <v>6539833.333333332</v>
      </c>
      <c r="T42" s="3">
        <f>T41+S42</f>
        <v>634019833.3333331</v>
      </c>
      <c r="U42" s="9">
        <f>T42/Inputs!$B$4</f>
        <v>0.6340198333</v>
      </c>
    </row>
    <row r="43">
      <c r="A43" t="n">
        <v>38</v>
      </c>
      <c r="B43" s="4">
        <f>EDATE(Inputs!$B$5,A43)</f>
        <v>47802.0</v>
      </c>
      <c r="C43" s="3">
        <f>IF(A43=0,Inputs!$E$12,IF(AND(A43&gt;=Inputs!$F$12,A43&lt;=Inputs!$G$12),Inputs!$I$12,0))</f>
        <v>215237.401375325</v>
      </c>
      <c r="D43" s="3">
        <f>IF(A43=0,Inputs!$E$13,IF(AND(A43&gt;=Inputs!$F$13,A43&lt;=Inputs!$G$13),Inputs!$I$13,0))</f>
        <v>568942.8418819729</v>
      </c>
      <c r="E43" s="3">
        <f>IF(A43=0,Inputs!$E$14,IF(AND(A43&gt;=Inputs!$F$14,A43&lt;=Inputs!$G$14),Inputs!$I$14,0))</f>
        <v>341365.7051291833</v>
      </c>
      <c r="F43" s="3">
        <f>IF(A43=0,Inputs!$E$15,IF(AND(A43&gt;=Inputs!$F$15,A43&lt;=Inputs!$G$15),Inputs!$I$15,0))</f>
        <v>227577.1367527896</v>
      </c>
      <c r="G43" s="3">
        <f>IF(A43=0,Inputs!$E$16,IF(AND(A43&gt;=Inputs!$F$16,A43&lt;=Inputs!$G$16),Inputs!$I$16,0))</f>
        <v>227577.1367527896</v>
      </c>
      <c r="H43" s="3">
        <f>IF(A43=0,Inputs!$E$17,IF(AND(A43&gt;=Inputs!$F$17,A43&lt;=Inputs!$G$17),Inputs!$I$17,0))</f>
        <v>227577.1367527896</v>
      </c>
      <c r="I43" s="3">
        <f>IF(A43=0,Inputs!$E$18,IF(AND(A43&gt;=Inputs!$F$18,A43&lt;=Inputs!$G$18),Inputs!$I$18,0))</f>
        <v>227577.1367527896</v>
      </c>
      <c r="J43" s="3">
        <f>IF(A43=0,Inputs!$E$19,IF(AND(A43&gt;=Inputs!$F$19,A43&lt;=Inputs!$G$19),Inputs!$I$19,0))</f>
        <v>47478.8379356935</v>
      </c>
      <c r="K43" s="3">
        <f>IF(A43=0,Inputs!$E$20,IF(AND(A43&gt;=Inputs!$F$20,A43&lt;=Inputs!$G$20),Inputs!$I$20,0))</f>
        <v>0.0</v>
      </c>
      <c r="L43" s="3">
        <f>IF(A43&lt;Inputs!$B$9,0,IF(A43&lt;=12,Inputs!$B$8,Inputs!$B$6*(1-Inputs!$B$7)^(INT((A43-13)/12)+1)/12))</f>
        <v>2456499.9999999995</v>
      </c>
      <c r="M43" s="3">
        <f>IF(A43=0,Inputs!$E$22,IF(AND(A43&gt;=Inputs!$F$22,A43&lt;=Inputs!$G$22),Inputs!$I$22,0))</f>
        <v>0.0</v>
      </c>
      <c r="N43" s="3">
        <f>IF(A43=0,Inputs!$E$23,IF(AND(A43&gt;=Inputs!$F$23,A43&lt;=Inputs!$G$23),Inputs!$I$23,0))</f>
        <v>0.0</v>
      </c>
      <c r="O43" s="3">
        <f>IF(A43=0,Inputs!$E$24,IF(AND(A43&gt;=Inputs!$F$24,A43&lt;=Inputs!$G$24),Inputs!$I$24,0))</f>
        <v>0.0</v>
      </c>
      <c r="P43" s="3">
        <f>IF(A43=0,Inputs!$E$25,IF(AND(A43&gt;=Inputs!$F$25,A43&lt;=Inputs!$G$25),Inputs!$I$25,0))</f>
        <v>2000000.0</v>
      </c>
      <c r="Q43" s="3">
        <f>IF(A43=0,Inputs!$E$26,IF(AND(A43&gt;=Inputs!$F$26,A43&lt;=Inputs!$G$26),Inputs!$I$26,0))</f>
        <v>0.0</v>
      </c>
      <c r="R43" s="3">
        <f>IF(A43=0,Inputs!$E$27,IF(AND(A43&gt;=Inputs!$F$27,A43&lt;=Inputs!$G$27),Inputs!$I$27,0))</f>
        <v>0.0</v>
      </c>
      <c r="S43" s="3">
        <f>SUM(C43:R43)</f>
        <v>6539833.333333332</v>
      </c>
      <c r="T43" s="3">
        <f>T42+S43</f>
        <v>640559666.6666665</v>
      </c>
      <c r="U43" s="9">
        <f>T43/Inputs!$B$4</f>
        <v>0.6405596667</v>
      </c>
    </row>
    <row r="44">
      <c r="A44" t="n">
        <v>39</v>
      </c>
      <c r="B44" s="4">
        <f>EDATE(Inputs!$B$5,A44)</f>
        <v>47832.0</v>
      </c>
      <c r="C44" s="3">
        <f>IF(A44=0,Inputs!$E$12,IF(AND(A44&gt;=Inputs!$F$12,A44&lt;=Inputs!$G$12),Inputs!$I$12,0))</f>
        <v>215237.401375325</v>
      </c>
      <c r="D44" s="3">
        <f>IF(A44=0,Inputs!$E$13,IF(AND(A44&gt;=Inputs!$F$13,A44&lt;=Inputs!$G$13),Inputs!$I$13,0))</f>
        <v>568942.8418819729</v>
      </c>
      <c r="E44" s="3">
        <f>IF(A44=0,Inputs!$E$14,IF(AND(A44&gt;=Inputs!$F$14,A44&lt;=Inputs!$G$14),Inputs!$I$14,0))</f>
        <v>341365.7051291833</v>
      </c>
      <c r="F44" s="3">
        <f>IF(A44=0,Inputs!$E$15,IF(AND(A44&gt;=Inputs!$F$15,A44&lt;=Inputs!$G$15),Inputs!$I$15,0))</f>
        <v>227577.1367527896</v>
      </c>
      <c r="G44" s="3">
        <f>IF(A44=0,Inputs!$E$16,IF(AND(A44&gt;=Inputs!$F$16,A44&lt;=Inputs!$G$16),Inputs!$I$16,0))</f>
        <v>227577.1367527896</v>
      </c>
      <c r="H44" s="3">
        <f>IF(A44=0,Inputs!$E$17,IF(AND(A44&gt;=Inputs!$F$17,A44&lt;=Inputs!$G$17),Inputs!$I$17,0))</f>
        <v>227577.1367527896</v>
      </c>
      <c r="I44" s="3">
        <f>IF(A44=0,Inputs!$E$18,IF(AND(A44&gt;=Inputs!$F$18,A44&lt;=Inputs!$G$18),Inputs!$I$18,0))</f>
        <v>227577.1367527896</v>
      </c>
      <c r="J44" s="3">
        <f>IF(A44=0,Inputs!$E$19,IF(AND(A44&gt;=Inputs!$F$19,A44&lt;=Inputs!$G$19),Inputs!$I$19,0))</f>
        <v>47478.8379356935</v>
      </c>
      <c r="K44" s="3">
        <f>IF(A44=0,Inputs!$E$20,IF(AND(A44&gt;=Inputs!$F$20,A44&lt;=Inputs!$G$20),Inputs!$I$20,0))</f>
        <v>0.0</v>
      </c>
      <c r="L44" s="3">
        <f>IF(A44&lt;Inputs!$B$9,0,IF(A44&lt;=12,Inputs!$B$8,Inputs!$B$6*(1-Inputs!$B$7)^(INT((A44-13)/12)+1)/12))</f>
        <v>2456499.9999999995</v>
      </c>
      <c r="M44" s="3">
        <f>IF(A44=0,Inputs!$E$22,IF(AND(A44&gt;=Inputs!$F$22,A44&lt;=Inputs!$G$22),Inputs!$I$22,0))</f>
        <v>0.0</v>
      </c>
      <c r="N44" s="3">
        <f>IF(A44=0,Inputs!$E$23,IF(AND(A44&gt;=Inputs!$F$23,A44&lt;=Inputs!$G$23),Inputs!$I$23,0))</f>
        <v>0.0</v>
      </c>
      <c r="O44" s="3">
        <f>IF(A44=0,Inputs!$E$24,IF(AND(A44&gt;=Inputs!$F$24,A44&lt;=Inputs!$G$24),Inputs!$I$24,0))</f>
        <v>0.0</v>
      </c>
      <c r="P44" s="3">
        <f>IF(A44=0,Inputs!$E$25,IF(AND(A44&gt;=Inputs!$F$25,A44&lt;=Inputs!$G$25),Inputs!$I$25,0))</f>
        <v>0.0</v>
      </c>
      <c r="Q44" s="3">
        <f>IF(A44=0,Inputs!$E$26,IF(AND(A44&gt;=Inputs!$F$26,A44&lt;=Inputs!$G$26),Inputs!$I$26,0))</f>
        <v>0.0</v>
      </c>
      <c r="R44" s="3">
        <f>IF(A44=0,Inputs!$E$27,IF(AND(A44&gt;=Inputs!$F$27,A44&lt;=Inputs!$G$27),Inputs!$I$27,0))</f>
        <v>0.0</v>
      </c>
      <c r="S44" s="3">
        <f>SUM(C44:R44)</f>
        <v>4539833.333333332</v>
      </c>
      <c r="T44" s="3">
        <f>T43+S44</f>
        <v>645099499.9999999</v>
      </c>
      <c r="U44" s="9">
        <f>T44/Inputs!$B$4</f>
        <v>0.6450995</v>
      </c>
    </row>
    <row r="45">
      <c r="A45" t="n">
        <v>40</v>
      </c>
      <c r="B45" s="4">
        <f>EDATE(Inputs!$B$5,A45)</f>
        <v>47863.0</v>
      </c>
      <c r="C45" s="3">
        <f>IF(A45=0,Inputs!$E$12,IF(AND(A45&gt;=Inputs!$F$12,A45&lt;=Inputs!$G$12),Inputs!$I$12,0))</f>
        <v>215237.401375325</v>
      </c>
      <c r="D45" s="3">
        <f>IF(A45=0,Inputs!$E$13,IF(AND(A45&gt;=Inputs!$F$13,A45&lt;=Inputs!$G$13),Inputs!$I$13,0))</f>
        <v>568942.8418819729</v>
      </c>
      <c r="E45" s="3">
        <f>IF(A45=0,Inputs!$E$14,IF(AND(A45&gt;=Inputs!$F$14,A45&lt;=Inputs!$G$14),Inputs!$I$14,0))</f>
        <v>341365.7051291833</v>
      </c>
      <c r="F45" s="3">
        <f>IF(A45=0,Inputs!$E$15,IF(AND(A45&gt;=Inputs!$F$15,A45&lt;=Inputs!$G$15),Inputs!$I$15,0))</f>
        <v>227577.1367527896</v>
      </c>
      <c r="G45" s="3">
        <f>IF(A45=0,Inputs!$E$16,IF(AND(A45&gt;=Inputs!$F$16,A45&lt;=Inputs!$G$16),Inputs!$I$16,0))</f>
        <v>227577.1367527896</v>
      </c>
      <c r="H45" s="3">
        <f>IF(A45=0,Inputs!$E$17,IF(AND(A45&gt;=Inputs!$F$17,A45&lt;=Inputs!$G$17),Inputs!$I$17,0))</f>
        <v>227577.1367527896</v>
      </c>
      <c r="I45" s="3">
        <f>IF(A45=0,Inputs!$E$18,IF(AND(A45&gt;=Inputs!$F$18,A45&lt;=Inputs!$G$18),Inputs!$I$18,0))</f>
        <v>227577.1367527896</v>
      </c>
      <c r="J45" s="3">
        <f>IF(A45=0,Inputs!$E$19,IF(AND(A45&gt;=Inputs!$F$19,A45&lt;=Inputs!$G$19),Inputs!$I$19,0))</f>
        <v>47478.8379356935</v>
      </c>
      <c r="K45" s="3">
        <f>IF(A45=0,Inputs!$E$20,IF(AND(A45&gt;=Inputs!$F$20,A45&lt;=Inputs!$G$20),Inputs!$I$20,0))</f>
        <v>0.0</v>
      </c>
      <c r="L45" s="3">
        <f>IF(A45&lt;Inputs!$B$9,0,IF(A45&lt;=12,Inputs!$B$8,Inputs!$B$6*(1-Inputs!$B$7)^(INT((A45-13)/12)+1)/12))</f>
        <v>2456499.9999999995</v>
      </c>
      <c r="M45" s="3">
        <f>IF(A45=0,Inputs!$E$22,IF(AND(A45&gt;=Inputs!$F$22,A45&lt;=Inputs!$G$22),Inputs!$I$22,0))</f>
        <v>0.0</v>
      </c>
      <c r="N45" s="3">
        <f>IF(A45=0,Inputs!$E$23,IF(AND(A45&gt;=Inputs!$F$23,A45&lt;=Inputs!$G$23),Inputs!$I$23,0))</f>
        <v>0.0</v>
      </c>
      <c r="O45" s="3">
        <f>IF(A45=0,Inputs!$E$24,IF(AND(A45&gt;=Inputs!$F$24,A45&lt;=Inputs!$G$24),Inputs!$I$24,0))</f>
        <v>0.0</v>
      </c>
      <c r="P45" s="3">
        <f>IF(A45=0,Inputs!$E$25,IF(AND(A45&gt;=Inputs!$F$25,A45&lt;=Inputs!$G$25),Inputs!$I$25,0))</f>
        <v>0.0</v>
      </c>
      <c r="Q45" s="3">
        <f>IF(A45=0,Inputs!$E$26,IF(AND(A45&gt;=Inputs!$F$26,A45&lt;=Inputs!$G$26),Inputs!$I$26,0))</f>
        <v>0.0</v>
      </c>
      <c r="R45" s="3">
        <f>IF(A45=0,Inputs!$E$27,IF(AND(A45&gt;=Inputs!$F$27,A45&lt;=Inputs!$G$27),Inputs!$I$27,0))</f>
        <v>0.0</v>
      </c>
      <c r="S45" s="3">
        <f>SUM(C45:R45)</f>
        <v>4539833.333333332</v>
      </c>
      <c r="T45" s="3">
        <f>T44+S45</f>
        <v>649639333.3333333</v>
      </c>
      <c r="U45" s="9">
        <f>T45/Inputs!$B$4</f>
        <v>0.6496393333</v>
      </c>
    </row>
    <row r="46">
      <c r="A46" t="n">
        <v>41</v>
      </c>
      <c r="B46" s="4">
        <f>EDATE(Inputs!$B$5,A46)</f>
        <v>47894.0</v>
      </c>
      <c r="C46" s="3">
        <f>IF(A46=0,Inputs!$E$12,IF(AND(A46&gt;=Inputs!$F$12,A46&lt;=Inputs!$G$12),Inputs!$I$12,0))</f>
        <v>215237.401375325</v>
      </c>
      <c r="D46" s="3">
        <f>IF(A46=0,Inputs!$E$13,IF(AND(A46&gt;=Inputs!$F$13,A46&lt;=Inputs!$G$13),Inputs!$I$13,0))</f>
        <v>568942.8418819729</v>
      </c>
      <c r="E46" s="3">
        <f>IF(A46=0,Inputs!$E$14,IF(AND(A46&gt;=Inputs!$F$14,A46&lt;=Inputs!$G$14),Inputs!$I$14,0))</f>
        <v>341365.7051291833</v>
      </c>
      <c r="F46" s="3">
        <f>IF(A46=0,Inputs!$E$15,IF(AND(A46&gt;=Inputs!$F$15,A46&lt;=Inputs!$G$15),Inputs!$I$15,0))</f>
        <v>227577.1367527896</v>
      </c>
      <c r="G46" s="3">
        <f>IF(A46=0,Inputs!$E$16,IF(AND(A46&gt;=Inputs!$F$16,A46&lt;=Inputs!$G$16),Inputs!$I$16,0))</f>
        <v>227577.1367527896</v>
      </c>
      <c r="H46" s="3">
        <f>IF(A46=0,Inputs!$E$17,IF(AND(A46&gt;=Inputs!$F$17,A46&lt;=Inputs!$G$17),Inputs!$I$17,0))</f>
        <v>227577.1367527896</v>
      </c>
      <c r="I46" s="3">
        <f>IF(A46=0,Inputs!$E$18,IF(AND(A46&gt;=Inputs!$F$18,A46&lt;=Inputs!$G$18),Inputs!$I$18,0))</f>
        <v>227577.1367527896</v>
      </c>
      <c r="J46" s="3">
        <f>IF(A46=0,Inputs!$E$19,IF(AND(A46&gt;=Inputs!$F$19,A46&lt;=Inputs!$G$19),Inputs!$I$19,0))</f>
        <v>47478.8379356935</v>
      </c>
      <c r="K46" s="3">
        <f>IF(A46=0,Inputs!$E$20,IF(AND(A46&gt;=Inputs!$F$20,A46&lt;=Inputs!$G$20),Inputs!$I$20,0))</f>
        <v>0.0</v>
      </c>
      <c r="L46" s="3">
        <f>IF(A46&lt;Inputs!$B$9,0,IF(A46&lt;=12,Inputs!$B$8,Inputs!$B$6*(1-Inputs!$B$7)^(INT((A46-13)/12)+1)/12))</f>
        <v>2456499.9999999995</v>
      </c>
      <c r="M46" s="3">
        <f>IF(A46=0,Inputs!$E$22,IF(AND(A46&gt;=Inputs!$F$22,A46&lt;=Inputs!$G$22),Inputs!$I$22,0))</f>
        <v>0.0</v>
      </c>
      <c r="N46" s="3">
        <f>IF(A46=0,Inputs!$E$23,IF(AND(A46&gt;=Inputs!$F$23,A46&lt;=Inputs!$G$23),Inputs!$I$23,0))</f>
        <v>0.0</v>
      </c>
      <c r="O46" s="3">
        <f>IF(A46=0,Inputs!$E$24,IF(AND(A46&gt;=Inputs!$F$24,A46&lt;=Inputs!$G$24),Inputs!$I$24,0))</f>
        <v>0.0</v>
      </c>
      <c r="P46" s="3">
        <f>IF(A46=0,Inputs!$E$25,IF(AND(A46&gt;=Inputs!$F$25,A46&lt;=Inputs!$G$25),Inputs!$I$25,0))</f>
        <v>0.0</v>
      </c>
      <c r="Q46" s="3">
        <f>IF(A46=0,Inputs!$E$26,IF(AND(A46&gt;=Inputs!$F$26,A46&lt;=Inputs!$G$26),Inputs!$I$26,0))</f>
        <v>0.0</v>
      </c>
      <c r="R46" s="3">
        <f>IF(A46=0,Inputs!$E$27,IF(AND(A46&gt;=Inputs!$F$27,A46&lt;=Inputs!$G$27),Inputs!$I$27,0))</f>
        <v>0.0</v>
      </c>
      <c r="S46" s="3">
        <f>SUM(C46:R46)</f>
        <v>4539833.333333332</v>
      </c>
      <c r="T46" s="3">
        <f>T45+S46</f>
        <v>654179166.6666666</v>
      </c>
      <c r="U46" s="9">
        <f>T46/Inputs!$B$4</f>
        <v>0.6541791667</v>
      </c>
    </row>
    <row r="47">
      <c r="A47" t="n">
        <v>42</v>
      </c>
      <c r="B47" s="4">
        <f>EDATE(Inputs!$B$5,A47)</f>
        <v>47922.0</v>
      </c>
      <c r="C47" s="3">
        <f>IF(A47=0,Inputs!$E$12,IF(AND(A47&gt;=Inputs!$F$12,A47&lt;=Inputs!$G$12),Inputs!$I$12,0))</f>
        <v>215237.401375325</v>
      </c>
      <c r="D47" s="3">
        <f>IF(A47=0,Inputs!$E$13,IF(AND(A47&gt;=Inputs!$F$13,A47&lt;=Inputs!$G$13),Inputs!$I$13,0))</f>
        <v>568942.8418819729</v>
      </c>
      <c r="E47" s="3">
        <f>IF(A47=0,Inputs!$E$14,IF(AND(A47&gt;=Inputs!$F$14,A47&lt;=Inputs!$G$14),Inputs!$I$14,0))</f>
        <v>341365.7051291833</v>
      </c>
      <c r="F47" s="3">
        <f>IF(A47=0,Inputs!$E$15,IF(AND(A47&gt;=Inputs!$F$15,A47&lt;=Inputs!$G$15),Inputs!$I$15,0))</f>
        <v>227577.1367527896</v>
      </c>
      <c r="G47" s="3">
        <f>IF(A47=0,Inputs!$E$16,IF(AND(A47&gt;=Inputs!$F$16,A47&lt;=Inputs!$G$16),Inputs!$I$16,0))</f>
        <v>227577.1367527896</v>
      </c>
      <c r="H47" s="3">
        <f>IF(A47=0,Inputs!$E$17,IF(AND(A47&gt;=Inputs!$F$17,A47&lt;=Inputs!$G$17),Inputs!$I$17,0))</f>
        <v>227577.1367527896</v>
      </c>
      <c r="I47" s="3">
        <f>IF(A47=0,Inputs!$E$18,IF(AND(A47&gt;=Inputs!$F$18,A47&lt;=Inputs!$G$18),Inputs!$I$18,0))</f>
        <v>227577.1367527896</v>
      </c>
      <c r="J47" s="3">
        <f>IF(A47=0,Inputs!$E$19,IF(AND(A47&gt;=Inputs!$F$19,A47&lt;=Inputs!$G$19),Inputs!$I$19,0))</f>
        <v>47478.8379356935</v>
      </c>
      <c r="K47" s="3">
        <f>IF(A47=0,Inputs!$E$20,IF(AND(A47&gt;=Inputs!$F$20,A47&lt;=Inputs!$G$20),Inputs!$I$20,0))</f>
        <v>0.0</v>
      </c>
      <c r="L47" s="3">
        <f>IF(A47&lt;Inputs!$B$9,0,IF(A47&lt;=12,Inputs!$B$8,Inputs!$B$6*(1-Inputs!$B$7)^(INT((A47-13)/12)+1)/12))</f>
        <v>2456499.9999999995</v>
      </c>
      <c r="M47" s="3">
        <f>IF(A47=0,Inputs!$E$22,IF(AND(A47&gt;=Inputs!$F$22,A47&lt;=Inputs!$G$22),Inputs!$I$22,0))</f>
        <v>0.0</v>
      </c>
      <c r="N47" s="3">
        <f>IF(A47=0,Inputs!$E$23,IF(AND(A47&gt;=Inputs!$F$23,A47&lt;=Inputs!$G$23),Inputs!$I$23,0))</f>
        <v>0.0</v>
      </c>
      <c r="O47" s="3">
        <f>IF(A47=0,Inputs!$E$24,IF(AND(A47&gt;=Inputs!$F$24,A47&lt;=Inputs!$G$24),Inputs!$I$24,0))</f>
        <v>0.0</v>
      </c>
      <c r="P47" s="3">
        <f>IF(A47=0,Inputs!$E$25,IF(AND(A47&gt;=Inputs!$F$25,A47&lt;=Inputs!$G$25),Inputs!$I$25,0))</f>
        <v>0.0</v>
      </c>
      <c r="Q47" s="3">
        <f>IF(A47=0,Inputs!$E$26,IF(AND(A47&gt;=Inputs!$F$26,A47&lt;=Inputs!$G$26),Inputs!$I$26,0))</f>
        <v>0.0</v>
      </c>
      <c r="R47" s="3">
        <f>IF(A47=0,Inputs!$E$27,IF(AND(A47&gt;=Inputs!$F$27,A47&lt;=Inputs!$G$27),Inputs!$I$27,0))</f>
        <v>0.0</v>
      </c>
      <c r="S47" s="3">
        <f>SUM(C47:R47)</f>
        <v>4539833.333333332</v>
      </c>
      <c r="T47" s="3">
        <f>T46+S47</f>
        <v>658719000.0</v>
      </c>
      <c r="U47" s="9">
        <f>T47/Inputs!$B$4</f>
        <v>0.658719</v>
      </c>
    </row>
    <row r="48">
      <c r="A48" t="n">
        <v>43</v>
      </c>
      <c r="B48" s="4">
        <f>EDATE(Inputs!$B$5,A48)</f>
        <v>47953.0</v>
      </c>
      <c r="C48" s="3">
        <f>IF(A48=0,Inputs!$E$12,IF(AND(A48&gt;=Inputs!$F$12,A48&lt;=Inputs!$G$12),Inputs!$I$12,0))</f>
        <v>215237.401375325</v>
      </c>
      <c r="D48" s="3">
        <f>IF(A48=0,Inputs!$E$13,IF(AND(A48&gt;=Inputs!$F$13,A48&lt;=Inputs!$G$13),Inputs!$I$13,0))</f>
        <v>568942.8418819729</v>
      </c>
      <c r="E48" s="3">
        <f>IF(A48=0,Inputs!$E$14,IF(AND(A48&gt;=Inputs!$F$14,A48&lt;=Inputs!$G$14),Inputs!$I$14,0))</f>
        <v>341365.7051291833</v>
      </c>
      <c r="F48" s="3">
        <f>IF(A48=0,Inputs!$E$15,IF(AND(A48&gt;=Inputs!$F$15,A48&lt;=Inputs!$G$15),Inputs!$I$15,0))</f>
        <v>227577.1367527896</v>
      </c>
      <c r="G48" s="3">
        <f>IF(A48=0,Inputs!$E$16,IF(AND(A48&gt;=Inputs!$F$16,A48&lt;=Inputs!$G$16),Inputs!$I$16,0))</f>
        <v>227577.1367527896</v>
      </c>
      <c r="H48" s="3">
        <f>IF(A48=0,Inputs!$E$17,IF(AND(A48&gt;=Inputs!$F$17,A48&lt;=Inputs!$G$17),Inputs!$I$17,0))</f>
        <v>227577.1367527896</v>
      </c>
      <c r="I48" s="3">
        <f>IF(A48=0,Inputs!$E$18,IF(AND(A48&gt;=Inputs!$F$18,A48&lt;=Inputs!$G$18),Inputs!$I$18,0))</f>
        <v>227577.1367527896</v>
      </c>
      <c r="J48" s="3">
        <f>IF(A48=0,Inputs!$E$19,IF(AND(A48&gt;=Inputs!$F$19,A48&lt;=Inputs!$G$19),Inputs!$I$19,0))</f>
        <v>47478.8379356935</v>
      </c>
      <c r="K48" s="3">
        <f>IF(A48=0,Inputs!$E$20,IF(AND(A48&gt;=Inputs!$F$20,A48&lt;=Inputs!$G$20),Inputs!$I$20,0))</f>
        <v>0.0</v>
      </c>
      <c r="L48" s="3">
        <f>IF(A48&lt;Inputs!$B$9,0,IF(A48&lt;=12,Inputs!$B$8,Inputs!$B$6*(1-Inputs!$B$7)^(INT((A48-13)/12)+1)/12))</f>
        <v>2456499.9999999995</v>
      </c>
      <c r="M48" s="3">
        <f>IF(A48=0,Inputs!$E$22,IF(AND(A48&gt;=Inputs!$F$22,A48&lt;=Inputs!$G$22),Inputs!$I$22,0))</f>
        <v>0.0</v>
      </c>
      <c r="N48" s="3">
        <f>IF(A48=0,Inputs!$E$23,IF(AND(A48&gt;=Inputs!$F$23,A48&lt;=Inputs!$G$23),Inputs!$I$23,0))</f>
        <v>0.0</v>
      </c>
      <c r="O48" s="3">
        <f>IF(A48=0,Inputs!$E$24,IF(AND(A48&gt;=Inputs!$F$24,A48&lt;=Inputs!$G$24),Inputs!$I$24,0))</f>
        <v>0.0</v>
      </c>
      <c r="P48" s="3">
        <f>IF(A48=0,Inputs!$E$25,IF(AND(A48&gt;=Inputs!$F$25,A48&lt;=Inputs!$G$25),Inputs!$I$25,0))</f>
        <v>0.0</v>
      </c>
      <c r="Q48" s="3">
        <f>IF(A48=0,Inputs!$E$26,IF(AND(A48&gt;=Inputs!$F$26,A48&lt;=Inputs!$G$26),Inputs!$I$26,0))</f>
        <v>0.0</v>
      </c>
      <c r="R48" s="3">
        <f>IF(A48=0,Inputs!$E$27,IF(AND(A48&gt;=Inputs!$F$27,A48&lt;=Inputs!$G$27),Inputs!$I$27,0))</f>
        <v>0.0</v>
      </c>
      <c r="S48" s="3">
        <f>SUM(C48:R48)</f>
        <v>4539833.333333332</v>
      </c>
      <c r="T48" s="3">
        <f>T47+S48</f>
        <v>663258833.3333334</v>
      </c>
      <c r="U48" s="9">
        <f>T48/Inputs!$B$4</f>
        <v>0.6632588333</v>
      </c>
    </row>
    <row r="49">
      <c r="A49" t="n">
        <v>44</v>
      </c>
      <c r="B49" s="4">
        <f>EDATE(Inputs!$B$5,A49)</f>
        <v>47983.0</v>
      </c>
      <c r="C49" s="3">
        <f>IF(A49=0,Inputs!$E$12,IF(AND(A49&gt;=Inputs!$F$12,A49&lt;=Inputs!$G$12),Inputs!$I$12,0))</f>
        <v>215237.401375325</v>
      </c>
      <c r="D49" s="3">
        <f>IF(A49=0,Inputs!$E$13,IF(AND(A49&gt;=Inputs!$F$13,A49&lt;=Inputs!$G$13),Inputs!$I$13,0))</f>
        <v>568942.8418819729</v>
      </c>
      <c r="E49" s="3">
        <f>IF(A49=0,Inputs!$E$14,IF(AND(A49&gt;=Inputs!$F$14,A49&lt;=Inputs!$G$14),Inputs!$I$14,0))</f>
        <v>341365.7051291833</v>
      </c>
      <c r="F49" s="3">
        <f>IF(A49=0,Inputs!$E$15,IF(AND(A49&gt;=Inputs!$F$15,A49&lt;=Inputs!$G$15),Inputs!$I$15,0))</f>
        <v>227577.1367527896</v>
      </c>
      <c r="G49" s="3">
        <f>IF(A49=0,Inputs!$E$16,IF(AND(A49&gt;=Inputs!$F$16,A49&lt;=Inputs!$G$16),Inputs!$I$16,0))</f>
        <v>227577.1367527896</v>
      </c>
      <c r="H49" s="3">
        <f>IF(A49=0,Inputs!$E$17,IF(AND(A49&gt;=Inputs!$F$17,A49&lt;=Inputs!$G$17),Inputs!$I$17,0))</f>
        <v>227577.1367527896</v>
      </c>
      <c r="I49" s="3">
        <f>IF(A49=0,Inputs!$E$18,IF(AND(A49&gt;=Inputs!$F$18,A49&lt;=Inputs!$G$18),Inputs!$I$18,0))</f>
        <v>227577.1367527896</v>
      </c>
      <c r="J49" s="3">
        <f>IF(A49=0,Inputs!$E$19,IF(AND(A49&gt;=Inputs!$F$19,A49&lt;=Inputs!$G$19),Inputs!$I$19,0))</f>
        <v>47478.8379356935</v>
      </c>
      <c r="K49" s="3">
        <f>IF(A49=0,Inputs!$E$20,IF(AND(A49&gt;=Inputs!$F$20,A49&lt;=Inputs!$G$20),Inputs!$I$20,0))</f>
        <v>0.0</v>
      </c>
      <c r="L49" s="3">
        <f>IF(A49&lt;Inputs!$B$9,0,IF(A49&lt;=12,Inputs!$B$8,Inputs!$B$6*(1-Inputs!$B$7)^(INT((A49-13)/12)+1)/12))</f>
        <v>2456499.9999999995</v>
      </c>
      <c r="M49" s="3">
        <f>IF(A49=0,Inputs!$E$22,IF(AND(A49&gt;=Inputs!$F$22,A49&lt;=Inputs!$G$22),Inputs!$I$22,0))</f>
        <v>0.0</v>
      </c>
      <c r="N49" s="3">
        <f>IF(A49=0,Inputs!$E$23,IF(AND(A49&gt;=Inputs!$F$23,A49&lt;=Inputs!$G$23),Inputs!$I$23,0))</f>
        <v>0.0</v>
      </c>
      <c r="O49" s="3">
        <f>IF(A49=0,Inputs!$E$24,IF(AND(A49&gt;=Inputs!$F$24,A49&lt;=Inputs!$G$24),Inputs!$I$24,0))</f>
        <v>0.0</v>
      </c>
      <c r="P49" s="3">
        <f>IF(A49=0,Inputs!$E$25,IF(AND(A49&gt;=Inputs!$F$25,A49&lt;=Inputs!$G$25),Inputs!$I$25,0))</f>
        <v>0.0</v>
      </c>
      <c r="Q49" s="3">
        <f>IF(A49=0,Inputs!$E$26,IF(AND(A49&gt;=Inputs!$F$26,A49&lt;=Inputs!$G$26),Inputs!$I$26,0))</f>
        <v>0.0</v>
      </c>
      <c r="R49" s="3">
        <f>IF(A49=0,Inputs!$E$27,IF(AND(A49&gt;=Inputs!$F$27,A49&lt;=Inputs!$G$27),Inputs!$I$27,0))</f>
        <v>0.0</v>
      </c>
      <c r="S49" s="3">
        <f>SUM(C49:R49)</f>
        <v>4539833.333333332</v>
      </c>
      <c r="T49" s="3">
        <f>T48+S49</f>
        <v>667798666.6666667</v>
      </c>
      <c r="U49" s="9">
        <f>T49/Inputs!$B$4</f>
        <v>0.6677986667</v>
      </c>
    </row>
    <row r="50">
      <c r="A50" t="n">
        <v>45</v>
      </c>
      <c r="B50" s="4">
        <f>EDATE(Inputs!$B$5,A50)</f>
        <v>48014.0</v>
      </c>
      <c r="C50" s="3">
        <f>IF(A50=0,Inputs!$E$12,IF(AND(A50&gt;=Inputs!$F$12,A50&lt;=Inputs!$G$12),Inputs!$I$12,0))</f>
        <v>215237.401375325</v>
      </c>
      <c r="D50" s="3">
        <f>IF(A50=0,Inputs!$E$13,IF(AND(A50&gt;=Inputs!$F$13,A50&lt;=Inputs!$G$13),Inputs!$I$13,0))</f>
        <v>568942.8418819729</v>
      </c>
      <c r="E50" s="3">
        <f>IF(A50=0,Inputs!$E$14,IF(AND(A50&gt;=Inputs!$F$14,A50&lt;=Inputs!$G$14),Inputs!$I$14,0))</f>
        <v>341365.7051291833</v>
      </c>
      <c r="F50" s="3">
        <f>IF(A50=0,Inputs!$E$15,IF(AND(A50&gt;=Inputs!$F$15,A50&lt;=Inputs!$G$15),Inputs!$I$15,0))</f>
        <v>227577.1367527896</v>
      </c>
      <c r="G50" s="3">
        <f>IF(A50=0,Inputs!$E$16,IF(AND(A50&gt;=Inputs!$F$16,A50&lt;=Inputs!$G$16),Inputs!$I$16,0))</f>
        <v>227577.1367527896</v>
      </c>
      <c r="H50" s="3">
        <f>IF(A50=0,Inputs!$E$17,IF(AND(A50&gt;=Inputs!$F$17,A50&lt;=Inputs!$G$17),Inputs!$I$17,0))</f>
        <v>227577.1367527896</v>
      </c>
      <c r="I50" s="3">
        <f>IF(A50=0,Inputs!$E$18,IF(AND(A50&gt;=Inputs!$F$18,A50&lt;=Inputs!$G$18),Inputs!$I$18,0))</f>
        <v>227577.1367527896</v>
      </c>
      <c r="J50" s="3">
        <f>IF(A50=0,Inputs!$E$19,IF(AND(A50&gt;=Inputs!$F$19,A50&lt;=Inputs!$G$19),Inputs!$I$19,0))</f>
        <v>47478.8379356935</v>
      </c>
      <c r="K50" s="3">
        <f>IF(A50=0,Inputs!$E$20,IF(AND(A50&gt;=Inputs!$F$20,A50&lt;=Inputs!$G$20),Inputs!$I$20,0))</f>
        <v>0.0</v>
      </c>
      <c r="L50" s="3">
        <f>IF(A50&lt;Inputs!$B$9,0,IF(A50&lt;=12,Inputs!$B$8,Inputs!$B$6*(1-Inputs!$B$7)^(INT((A50-13)/12)+1)/12))</f>
        <v>2456499.9999999995</v>
      </c>
      <c r="M50" s="3">
        <f>IF(A50=0,Inputs!$E$22,IF(AND(A50&gt;=Inputs!$F$22,A50&lt;=Inputs!$G$22),Inputs!$I$22,0))</f>
        <v>0.0</v>
      </c>
      <c r="N50" s="3">
        <f>IF(A50=0,Inputs!$E$23,IF(AND(A50&gt;=Inputs!$F$23,A50&lt;=Inputs!$G$23),Inputs!$I$23,0))</f>
        <v>0.0</v>
      </c>
      <c r="O50" s="3">
        <f>IF(A50=0,Inputs!$E$24,IF(AND(A50&gt;=Inputs!$F$24,A50&lt;=Inputs!$G$24),Inputs!$I$24,0))</f>
        <v>0.0</v>
      </c>
      <c r="P50" s="3">
        <f>IF(A50=0,Inputs!$E$25,IF(AND(A50&gt;=Inputs!$F$25,A50&lt;=Inputs!$G$25),Inputs!$I$25,0))</f>
        <v>0.0</v>
      </c>
      <c r="Q50" s="3">
        <f>IF(A50=0,Inputs!$E$26,IF(AND(A50&gt;=Inputs!$F$26,A50&lt;=Inputs!$G$26),Inputs!$I$26,0))</f>
        <v>0.0</v>
      </c>
      <c r="R50" s="3">
        <f>IF(A50=0,Inputs!$E$27,IF(AND(A50&gt;=Inputs!$F$27,A50&lt;=Inputs!$G$27),Inputs!$I$27,0))</f>
        <v>0.0</v>
      </c>
      <c r="S50" s="3">
        <f>SUM(C50:R50)</f>
        <v>4539833.333333332</v>
      </c>
      <c r="T50" s="3">
        <f>T49+S50</f>
        <v>672338500.0000001</v>
      </c>
      <c r="U50" s="9">
        <f>T50/Inputs!$B$4</f>
        <v>0.6723385</v>
      </c>
    </row>
    <row r="51">
      <c r="A51" t="n">
        <v>46</v>
      </c>
      <c r="B51" s="4">
        <f>EDATE(Inputs!$B$5,A51)</f>
        <v>48044.0</v>
      </c>
      <c r="C51" s="3">
        <f>IF(A51=0,Inputs!$E$12,IF(AND(A51&gt;=Inputs!$F$12,A51&lt;=Inputs!$G$12),Inputs!$I$12,0))</f>
        <v>215237.401375325</v>
      </c>
      <c r="D51" s="3">
        <f>IF(A51=0,Inputs!$E$13,IF(AND(A51&gt;=Inputs!$F$13,A51&lt;=Inputs!$G$13),Inputs!$I$13,0))</f>
        <v>568942.8418819729</v>
      </c>
      <c r="E51" s="3">
        <f>IF(A51=0,Inputs!$E$14,IF(AND(A51&gt;=Inputs!$F$14,A51&lt;=Inputs!$G$14),Inputs!$I$14,0))</f>
        <v>341365.7051291833</v>
      </c>
      <c r="F51" s="3">
        <f>IF(A51=0,Inputs!$E$15,IF(AND(A51&gt;=Inputs!$F$15,A51&lt;=Inputs!$G$15),Inputs!$I$15,0))</f>
        <v>227577.1367527896</v>
      </c>
      <c r="G51" s="3">
        <f>IF(A51=0,Inputs!$E$16,IF(AND(A51&gt;=Inputs!$F$16,A51&lt;=Inputs!$G$16),Inputs!$I$16,0))</f>
        <v>227577.1367527896</v>
      </c>
      <c r="H51" s="3">
        <f>IF(A51=0,Inputs!$E$17,IF(AND(A51&gt;=Inputs!$F$17,A51&lt;=Inputs!$G$17),Inputs!$I$17,0))</f>
        <v>227577.1367527896</v>
      </c>
      <c r="I51" s="3">
        <f>IF(A51=0,Inputs!$E$18,IF(AND(A51&gt;=Inputs!$F$18,A51&lt;=Inputs!$G$18),Inputs!$I$18,0))</f>
        <v>227577.1367527896</v>
      </c>
      <c r="J51" s="3">
        <f>IF(A51=0,Inputs!$E$19,IF(AND(A51&gt;=Inputs!$F$19,A51&lt;=Inputs!$G$19),Inputs!$I$19,0))</f>
        <v>47478.8379356935</v>
      </c>
      <c r="K51" s="3">
        <f>IF(A51=0,Inputs!$E$20,IF(AND(A51&gt;=Inputs!$F$20,A51&lt;=Inputs!$G$20),Inputs!$I$20,0))</f>
        <v>0.0</v>
      </c>
      <c r="L51" s="3">
        <f>IF(A51&lt;Inputs!$B$9,0,IF(A51&lt;=12,Inputs!$B$8,Inputs!$B$6*(1-Inputs!$B$7)^(INT((A51-13)/12)+1)/12))</f>
        <v>2456499.9999999995</v>
      </c>
      <c r="M51" s="3">
        <f>IF(A51=0,Inputs!$E$22,IF(AND(A51&gt;=Inputs!$F$22,A51&lt;=Inputs!$G$22),Inputs!$I$22,0))</f>
        <v>0.0</v>
      </c>
      <c r="N51" s="3">
        <f>IF(A51=0,Inputs!$E$23,IF(AND(A51&gt;=Inputs!$F$23,A51&lt;=Inputs!$G$23),Inputs!$I$23,0))</f>
        <v>0.0</v>
      </c>
      <c r="O51" s="3">
        <f>IF(A51=0,Inputs!$E$24,IF(AND(A51&gt;=Inputs!$F$24,A51&lt;=Inputs!$G$24),Inputs!$I$24,0))</f>
        <v>0.0</v>
      </c>
      <c r="P51" s="3">
        <f>IF(A51=0,Inputs!$E$25,IF(AND(A51&gt;=Inputs!$F$25,A51&lt;=Inputs!$G$25),Inputs!$I$25,0))</f>
        <v>0.0</v>
      </c>
      <c r="Q51" s="3">
        <f>IF(A51=0,Inputs!$E$26,IF(AND(A51&gt;=Inputs!$F$26,A51&lt;=Inputs!$G$26),Inputs!$I$26,0))</f>
        <v>0.0</v>
      </c>
      <c r="R51" s="3">
        <f>IF(A51=0,Inputs!$E$27,IF(AND(A51&gt;=Inputs!$F$27,A51&lt;=Inputs!$G$27),Inputs!$I$27,0))</f>
        <v>0.0</v>
      </c>
      <c r="S51" s="3">
        <f>SUM(C51:R51)</f>
        <v>4539833.333333332</v>
      </c>
      <c r="T51" s="3">
        <f>T50+S51</f>
        <v>676878333.3333335</v>
      </c>
      <c r="U51" s="9">
        <f>T51/Inputs!$B$4</f>
        <v>0.6768783333</v>
      </c>
    </row>
    <row r="52">
      <c r="A52" t="n">
        <v>47</v>
      </c>
      <c r="B52" s="4">
        <f>EDATE(Inputs!$B$5,A52)</f>
        <v>48075.0</v>
      </c>
      <c r="C52" s="3">
        <f>IF(A52=0,Inputs!$E$12,IF(AND(A52&gt;=Inputs!$F$12,A52&lt;=Inputs!$G$12),Inputs!$I$12,0))</f>
        <v>215237.401375325</v>
      </c>
      <c r="D52" s="3">
        <f>IF(A52=0,Inputs!$E$13,IF(AND(A52&gt;=Inputs!$F$13,A52&lt;=Inputs!$G$13),Inputs!$I$13,0))</f>
        <v>568942.8418819729</v>
      </c>
      <c r="E52" s="3">
        <f>IF(A52=0,Inputs!$E$14,IF(AND(A52&gt;=Inputs!$F$14,A52&lt;=Inputs!$G$14),Inputs!$I$14,0))</f>
        <v>341365.7051291833</v>
      </c>
      <c r="F52" s="3">
        <f>IF(A52=0,Inputs!$E$15,IF(AND(A52&gt;=Inputs!$F$15,A52&lt;=Inputs!$G$15),Inputs!$I$15,0))</f>
        <v>227577.1367527896</v>
      </c>
      <c r="G52" s="3">
        <f>IF(A52=0,Inputs!$E$16,IF(AND(A52&gt;=Inputs!$F$16,A52&lt;=Inputs!$G$16),Inputs!$I$16,0))</f>
        <v>227577.1367527896</v>
      </c>
      <c r="H52" s="3">
        <f>IF(A52=0,Inputs!$E$17,IF(AND(A52&gt;=Inputs!$F$17,A52&lt;=Inputs!$G$17),Inputs!$I$17,0))</f>
        <v>227577.1367527896</v>
      </c>
      <c r="I52" s="3">
        <f>IF(A52=0,Inputs!$E$18,IF(AND(A52&gt;=Inputs!$F$18,A52&lt;=Inputs!$G$18),Inputs!$I$18,0))</f>
        <v>227577.1367527896</v>
      </c>
      <c r="J52" s="3">
        <f>IF(A52=0,Inputs!$E$19,IF(AND(A52&gt;=Inputs!$F$19,A52&lt;=Inputs!$G$19),Inputs!$I$19,0))</f>
        <v>47478.8379356935</v>
      </c>
      <c r="K52" s="3">
        <f>IF(A52=0,Inputs!$E$20,IF(AND(A52&gt;=Inputs!$F$20,A52&lt;=Inputs!$G$20),Inputs!$I$20,0))</f>
        <v>0.0</v>
      </c>
      <c r="L52" s="3">
        <f>IF(A52&lt;Inputs!$B$9,0,IF(A52&lt;=12,Inputs!$B$8,Inputs!$B$6*(1-Inputs!$B$7)^(INT((A52-13)/12)+1)/12))</f>
        <v>2456499.9999999995</v>
      </c>
      <c r="M52" s="3">
        <f>IF(A52=0,Inputs!$E$22,IF(AND(A52&gt;=Inputs!$F$22,A52&lt;=Inputs!$G$22),Inputs!$I$22,0))</f>
        <v>0.0</v>
      </c>
      <c r="N52" s="3">
        <f>IF(A52=0,Inputs!$E$23,IF(AND(A52&gt;=Inputs!$F$23,A52&lt;=Inputs!$G$23),Inputs!$I$23,0))</f>
        <v>0.0</v>
      </c>
      <c r="O52" s="3">
        <f>IF(A52=0,Inputs!$E$24,IF(AND(A52&gt;=Inputs!$F$24,A52&lt;=Inputs!$G$24),Inputs!$I$24,0))</f>
        <v>0.0</v>
      </c>
      <c r="P52" s="3">
        <f>IF(A52=0,Inputs!$E$25,IF(AND(A52&gt;=Inputs!$F$25,A52&lt;=Inputs!$G$25),Inputs!$I$25,0))</f>
        <v>0.0</v>
      </c>
      <c r="Q52" s="3">
        <f>IF(A52=0,Inputs!$E$26,IF(AND(A52&gt;=Inputs!$F$26,A52&lt;=Inputs!$G$26),Inputs!$I$26,0))</f>
        <v>0.0</v>
      </c>
      <c r="R52" s="3">
        <f>IF(A52=0,Inputs!$E$27,IF(AND(A52&gt;=Inputs!$F$27,A52&lt;=Inputs!$G$27),Inputs!$I$27,0))</f>
        <v>0.0</v>
      </c>
      <c r="S52" s="3">
        <f>SUM(C52:R52)</f>
        <v>4539833.333333332</v>
      </c>
      <c r="T52" s="3">
        <f>T51+S52</f>
        <v>681418166.6666669</v>
      </c>
      <c r="U52" s="9">
        <f>T52/Inputs!$B$4</f>
        <v>0.6814181667</v>
      </c>
    </row>
    <row r="53">
      <c r="A53" t="n">
        <v>48</v>
      </c>
      <c r="B53" s="4">
        <f>EDATE(Inputs!$B$5,A53)</f>
        <v>48106.0</v>
      </c>
      <c r="C53" s="3">
        <f>IF(A53=0,Inputs!$E$12,IF(AND(A53&gt;=Inputs!$F$12,A53&lt;=Inputs!$G$12),Inputs!$I$12,0))</f>
        <v>215237.401375325</v>
      </c>
      <c r="D53" s="3">
        <f>IF(A53=0,Inputs!$E$13,IF(AND(A53&gt;=Inputs!$F$13,A53&lt;=Inputs!$G$13),Inputs!$I$13,0))</f>
        <v>568942.8418819729</v>
      </c>
      <c r="E53" s="3">
        <f>IF(A53=0,Inputs!$E$14,IF(AND(A53&gt;=Inputs!$F$14,A53&lt;=Inputs!$G$14),Inputs!$I$14,0))</f>
        <v>341365.7051291833</v>
      </c>
      <c r="F53" s="3">
        <f>IF(A53=0,Inputs!$E$15,IF(AND(A53&gt;=Inputs!$F$15,A53&lt;=Inputs!$G$15),Inputs!$I$15,0))</f>
        <v>227577.1367527896</v>
      </c>
      <c r="G53" s="3">
        <f>IF(A53=0,Inputs!$E$16,IF(AND(A53&gt;=Inputs!$F$16,A53&lt;=Inputs!$G$16),Inputs!$I$16,0))</f>
        <v>227577.1367527896</v>
      </c>
      <c r="H53" s="3">
        <f>IF(A53=0,Inputs!$E$17,IF(AND(A53&gt;=Inputs!$F$17,A53&lt;=Inputs!$G$17),Inputs!$I$17,0))</f>
        <v>227577.1367527896</v>
      </c>
      <c r="I53" s="3">
        <f>IF(A53=0,Inputs!$E$18,IF(AND(A53&gt;=Inputs!$F$18,A53&lt;=Inputs!$G$18),Inputs!$I$18,0))</f>
        <v>227577.1367527896</v>
      </c>
      <c r="J53" s="3">
        <f>IF(A53=0,Inputs!$E$19,IF(AND(A53&gt;=Inputs!$F$19,A53&lt;=Inputs!$G$19),Inputs!$I$19,0))</f>
        <v>47478.8379356935</v>
      </c>
      <c r="K53" s="3">
        <f>IF(A53=0,Inputs!$E$20,IF(AND(A53&gt;=Inputs!$F$20,A53&lt;=Inputs!$G$20),Inputs!$I$20,0))</f>
        <v>0.0</v>
      </c>
      <c r="L53" s="3">
        <f>IF(A53&lt;Inputs!$B$9,0,IF(A53&lt;=12,Inputs!$B$8,Inputs!$B$6*(1-Inputs!$B$7)^(INT((A53-13)/12)+1)/12))</f>
        <v>2456499.9999999995</v>
      </c>
      <c r="M53" s="3">
        <f>IF(A53=0,Inputs!$E$22,IF(AND(A53&gt;=Inputs!$F$22,A53&lt;=Inputs!$G$22),Inputs!$I$22,0))</f>
        <v>0.0</v>
      </c>
      <c r="N53" s="3">
        <f>IF(A53=0,Inputs!$E$23,IF(AND(A53&gt;=Inputs!$F$23,A53&lt;=Inputs!$G$23),Inputs!$I$23,0))</f>
        <v>0.0</v>
      </c>
      <c r="O53" s="3">
        <f>IF(A53=0,Inputs!$E$24,IF(AND(A53&gt;=Inputs!$F$24,A53&lt;=Inputs!$G$24),Inputs!$I$24,0))</f>
        <v>0.0</v>
      </c>
      <c r="P53" s="3">
        <f>IF(A53=0,Inputs!$E$25,IF(AND(A53&gt;=Inputs!$F$25,A53&lt;=Inputs!$G$25),Inputs!$I$25,0))</f>
        <v>0.0</v>
      </c>
      <c r="Q53" s="3">
        <f>IF(A53=0,Inputs!$E$26,IF(AND(A53&gt;=Inputs!$F$26,A53&lt;=Inputs!$G$26),Inputs!$I$26,0))</f>
        <v>0.0</v>
      </c>
      <c r="R53" s="3">
        <f>IF(A53=0,Inputs!$E$27,IF(AND(A53&gt;=Inputs!$F$27,A53&lt;=Inputs!$G$27),Inputs!$I$27,0))</f>
        <v>0.0</v>
      </c>
      <c r="S53" s="3">
        <f>SUM(C53:R53)</f>
        <v>4539833.333333332</v>
      </c>
      <c r="T53" s="3">
        <f>T52+S53</f>
        <v>685958000.0000002</v>
      </c>
      <c r="U53" s="9">
        <f>T53/Inputs!$B$4</f>
        <v>0.685958</v>
      </c>
    </row>
    <row r="54">
      <c r="A54" t="n">
        <v>49</v>
      </c>
      <c r="B54" s="4">
        <f>EDATE(Inputs!$B$5,A54)</f>
        <v>48136.0</v>
      </c>
      <c r="C54" s="3">
        <f>IF(A54=0,Inputs!$E$12,IF(AND(A54&gt;=Inputs!$F$12,A54&lt;=Inputs!$G$12),Inputs!$I$12,0))</f>
        <v>215237.401375325</v>
      </c>
      <c r="D54" s="3">
        <f>IF(A54=0,Inputs!$E$13,IF(AND(A54&gt;=Inputs!$F$13,A54&lt;=Inputs!$G$13),Inputs!$I$13,0))</f>
        <v>568942.8418819729</v>
      </c>
      <c r="E54" s="3">
        <f>IF(A54=0,Inputs!$E$14,IF(AND(A54&gt;=Inputs!$F$14,A54&lt;=Inputs!$G$14),Inputs!$I$14,0))</f>
        <v>341365.7051291833</v>
      </c>
      <c r="F54" s="3">
        <f>IF(A54=0,Inputs!$E$15,IF(AND(A54&gt;=Inputs!$F$15,A54&lt;=Inputs!$G$15),Inputs!$I$15,0))</f>
        <v>227577.1367527896</v>
      </c>
      <c r="G54" s="3">
        <f>IF(A54=0,Inputs!$E$16,IF(AND(A54&gt;=Inputs!$F$16,A54&lt;=Inputs!$G$16),Inputs!$I$16,0))</f>
        <v>227577.1367527896</v>
      </c>
      <c r="H54" s="3">
        <f>IF(A54=0,Inputs!$E$17,IF(AND(A54&gt;=Inputs!$F$17,A54&lt;=Inputs!$G$17),Inputs!$I$17,0))</f>
        <v>227577.1367527896</v>
      </c>
      <c r="I54" s="3">
        <f>IF(A54=0,Inputs!$E$18,IF(AND(A54&gt;=Inputs!$F$18,A54&lt;=Inputs!$G$18),Inputs!$I$18,0))</f>
        <v>227577.1367527896</v>
      </c>
      <c r="J54" s="3">
        <f>IF(A54=0,Inputs!$E$19,IF(AND(A54&gt;=Inputs!$F$19,A54&lt;=Inputs!$G$19),Inputs!$I$19,0))</f>
        <v>47478.8379356935</v>
      </c>
      <c r="K54" s="3">
        <f>IF(A54=0,Inputs!$E$20,IF(AND(A54&gt;=Inputs!$F$20,A54&lt;=Inputs!$G$20),Inputs!$I$20,0))</f>
        <v>0.0</v>
      </c>
      <c r="L54" s="3">
        <f>IF(A54&lt;Inputs!$B$9,0,IF(A54&lt;=12,Inputs!$B$8,Inputs!$B$6*(1-Inputs!$B$7)^(INT((A54-13)/12)+1)/12))</f>
        <v>2088024.9999999998</v>
      </c>
      <c r="M54" s="3">
        <f>IF(A54=0,Inputs!$E$22,IF(AND(A54&gt;=Inputs!$F$22,A54&lt;=Inputs!$G$22),Inputs!$I$22,0))</f>
        <v>0.0</v>
      </c>
      <c r="N54" s="3">
        <f>IF(A54=0,Inputs!$E$23,IF(AND(A54&gt;=Inputs!$F$23,A54&lt;=Inputs!$G$23),Inputs!$I$23,0))</f>
        <v>0.0</v>
      </c>
      <c r="O54" s="3">
        <f>IF(A54=0,Inputs!$E$24,IF(AND(A54&gt;=Inputs!$F$24,A54&lt;=Inputs!$G$24),Inputs!$I$24,0))</f>
        <v>0.0</v>
      </c>
      <c r="P54" s="3">
        <f>IF(A54=0,Inputs!$E$25,IF(AND(A54&gt;=Inputs!$F$25,A54&lt;=Inputs!$G$25),Inputs!$I$25,0))</f>
        <v>0.0</v>
      </c>
      <c r="Q54" s="3">
        <f>IF(A54=0,Inputs!$E$26,IF(AND(A54&gt;=Inputs!$F$26,A54&lt;=Inputs!$G$26),Inputs!$I$26,0))</f>
        <v>0.0</v>
      </c>
      <c r="R54" s="3">
        <f>IF(A54=0,Inputs!$E$27,IF(AND(A54&gt;=Inputs!$F$27,A54&lt;=Inputs!$G$27),Inputs!$I$27,0))</f>
        <v>0.0</v>
      </c>
      <c r="S54" s="3">
        <f>SUM(C54:R54)</f>
        <v>4171358.3333333326</v>
      </c>
      <c r="T54" s="3">
        <f>T53+S54</f>
        <v>690129358.3333336</v>
      </c>
      <c r="U54" s="9">
        <f>T54/Inputs!$B$4</f>
        <v>0.6901293583</v>
      </c>
    </row>
    <row r="55">
      <c r="A55" t="n">
        <v>50</v>
      </c>
      <c r="B55" s="4">
        <f>EDATE(Inputs!$B$5,A55)</f>
        <v>48167.0</v>
      </c>
      <c r="C55" s="3">
        <f>IF(A55=0,Inputs!$E$12,IF(AND(A55&gt;=Inputs!$F$12,A55&lt;=Inputs!$G$12),Inputs!$I$12,0))</f>
        <v>215237.401375325</v>
      </c>
      <c r="D55" s="3">
        <f>IF(A55=0,Inputs!$E$13,IF(AND(A55&gt;=Inputs!$F$13,A55&lt;=Inputs!$G$13),Inputs!$I$13,0))</f>
        <v>568942.8418819729</v>
      </c>
      <c r="E55" s="3">
        <f>IF(A55=0,Inputs!$E$14,IF(AND(A55&gt;=Inputs!$F$14,A55&lt;=Inputs!$G$14),Inputs!$I$14,0))</f>
        <v>341365.7051291833</v>
      </c>
      <c r="F55" s="3">
        <f>IF(A55=0,Inputs!$E$15,IF(AND(A55&gt;=Inputs!$F$15,A55&lt;=Inputs!$G$15),Inputs!$I$15,0))</f>
        <v>227577.1367527896</v>
      </c>
      <c r="G55" s="3">
        <f>IF(A55=0,Inputs!$E$16,IF(AND(A55&gt;=Inputs!$F$16,A55&lt;=Inputs!$G$16),Inputs!$I$16,0))</f>
        <v>227577.1367527896</v>
      </c>
      <c r="H55" s="3">
        <f>IF(A55=0,Inputs!$E$17,IF(AND(A55&gt;=Inputs!$F$17,A55&lt;=Inputs!$G$17),Inputs!$I$17,0))</f>
        <v>227577.1367527896</v>
      </c>
      <c r="I55" s="3">
        <f>IF(A55=0,Inputs!$E$18,IF(AND(A55&gt;=Inputs!$F$18,A55&lt;=Inputs!$G$18),Inputs!$I$18,0))</f>
        <v>227577.1367527896</v>
      </c>
      <c r="J55" s="3">
        <f>IF(A55=0,Inputs!$E$19,IF(AND(A55&gt;=Inputs!$F$19,A55&lt;=Inputs!$G$19),Inputs!$I$19,0))</f>
        <v>47478.8379356935</v>
      </c>
      <c r="K55" s="3">
        <f>IF(A55=0,Inputs!$E$20,IF(AND(A55&gt;=Inputs!$F$20,A55&lt;=Inputs!$G$20),Inputs!$I$20,0))</f>
        <v>0.0</v>
      </c>
      <c r="L55" s="3">
        <f>IF(A55&lt;Inputs!$B$9,0,IF(A55&lt;=12,Inputs!$B$8,Inputs!$B$6*(1-Inputs!$B$7)^(INT((A55-13)/12)+1)/12))</f>
        <v>2088024.9999999998</v>
      </c>
      <c r="M55" s="3">
        <f>IF(A55=0,Inputs!$E$22,IF(AND(A55&gt;=Inputs!$F$22,A55&lt;=Inputs!$G$22),Inputs!$I$22,0))</f>
        <v>0.0</v>
      </c>
      <c r="N55" s="3">
        <f>IF(A55=0,Inputs!$E$23,IF(AND(A55&gt;=Inputs!$F$23,A55&lt;=Inputs!$G$23),Inputs!$I$23,0))</f>
        <v>0.0</v>
      </c>
      <c r="O55" s="3">
        <f>IF(A55=0,Inputs!$E$24,IF(AND(A55&gt;=Inputs!$F$24,A55&lt;=Inputs!$G$24),Inputs!$I$24,0))</f>
        <v>0.0</v>
      </c>
      <c r="P55" s="3">
        <f>IF(A55=0,Inputs!$E$25,IF(AND(A55&gt;=Inputs!$F$25,A55&lt;=Inputs!$G$25),Inputs!$I$25,0))</f>
        <v>0.0</v>
      </c>
      <c r="Q55" s="3">
        <f>IF(A55=0,Inputs!$E$26,IF(AND(A55&gt;=Inputs!$F$26,A55&lt;=Inputs!$G$26),Inputs!$I$26,0))</f>
        <v>0.0</v>
      </c>
      <c r="R55" s="3">
        <f>IF(A55=0,Inputs!$E$27,IF(AND(A55&gt;=Inputs!$F$27,A55&lt;=Inputs!$G$27),Inputs!$I$27,0))</f>
        <v>0.0</v>
      </c>
      <c r="S55" s="3">
        <f>SUM(C55:R55)</f>
        <v>4171358.3333333326</v>
      </c>
      <c r="T55" s="3">
        <f>T54+S55</f>
        <v>694300716.666667</v>
      </c>
      <c r="U55" s="9">
        <f>T55/Inputs!$B$4</f>
        <v>0.6943007167</v>
      </c>
    </row>
    <row r="56">
      <c r="A56" t="n">
        <v>51</v>
      </c>
      <c r="B56" s="4">
        <f>EDATE(Inputs!$B$5,A56)</f>
        <v>48197.0</v>
      </c>
      <c r="C56" s="3">
        <f>IF(A56=0,Inputs!$E$12,IF(AND(A56&gt;=Inputs!$F$12,A56&lt;=Inputs!$G$12),Inputs!$I$12,0))</f>
        <v>215237.401375325</v>
      </c>
      <c r="D56" s="3">
        <f>IF(A56=0,Inputs!$E$13,IF(AND(A56&gt;=Inputs!$F$13,A56&lt;=Inputs!$G$13),Inputs!$I$13,0))</f>
        <v>568942.8418819729</v>
      </c>
      <c r="E56" s="3">
        <f>IF(A56=0,Inputs!$E$14,IF(AND(A56&gt;=Inputs!$F$14,A56&lt;=Inputs!$G$14),Inputs!$I$14,0))</f>
        <v>341365.7051291833</v>
      </c>
      <c r="F56" s="3">
        <f>IF(A56=0,Inputs!$E$15,IF(AND(A56&gt;=Inputs!$F$15,A56&lt;=Inputs!$G$15),Inputs!$I$15,0))</f>
        <v>227577.1367527896</v>
      </c>
      <c r="G56" s="3">
        <f>IF(A56=0,Inputs!$E$16,IF(AND(A56&gt;=Inputs!$F$16,A56&lt;=Inputs!$G$16),Inputs!$I$16,0))</f>
        <v>227577.1367527896</v>
      </c>
      <c r="H56" s="3">
        <f>IF(A56=0,Inputs!$E$17,IF(AND(A56&gt;=Inputs!$F$17,A56&lt;=Inputs!$G$17),Inputs!$I$17,0))</f>
        <v>227577.1367527896</v>
      </c>
      <c r="I56" s="3">
        <f>IF(A56=0,Inputs!$E$18,IF(AND(A56&gt;=Inputs!$F$18,A56&lt;=Inputs!$G$18),Inputs!$I$18,0))</f>
        <v>227577.1367527896</v>
      </c>
      <c r="J56" s="3">
        <f>IF(A56=0,Inputs!$E$19,IF(AND(A56&gt;=Inputs!$F$19,A56&lt;=Inputs!$G$19),Inputs!$I$19,0))</f>
        <v>47478.8379356935</v>
      </c>
      <c r="K56" s="3">
        <f>IF(A56=0,Inputs!$E$20,IF(AND(A56&gt;=Inputs!$F$20,A56&lt;=Inputs!$G$20),Inputs!$I$20,0))</f>
        <v>0.0</v>
      </c>
      <c r="L56" s="3">
        <f>IF(A56&lt;Inputs!$B$9,0,IF(A56&lt;=12,Inputs!$B$8,Inputs!$B$6*(1-Inputs!$B$7)^(INT((A56-13)/12)+1)/12))</f>
        <v>2088024.9999999998</v>
      </c>
      <c r="M56" s="3">
        <f>IF(A56=0,Inputs!$E$22,IF(AND(A56&gt;=Inputs!$F$22,A56&lt;=Inputs!$G$22),Inputs!$I$22,0))</f>
        <v>0.0</v>
      </c>
      <c r="N56" s="3">
        <f>IF(A56=0,Inputs!$E$23,IF(AND(A56&gt;=Inputs!$F$23,A56&lt;=Inputs!$G$23),Inputs!$I$23,0))</f>
        <v>0.0</v>
      </c>
      <c r="O56" s="3">
        <f>IF(A56=0,Inputs!$E$24,IF(AND(A56&gt;=Inputs!$F$24,A56&lt;=Inputs!$G$24),Inputs!$I$24,0))</f>
        <v>0.0</v>
      </c>
      <c r="P56" s="3">
        <f>IF(A56=0,Inputs!$E$25,IF(AND(A56&gt;=Inputs!$F$25,A56&lt;=Inputs!$G$25),Inputs!$I$25,0))</f>
        <v>0.0</v>
      </c>
      <c r="Q56" s="3">
        <f>IF(A56=0,Inputs!$E$26,IF(AND(A56&gt;=Inputs!$F$26,A56&lt;=Inputs!$G$26),Inputs!$I$26,0))</f>
        <v>0.0</v>
      </c>
      <c r="R56" s="3">
        <f>IF(A56=0,Inputs!$E$27,IF(AND(A56&gt;=Inputs!$F$27,A56&lt;=Inputs!$G$27),Inputs!$I$27,0))</f>
        <v>0.0</v>
      </c>
      <c r="S56" s="3">
        <f>SUM(C56:R56)</f>
        <v>4171358.3333333326</v>
      </c>
      <c r="T56" s="3">
        <f>T55+S56</f>
        <v>698472075.0000004</v>
      </c>
      <c r="U56" s="9">
        <f>T56/Inputs!$B$4</f>
        <v>0.698472075</v>
      </c>
    </row>
    <row r="57">
      <c r="A57" t="n">
        <v>52</v>
      </c>
      <c r="B57" s="4">
        <f>EDATE(Inputs!$B$5,A57)</f>
        <v>48228.0</v>
      </c>
      <c r="C57" s="3">
        <f>IF(A57=0,Inputs!$E$12,IF(AND(A57&gt;=Inputs!$F$12,A57&lt;=Inputs!$G$12),Inputs!$I$12,0))</f>
        <v>215237.401375325</v>
      </c>
      <c r="D57" s="3">
        <f>IF(A57=0,Inputs!$E$13,IF(AND(A57&gt;=Inputs!$F$13,A57&lt;=Inputs!$G$13),Inputs!$I$13,0))</f>
        <v>568942.8418819729</v>
      </c>
      <c r="E57" s="3">
        <f>IF(A57=0,Inputs!$E$14,IF(AND(A57&gt;=Inputs!$F$14,A57&lt;=Inputs!$G$14),Inputs!$I$14,0))</f>
        <v>341365.7051291833</v>
      </c>
      <c r="F57" s="3">
        <f>IF(A57=0,Inputs!$E$15,IF(AND(A57&gt;=Inputs!$F$15,A57&lt;=Inputs!$G$15),Inputs!$I$15,0))</f>
        <v>227577.1367527896</v>
      </c>
      <c r="G57" s="3">
        <f>IF(A57=0,Inputs!$E$16,IF(AND(A57&gt;=Inputs!$F$16,A57&lt;=Inputs!$G$16),Inputs!$I$16,0))</f>
        <v>227577.1367527896</v>
      </c>
      <c r="H57" s="3">
        <f>IF(A57=0,Inputs!$E$17,IF(AND(A57&gt;=Inputs!$F$17,A57&lt;=Inputs!$G$17),Inputs!$I$17,0))</f>
        <v>227577.1367527896</v>
      </c>
      <c r="I57" s="3">
        <f>IF(A57=0,Inputs!$E$18,IF(AND(A57&gt;=Inputs!$F$18,A57&lt;=Inputs!$G$18),Inputs!$I$18,0))</f>
        <v>227577.1367527896</v>
      </c>
      <c r="J57" s="3">
        <f>IF(A57=0,Inputs!$E$19,IF(AND(A57&gt;=Inputs!$F$19,A57&lt;=Inputs!$G$19),Inputs!$I$19,0))</f>
        <v>47478.8379356935</v>
      </c>
      <c r="K57" s="3">
        <f>IF(A57=0,Inputs!$E$20,IF(AND(A57&gt;=Inputs!$F$20,A57&lt;=Inputs!$G$20),Inputs!$I$20,0))</f>
        <v>0.0</v>
      </c>
      <c r="L57" s="3">
        <f>IF(A57&lt;Inputs!$B$9,0,IF(A57&lt;=12,Inputs!$B$8,Inputs!$B$6*(1-Inputs!$B$7)^(INT((A57-13)/12)+1)/12))</f>
        <v>2088024.9999999998</v>
      </c>
      <c r="M57" s="3">
        <f>IF(A57=0,Inputs!$E$22,IF(AND(A57&gt;=Inputs!$F$22,A57&lt;=Inputs!$G$22),Inputs!$I$22,0))</f>
        <v>0.0</v>
      </c>
      <c r="N57" s="3">
        <f>IF(A57=0,Inputs!$E$23,IF(AND(A57&gt;=Inputs!$F$23,A57&lt;=Inputs!$G$23),Inputs!$I$23,0))</f>
        <v>0.0</v>
      </c>
      <c r="O57" s="3">
        <f>IF(A57=0,Inputs!$E$24,IF(AND(A57&gt;=Inputs!$F$24,A57&lt;=Inputs!$G$24),Inputs!$I$24,0))</f>
        <v>0.0</v>
      </c>
      <c r="P57" s="3">
        <f>IF(A57=0,Inputs!$E$25,IF(AND(A57&gt;=Inputs!$F$25,A57&lt;=Inputs!$G$25),Inputs!$I$25,0))</f>
        <v>0.0</v>
      </c>
      <c r="Q57" s="3">
        <f>IF(A57=0,Inputs!$E$26,IF(AND(A57&gt;=Inputs!$F$26,A57&lt;=Inputs!$G$26),Inputs!$I$26,0))</f>
        <v>0.0</v>
      </c>
      <c r="R57" s="3">
        <f>IF(A57=0,Inputs!$E$27,IF(AND(A57&gt;=Inputs!$F$27,A57&lt;=Inputs!$G$27),Inputs!$I$27,0))</f>
        <v>0.0</v>
      </c>
      <c r="S57" s="3">
        <f>SUM(C57:R57)</f>
        <v>4171358.3333333326</v>
      </c>
      <c r="T57" s="3">
        <f>T56+S57</f>
        <v>702643433.3333337</v>
      </c>
      <c r="U57" s="9">
        <f>T57/Inputs!$B$4</f>
        <v>0.7026434333</v>
      </c>
    </row>
    <row r="58">
      <c r="A58" t="n">
        <v>53</v>
      </c>
      <c r="B58" s="4">
        <f>EDATE(Inputs!$B$5,A58)</f>
        <v>48259.0</v>
      </c>
      <c r="C58" s="3">
        <f>IF(A58=0,Inputs!$E$12,IF(AND(A58&gt;=Inputs!$F$12,A58&lt;=Inputs!$G$12),Inputs!$I$12,0))</f>
        <v>215237.401375325</v>
      </c>
      <c r="D58" s="3">
        <f>IF(A58=0,Inputs!$E$13,IF(AND(A58&gt;=Inputs!$F$13,A58&lt;=Inputs!$G$13),Inputs!$I$13,0))</f>
        <v>568942.8418819729</v>
      </c>
      <c r="E58" s="3">
        <f>IF(A58=0,Inputs!$E$14,IF(AND(A58&gt;=Inputs!$F$14,A58&lt;=Inputs!$G$14),Inputs!$I$14,0))</f>
        <v>341365.7051291833</v>
      </c>
      <c r="F58" s="3">
        <f>IF(A58=0,Inputs!$E$15,IF(AND(A58&gt;=Inputs!$F$15,A58&lt;=Inputs!$G$15),Inputs!$I$15,0))</f>
        <v>227577.1367527896</v>
      </c>
      <c r="G58" s="3">
        <f>IF(A58=0,Inputs!$E$16,IF(AND(A58&gt;=Inputs!$F$16,A58&lt;=Inputs!$G$16),Inputs!$I$16,0))</f>
        <v>227577.1367527896</v>
      </c>
      <c r="H58" s="3">
        <f>IF(A58=0,Inputs!$E$17,IF(AND(A58&gt;=Inputs!$F$17,A58&lt;=Inputs!$G$17),Inputs!$I$17,0))</f>
        <v>227577.1367527896</v>
      </c>
      <c r="I58" s="3">
        <f>IF(A58=0,Inputs!$E$18,IF(AND(A58&gt;=Inputs!$F$18,A58&lt;=Inputs!$G$18),Inputs!$I$18,0))</f>
        <v>227577.1367527896</v>
      </c>
      <c r="J58" s="3">
        <f>IF(A58=0,Inputs!$E$19,IF(AND(A58&gt;=Inputs!$F$19,A58&lt;=Inputs!$G$19),Inputs!$I$19,0))</f>
        <v>47478.8379356935</v>
      </c>
      <c r="K58" s="3">
        <f>IF(A58=0,Inputs!$E$20,IF(AND(A58&gt;=Inputs!$F$20,A58&lt;=Inputs!$G$20),Inputs!$I$20,0))</f>
        <v>0.0</v>
      </c>
      <c r="L58" s="3">
        <f>IF(A58&lt;Inputs!$B$9,0,IF(A58&lt;=12,Inputs!$B$8,Inputs!$B$6*(1-Inputs!$B$7)^(INT((A58-13)/12)+1)/12))</f>
        <v>2088024.9999999998</v>
      </c>
      <c r="M58" s="3">
        <f>IF(A58=0,Inputs!$E$22,IF(AND(A58&gt;=Inputs!$F$22,A58&lt;=Inputs!$G$22),Inputs!$I$22,0))</f>
        <v>0.0</v>
      </c>
      <c r="N58" s="3">
        <f>IF(A58=0,Inputs!$E$23,IF(AND(A58&gt;=Inputs!$F$23,A58&lt;=Inputs!$G$23),Inputs!$I$23,0))</f>
        <v>0.0</v>
      </c>
      <c r="O58" s="3">
        <f>IF(A58=0,Inputs!$E$24,IF(AND(A58&gt;=Inputs!$F$24,A58&lt;=Inputs!$G$24),Inputs!$I$24,0))</f>
        <v>0.0</v>
      </c>
      <c r="P58" s="3">
        <f>IF(A58=0,Inputs!$E$25,IF(AND(A58&gt;=Inputs!$F$25,A58&lt;=Inputs!$G$25),Inputs!$I$25,0))</f>
        <v>0.0</v>
      </c>
      <c r="Q58" s="3">
        <f>IF(A58=0,Inputs!$E$26,IF(AND(A58&gt;=Inputs!$F$26,A58&lt;=Inputs!$G$26),Inputs!$I$26,0))</f>
        <v>0.0</v>
      </c>
      <c r="R58" s="3">
        <f>IF(A58=0,Inputs!$E$27,IF(AND(A58&gt;=Inputs!$F$27,A58&lt;=Inputs!$G$27),Inputs!$I$27,0))</f>
        <v>0.0</v>
      </c>
      <c r="S58" s="3">
        <f>SUM(C58:R58)</f>
        <v>4171358.3333333326</v>
      </c>
      <c r="T58" s="3">
        <f>T57+S58</f>
        <v>706814791.6666671</v>
      </c>
      <c r="U58" s="9">
        <f>T58/Inputs!$B$4</f>
        <v>0.7068147917</v>
      </c>
    </row>
    <row r="59">
      <c r="A59" t="n">
        <v>54</v>
      </c>
      <c r="B59" s="4">
        <f>EDATE(Inputs!$B$5,A59)</f>
        <v>48288.0</v>
      </c>
      <c r="C59" s="3">
        <f>IF(A59=0,Inputs!$E$12,IF(AND(A59&gt;=Inputs!$F$12,A59&lt;=Inputs!$G$12),Inputs!$I$12,0))</f>
        <v>215237.401375325</v>
      </c>
      <c r="D59" s="3">
        <f>IF(A59=0,Inputs!$E$13,IF(AND(A59&gt;=Inputs!$F$13,A59&lt;=Inputs!$G$13),Inputs!$I$13,0))</f>
        <v>568942.8418819729</v>
      </c>
      <c r="E59" s="3">
        <f>IF(A59=0,Inputs!$E$14,IF(AND(A59&gt;=Inputs!$F$14,A59&lt;=Inputs!$G$14),Inputs!$I$14,0))</f>
        <v>341365.7051291833</v>
      </c>
      <c r="F59" s="3">
        <f>IF(A59=0,Inputs!$E$15,IF(AND(A59&gt;=Inputs!$F$15,A59&lt;=Inputs!$G$15),Inputs!$I$15,0))</f>
        <v>227577.1367527896</v>
      </c>
      <c r="G59" s="3">
        <f>IF(A59=0,Inputs!$E$16,IF(AND(A59&gt;=Inputs!$F$16,A59&lt;=Inputs!$G$16),Inputs!$I$16,0))</f>
        <v>227577.1367527896</v>
      </c>
      <c r="H59" s="3">
        <f>IF(A59=0,Inputs!$E$17,IF(AND(A59&gt;=Inputs!$F$17,A59&lt;=Inputs!$G$17),Inputs!$I$17,0))</f>
        <v>227577.1367527896</v>
      </c>
      <c r="I59" s="3">
        <f>IF(A59=0,Inputs!$E$18,IF(AND(A59&gt;=Inputs!$F$18,A59&lt;=Inputs!$G$18),Inputs!$I$18,0))</f>
        <v>227577.1367527896</v>
      </c>
      <c r="J59" s="3">
        <f>IF(A59=0,Inputs!$E$19,IF(AND(A59&gt;=Inputs!$F$19,A59&lt;=Inputs!$G$19),Inputs!$I$19,0))</f>
        <v>47478.8379356935</v>
      </c>
      <c r="K59" s="3">
        <f>IF(A59=0,Inputs!$E$20,IF(AND(A59&gt;=Inputs!$F$20,A59&lt;=Inputs!$G$20),Inputs!$I$20,0))</f>
        <v>0.0</v>
      </c>
      <c r="L59" s="3">
        <f>IF(A59&lt;Inputs!$B$9,0,IF(A59&lt;=12,Inputs!$B$8,Inputs!$B$6*(1-Inputs!$B$7)^(INT((A59-13)/12)+1)/12))</f>
        <v>2088024.9999999998</v>
      </c>
      <c r="M59" s="3">
        <f>IF(A59=0,Inputs!$E$22,IF(AND(A59&gt;=Inputs!$F$22,A59&lt;=Inputs!$G$22),Inputs!$I$22,0))</f>
        <v>0.0</v>
      </c>
      <c r="N59" s="3">
        <f>IF(A59=0,Inputs!$E$23,IF(AND(A59&gt;=Inputs!$F$23,A59&lt;=Inputs!$G$23),Inputs!$I$23,0))</f>
        <v>0.0</v>
      </c>
      <c r="O59" s="3">
        <f>IF(A59=0,Inputs!$E$24,IF(AND(A59&gt;=Inputs!$F$24,A59&lt;=Inputs!$G$24),Inputs!$I$24,0))</f>
        <v>0.0</v>
      </c>
      <c r="P59" s="3">
        <f>IF(A59=0,Inputs!$E$25,IF(AND(A59&gt;=Inputs!$F$25,A59&lt;=Inputs!$G$25),Inputs!$I$25,0))</f>
        <v>0.0</v>
      </c>
      <c r="Q59" s="3">
        <f>IF(A59=0,Inputs!$E$26,IF(AND(A59&gt;=Inputs!$F$26,A59&lt;=Inputs!$G$26),Inputs!$I$26,0))</f>
        <v>0.0</v>
      </c>
      <c r="R59" s="3">
        <f>IF(A59=0,Inputs!$E$27,IF(AND(A59&gt;=Inputs!$F$27,A59&lt;=Inputs!$G$27),Inputs!$I$27,0))</f>
        <v>0.0</v>
      </c>
      <c r="S59" s="3">
        <f>SUM(C59:R59)</f>
        <v>4171358.3333333326</v>
      </c>
      <c r="T59" s="3">
        <f>T58+S59</f>
        <v>710986150.0000005</v>
      </c>
      <c r="U59" s="9">
        <f>T59/Inputs!$B$4</f>
        <v>0.71098615</v>
      </c>
    </row>
    <row r="60">
      <c r="A60" t="n">
        <v>55</v>
      </c>
      <c r="B60" s="4">
        <f>EDATE(Inputs!$B$5,A60)</f>
        <v>48319.0</v>
      </c>
      <c r="C60" s="3">
        <f>IF(A60=0,Inputs!$E$12,IF(AND(A60&gt;=Inputs!$F$12,A60&lt;=Inputs!$G$12),Inputs!$I$12,0))</f>
        <v>215237.401375325</v>
      </c>
      <c r="D60" s="3">
        <f>IF(A60=0,Inputs!$E$13,IF(AND(A60&gt;=Inputs!$F$13,A60&lt;=Inputs!$G$13),Inputs!$I$13,0))</f>
        <v>568942.8418819729</v>
      </c>
      <c r="E60" s="3">
        <f>IF(A60=0,Inputs!$E$14,IF(AND(A60&gt;=Inputs!$F$14,A60&lt;=Inputs!$G$14),Inputs!$I$14,0))</f>
        <v>341365.7051291833</v>
      </c>
      <c r="F60" s="3">
        <f>IF(A60=0,Inputs!$E$15,IF(AND(A60&gt;=Inputs!$F$15,A60&lt;=Inputs!$G$15),Inputs!$I$15,0))</f>
        <v>227577.1367527896</v>
      </c>
      <c r="G60" s="3">
        <f>IF(A60=0,Inputs!$E$16,IF(AND(A60&gt;=Inputs!$F$16,A60&lt;=Inputs!$G$16),Inputs!$I$16,0))</f>
        <v>227577.1367527896</v>
      </c>
      <c r="H60" s="3">
        <f>IF(A60=0,Inputs!$E$17,IF(AND(A60&gt;=Inputs!$F$17,A60&lt;=Inputs!$G$17),Inputs!$I$17,0))</f>
        <v>227577.1367527896</v>
      </c>
      <c r="I60" s="3">
        <f>IF(A60=0,Inputs!$E$18,IF(AND(A60&gt;=Inputs!$F$18,A60&lt;=Inputs!$G$18),Inputs!$I$18,0))</f>
        <v>227577.1367527896</v>
      </c>
      <c r="J60" s="3">
        <f>IF(A60=0,Inputs!$E$19,IF(AND(A60&gt;=Inputs!$F$19,A60&lt;=Inputs!$G$19),Inputs!$I$19,0))</f>
        <v>47478.8379356935</v>
      </c>
      <c r="K60" s="3">
        <f>IF(A60=0,Inputs!$E$20,IF(AND(A60&gt;=Inputs!$F$20,A60&lt;=Inputs!$G$20),Inputs!$I$20,0))</f>
        <v>0.0</v>
      </c>
      <c r="L60" s="3">
        <f>IF(A60&lt;Inputs!$B$9,0,IF(A60&lt;=12,Inputs!$B$8,Inputs!$B$6*(1-Inputs!$B$7)^(INT((A60-13)/12)+1)/12))</f>
        <v>2088024.9999999998</v>
      </c>
      <c r="M60" s="3">
        <f>IF(A60=0,Inputs!$E$22,IF(AND(A60&gt;=Inputs!$F$22,A60&lt;=Inputs!$G$22),Inputs!$I$22,0))</f>
        <v>0.0</v>
      </c>
      <c r="N60" s="3">
        <f>IF(A60=0,Inputs!$E$23,IF(AND(A60&gt;=Inputs!$F$23,A60&lt;=Inputs!$G$23),Inputs!$I$23,0))</f>
        <v>0.0</v>
      </c>
      <c r="O60" s="3">
        <f>IF(A60=0,Inputs!$E$24,IF(AND(A60&gt;=Inputs!$F$24,A60&lt;=Inputs!$G$24),Inputs!$I$24,0))</f>
        <v>0.0</v>
      </c>
      <c r="P60" s="3">
        <f>IF(A60=0,Inputs!$E$25,IF(AND(A60&gt;=Inputs!$F$25,A60&lt;=Inputs!$G$25),Inputs!$I$25,0))</f>
        <v>0.0</v>
      </c>
      <c r="Q60" s="3">
        <f>IF(A60=0,Inputs!$E$26,IF(AND(A60&gt;=Inputs!$F$26,A60&lt;=Inputs!$G$26),Inputs!$I$26,0))</f>
        <v>0.0</v>
      </c>
      <c r="R60" s="3">
        <f>IF(A60=0,Inputs!$E$27,IF(AND(A60&gt;=Inputs!$F$27,A60&lt;=Inputs!$G$27),Inputs!$I$27,0))</f>
        <v>0.0</v>
      </c>
      <c r="S60" s="3">
        <f>SUM(C60:R60)</f>
        <v>4171358.3333333326</v>
      </c>
      <c r="T60" s="3">
        <f>T59+S60</f>
        <v>715157508.3333338</v>
      </c>
      <c r="U60" s="9">
        <f>T60/Inputs!$B$4</f>
        <v>0.7151575083</v>
      </c>
    </row>
    <row r="61">
      <c r="A61" t="n">
        <v>56</v>
      </c>
      <c r="B61" s="4">
        <f>EDATE(Inputs!$B$5,A61)</f>
        <v>48349.0</v>
      </c>
      <c r="C61" s="3">
        <f>IF(A61=0,Inputs!$E$12,IF(AND(A61&gt;=Inputs!$F$12,A61&lt;=Inputs!$G$12),Inputs!$I$12,0))</f>
        <v>215237.401375325</v>
      </c>
      <c r="D61" s="3">
        <f>IF(A61=0,Inputs!$E$13,IF(AND(A61&gt;=Inputs!$F$13,A61&lt;=Inputs!$G$13),Inputs!$I$13,0))</f>
        <v>568942.8418819729</v>
      </c>
      <c r="E61" s="3">
        <f>IF(A61=0,Inputs!$E$14,IF(AND(A61&gt;=Inputs!$F$14,A61&lt;=Inputs!$G$14),Inputs!$I$14,0))</f>
        <v>341365.7051291833</v>
      </c>
      <c r="F61" s="3">
        <f>IF(A61=0,Inputs!$E$15,IF(AND(A61&gt;=Inputs!$F$15,A61&lt;=Inputs!$G$15),Inputs!$I$15,0))</f>
        <v>227577.1367527896</v>
      </c>
      <c r="G61" s="3">
        <f>IF(A61=0,Inputs!$E$16,IF(AND(A61&gt;=Inputs!$F$16,A61&lt;=Inputs!$G$16),Inputs!$I$16,0))</f>
        <v>227577.1367527896</v>
      </c>
      <c r="H61" s="3">
        <f>IF(A61=0,Inputs!$E$17,IF(AND(A61&gt;=Inputs!$F$17,A61&lt;=Inputs!$G$17),Inputs!$I$17,0))</f>
        <v>227577.1367527896</v>
      </c>
      <c r="I61" s="3">
        <f>IF(A61=0,Inputs!$E$18,IF(AND(A61&gt;=Inputs!$F$18,A61&lt;=Inputs!$G$18),Inputs!$I$18,0))</f>
        <v>227577.1367527896</v>
      </c>
      <c r="J61" s="3">
        <f>IF(A61=0,Inputs!$E$19,IF(AND(A61&gt;=Inputs!$F$19,A61&lt;=Inputs!$G$19),Inputs!$I$19,0))</f>
        <v>47478.8379356935</v>
      </c>
      <c r="K61" s="3">
        <f>IF(A61=0,Inputs!$E$20,IF(AND(A61&gt;=Inputs!$F$20,A61&lt;=Inputs!$G$20),Inputs!$I$20,0))</f>
        <v>0.0</v>
      </c>
      <c r="L61" s="3">
        <f>IF(A61&lt;Inputs!$B$9,0,IF(A61&lt;=12,Inputs!$B$8,Inputs!$B$6*(1-Inputs!$B$7)^(INT((A61-13)/12)+1)/12))</f>
        <v>2088024.9999999998</v>
      </c>
      <c r="M61" s="3">
        <f>IF(A61=0,Inputs!$E$22,IF(AND(A61&gt;=Inputs!$F$22,A61&lt;=Inputs!$G$22),Inputs!$I$22,0))</f>
        <v>0.0</v>
      </c>
      <c r="N61" s="3">
        <f>IF(A61=0,Inputs!$E$23,IF(AND(A61&gt;=Inputs!$F$23,A61&lt;=Inputs!$G$23),Inputs!$I$23,0))</f>
        <v>0.0</v>
      </c>
      <c r="O61" s="3">
        <f>IF(A61=0,Inputs!$E$24,IF(AND(A61&gt;=Inputs!$F$24,A61&lt;=Inputs!$G$24),Inputs!$I$24,0))</f>
        <v>0.0</v>
      </c>
      <c r="P61" s="3">
        <f>IF(A61=0,Inputs!$E$25,IF(AND(A61&gt;=Inputs!$F$25,A61&lt;=Inputs!$G$25),Inputs!$I$25,0))</f>
        <v>0.0</v>
      </c>
      <c r="Q61" s="3">
        <f>IF(A61=0,Inputs!$E$26,IF(AND(A61&gt;=Inputs!$F$26,A61&lt;=Inputs!$G$26),Inputs!$I$26,0))</f>
        <v>0.0</v>
      </c>
      <c r="R61" s="3">
        <f>IF(A61=0,Inputs!$E$27,IF(AND(A61&gt;=Inputs!$F$27,A61&lt;=Inputs!$G$27),Inputs!$I$27,0))</f>
        <v>0.0</v>
      </c>
      <c r="S61" s="3">
        <f>SUM(C61:R61)</f>
        <v>4171358.3333333326</v>
      </c>
      <c r="T61" s="3">
        <f>T60+S61</f>
        <v>719328866.6666672</v>
      </c>
      <c r="U61" s="9">
        <f>T61/Inputs!$B$4</f>
        <v>0.7193288667</v>
      </c>
    </row>
    <row r="62">
      <c r="A62" t="n">
        <v>57</v>
      </c>
      <c r="B62" s="4">
        <f>EDATE(Inputs!$B$5,A62)</f>
        <v>48380.0</v>
      </c>
      <c r="C62" s="3">
        <f>IF(A62=0,Inputs!$E$12,IF(AND(A62&gt;=Inputs!$F$12,A62&lt;=Inputs!$G$12),Inputs!$I$12,0))</f>
        <v>215237.401375325</v>
      </c>
      <c r="D62" s="3">
        <f>IF(A62=0,Inputs!$E$13,IF(AND(A62&gt;=Inputs!$F$13,A62&lt;=Inputs!$G$13),Inputs!$I$13,0))</f>
        <v>568942.8418819729</v>
      </c>
      <c r="E62" s="3">
        <f>IF(A62=0,Inputs!$E$14,IF(AND(A62&gt;=Inputs!$F$14,A62&lt;=Inputs!$G$14),Inputs!$I$14,0))</f>
        <v>341365.7051291833</v>
      </c>
      <c r="F62" s="3">
        <f>IF(A62=0,Inputs!$E$15,IF(AND(A62&gt;=Inputs!$F$15,A62&lt;=Inputs!$G$15),Inputs!$I$15,0))</f>
        <v>227577.1367527896</v>
      </c>
      <c r="G62" s="3">
        <f>IF(A62=0,Inputs!$E$16,IF(AND(A62&gt;=Inputs!$F$16,A62&lt;=Inputs!$G$16),Inputs!$I$16,0))</f>
        <v>227577.1367527896</v>
      </c>
      <c r="H62" s="3">
        <f>IF(A62=0,Inputs!$E$17,IF(AND(A62&gt;=Inputs!$F$17,A62&lt;=Inputs!$G$17),Inputs!$I$17,0))</f>
        <v>227577.1367527896</v>
      </c>
      <c r="I62" s="3">
        <f>IF(A62=0,Inputs!$E$18,IF(AND(A62&gt;=Inputs!$F$18,A62&lt;=Inputs!$G$18),Inputs!$I$18,0))</f>
        <v>227577.1367527896</v>
      </c>
      <c r="J62" s="3">
        <f>IF(A62=0,Inputs!$E$19,IF(AND(A62&gt;=Inputs!$F$19,A62&lt;=Inputs!$G$19),Inputs!$I$19,0))</f>
        <v>47478.8379356935</v>
      </c>
      <c r="K62" s="3">
        <f>IF(A62=0,Inputs!$E$20,IF(AND(A62&gt;=Inputs!$F$20,A62&lt;=Inputs!$G$20),Inputs!$I$20,0))</f>
        <v>0.0</v>
      </c>
      <c r="L62" s="3">
        <f>IF(A62&lt;Inputs!$B$9,0,IF(A62&lt;=12,Inputs!$B$8,Inputs!$B$6*(1-Inputs!$B$7)^(INT((A62-13)/12)+1)/12))</f>
        <v>2088024.9999999998</v>
      </c>
      <c r="M62" s="3">
        <f>IF(A62=0,Inputs!$E$22,IF(AND(A62&gt;=Inputs!$F$22,A62&lt;=Inputs!$G$22),Inputs!$I$22,0))</f>
        <v>0.0</v>
      </c>
      <c r="N62" s="3">
        <f>IF(A62=0,Inputs!$E$23,IF(AND(A62&gt;=Inputs!$F$23,A62&lt;=Inputs!$G$23),Inputs!$I$23,0))</f>
        <v>0.0</v>
      </c>
      <c r="O62" s="3">
        <f>IF(A62=0,Inputs!$E$24,IF(AND(A62&gt;=Inputs!$F$24,A62&lt;=Inputs!$G$24),Inputs!$I$24,0))</f>
        <v>0.0</v>
      </c>
      <c r="P62" s="3">
        <f>IF(A62=0,Inputs!$E$25,IF(AND(A62&gt;=Inputs!$F$25,A62&lt;=Inputs!$G$25),Inputs!$I$25,0))</f>
        <v>0.0</v>
      </c>
      <c r="Q62" s="3">
        <f>IF(A62=0,Inputs!$E$26,IF(AND(A62&gt;=Inputs!$F$26,A62&lt;=Inputs!$G$26),Inputs!$I$26,0))</f>
        <v>0.0</v>
      </c>
      <c r="R62" s="3">
        <f>IF(A62=0,Inputs!$E$27,IF(AND(A62&gt;=Inputs!$F$27,A62&lt;=Inputs!$G$27),Inputs!$I$27,0))</f>
        <v>0.0</v>
      </c>
      <c r="S62" s="3">
        <f>SUM(C62:R62)</f>
        <v>4171358.3333333326</v>
      </c>
      <c r="T62" s="3">
        <f>T61+S62</f>
        <v>723500225.0000006</v>
      </c>
      <c r="U62" s="9">
        <f>T62/Inputs!$B$4</f>
        <v>0.723500225</v>
      </c>
    </row>
    <row r="63">
      <c r="A63" t="n">
        <v>58</v>
      </c>
      <c r="B63" s="4">
        <f>EDATE(Inputs!$B$5,A63)</f>
        <v>48410.0</v>
      </c>
      <c r="C63" s="3">
        <f>IF(A63=0,Inputs!$E$12,IF(AND(A63&gt;=Inputs!$F$12,A63&lt;=Inputs!$G$12),Inputs!$I$12,0))</f>
        <v>215237.401375325</v>
      </c>
      <c r="D63" s="3">
        <f>IF(A63=0,Inputs!$E$13,IF(AND(A63&gt;=Inputs!$F$13,A63&lt;=Inputs!$G$13),Inputs!$I$13,0))</f>
        <v>568942.8418819729</v>
      </c>
      <c r="E63" s="3">
        <f>IF(A63=0,Inputs!$E$14,IF(AND(A63&gt;=Inputs!$F$14,A63&lt;=Inputs!$G$14),Inputs!$I$14,0))</f>
        <v>341365.7051291833</v>
      </c>
      <c r="F63" s="3">
        <f>IF(A63=0,Inputs!$E$15,IF(AND(A63&gt;=Inputs!$F$15,A63&lt;=Inputs!$G$15),Inputs!$I$15,0))</f>
        <v>227577.1367527896</v>
      </c>
      <c r="G63" s="3">
        <f>IF(A63=0,Inputs!$E$16,IF(AND(A63&gt;=Inputs!$F$16,A63&lt;=Inputs!$G$16),Inputs!$I$16,0))</f>
        <v>227577.1367527896</v>
      </c>
      <c r="H63" s="3">
        <f>IF(A63=0,Inputs!$E$17,IF(AND(A63&gt;=Inputs!$F$17,A63&lt;=Inputs!$G$17),Inputs!$I$17,0))</f>
        <v>227577.1367527896</v>
      </c>
      <c r="I63" s="3">
        <f>IF(A63=0,Inputs!$E$18,IF(AND(A63&gt;=Inputs!$F$18,A63&lt;=Inputs!$G$18),Inputs!$I$18,0))</f>
        <v>227577.1367527896</v>
      </c>
      <c r="J63" s="3">
        <f>IF(A63=0,Inputs!$E$19,IF(AND(A63&gt;=Inputs!$F$19,A63&lt;=Inputs!$G$19),Inputs!$I$19,0))</f>
        <v>47478.8379356935</v>
      </c>
      <c r="K63" s="3">
        <f>IF(A63=0,Inputs!$E$20,IF(AND(A63&gt;=Inputs!$F$20,A63&lt;=Inputs!$G$20),Inputs!$I$20,0))</f>
        <v>0.0</v>
      </c>
      <c r="L63" s="3">
        <f>IF(A63&lt;Inputs!$B$9,0,IF(A63&lt;=12,Inputs!$B$8,Inputs!$B$6*(1-Inputs!$B$7)^(INT((A63-13)/12)+1)/12))</f>
        <v>2088024.9999999998</v>
      </c>
      <c r="M63" s="3">
        <f>IF(A63=0,Inputs!$E$22,IF(AND(A63&gt;=Inputs!$F$22,A63&lt;=Inputs!$G$22),Inputs!$I$22,0))</f>
        <v>0.0</v>
      </c>
      <c r="N63" s="3">
        <f>IF(A63=0,Inputs!$E$23,IF(AND(A63&gt;=Inputs!$F$23,A63&lt;=Inputs!$G$23),Inputs!$I$23,0))</f>
        <v>0.0</v>
      </c>
      <c r="O63" s="3">
        <f>IF(A63=0,Inputs!$E$24,IF(AND(A63&gt;=Inputs!$F$24,A63&lt;=Inputs!$G$24),Inputs!$I$24,0))</f>
        <v>0.0</v>
      </c>
      <c r="P63" s="3">
        <f>IF(A63=0,Inputs!$E$25,IF(AND(A63&gt;=Inputs!$F$25,A63&lt;=Inputs!$G$25),Inputs!$I$25,0))</f>
        <v>0.0</v>
      </c>
      <c r="Q63" s="3">
        <f>IF(A63=0,Inputs!$E$26,IF(AND(A63&gt;=Inputs!$F$26,A63&lt;=Inputs!$G$26),Inputs!$I$26,0))</f>
        <v>0.0</v>
      </c>
      <c r="R63" s="3">
        <f>IF(A63=0,Inputs!$E$27,IF(AND(A63&gt;=Inputs!$F$27,A63&lt;=Inputs!$G$27),Inputs!$I$27,0))</f>
        <v>0.0</v>
      </c>
      <c r="S63" s="3">
        <f>SUM(C63:R63)</f>
        <v>4171358.3333333326</v>
      </c>
      <c r="T63" s="3">
        <f>T62+S63</f>
        <v>727671583.333334</v>
      </c>
      <c r="U63" s="9">
        <f>T63/Inputs!$B$4</f>
        <v>0.7276715833</v>
      </c>
    </row>
    <row r="64">
      <c r="A64" t="n">
        <v>59</v>
      </c>
      <c r="B64" s="4">
        <f>EDATE(Inputs!$B$5,A64)</f>
        <v>48441.0</v>
      </c>
      <c r="C64" s="3">
        <f>IF(A64=0,Inputs!$E$12,IF(AND(A64&gt;=Inputs!$F$12,A64&lt;=Inputs!$G$12),Inputs!$I$12,0))</f>
        <v>215237.401375325</v>
      </c>
      <c r="D64" s="3">
        <f>IF(A64=0,Inputs!$E$13,IF(AND(A64&gt;=Inputs!$F$13,A64&lt;=Inputs!$G$13),Inputs!$I$13,0))</f>
        <v>568942.8418819729</v>
      </c>
      <c r="E64" s="3">
        <f>IF(A64=0,Inputs!$E$14,IF(AND(A64&gt;=Inputs!$F$14,A64&lt;=Inputs!$G$14),Inputs!$I$14,0))</f>
        <v>341365.7051291833</v>
      </c>
      <c r="F64" s="3">
        <f>IF(A64=0,Inputs!$E$15,IF(AND(A64&gt;=Inputs!$F$15,A64&lt;=Inputs!$G$15),Inputs!$I$15,0))</f>
        <v>227577.1367527896</v>
      </c>
      <c r="G64" s="3">
        <f>IF(A64=0,Inputs!$E$16,IF(AND(A64&gt;=Inputs!$F$16,A64&lt;=Inputs!$G$16),Inputs!$I$16,0))</f>
        <v>227577.1367527896</v>
      </c>
      <c r="H64" s="3">
        <f>IF(A64=0,Inputs!$E$17,IF(AND(A64&gt;=Inputs!$F$17,A64&lt;=Inputs!$G$17),Inputs!$I$17,0))</f>
        <v>227577.1367527896</v>
      </c>
      <c r="I64" s="3">
        <f>IF(A64=0,Inputs!$E$18,IF(AND(A64&gt;=Inputs!$F$18,A64&lt;=Inputs!$G$18),Inputs!$I$18,0))</f>
        <v>227577.1367527896</v>
      </c>
      <c r="J64" s="3">
        <f>IF(A64=0,Inputs!$E$19,IF(AND(A64&gt;=Inputs!$F$19,A64&lt;=Inputs!$G$19),Inputs!$I$19,0))</f>
        <v>47478.8379356935</v>
      </c>
      <c r="K64" s="3">
        <f>IF(A64=0,Inputs!$E$20,IF(AND(A64&gt;=Inputs!$F$20,A64&lt;=Inputs!$G$20),Inputs!$I$20,0))</f>
        <v>0.0</v>
      </c>
      <c r="L64" s="3">
        <f>IF(A64&lt;Inputs!$B$9,0,IF(A64&lt;=12,Inputs!$B$8,Inputs!$B$6*(1-Inputs!$B$7)^(INT((A64-13)/12)+1)/12))</f>
        <v>2088024.9999999998</v>
      </c>
      <c r="M64" s="3">
        <f>IF(A64=0,Inputs!$E$22,IF(AND(A64&gt;=Inputs!$F$22,A64&lt;=Inputs!$G$22),Inputs!$I$22,0))</f>
        <v>0.0</v>
      </c>
      <c r="N64" s="3">
        <f>IF(A64=0,Inputs!$E$23,IF(AND(A64&gt;=Inputs!$F$23,A64&lt;=Inputs!$G$23),Inputs!$I$23,0))</f>
        <v>0.0</v>
      </c>
      <c r="O64" s="3">
        <f>IF(A64=0,Inputs!$E$24,IF(AND(A64&gt;=Inputs!$F$24,A64&lt;=Inputs!$G$24),Inputs!$I$24,0))</f>
        <v>0.0</v>
      </c>
      <c r="P64" s="3">
        <f>IF(A64=0,Inputs!$E$25,IF(AND(A64&gt;=Inputs!$F$25,A64&lt;=Inputs!$G$25),Inputs!$I$25,0))</f>
        <v>0.0</v>
      </c>
      <c r="Q64" s="3">
        <f>IF(A64=0,Inputs!$E$26,IF(AND(A64&gt;=Inputs!$F$26,A64&lt;=Inputs!$G$26),Inputs!$I$26,0))</f>
        <v>0.0</v>
      </c>
      <c r="R64" s="3">
        <f>IF(A64=0,Inputs!$E$27,IF(AND(A64&gt;=Inputs!$F$27,A64&lt;=Inputs!$G$27),Inputs!$I$27,0))</f>
        <v>0.0</v>
      </c>
      <c r="S64" s="3">
        <f>SUM(C64:R64)</f>
        <v>4171358.3333333326</v>
      </c>
      <c r="T64" s="3">
        <f>T63+S64</f>
        <v>731842941.6666673</v>
      </c>
      <c r="U64" s="9">
        <f>T64/Inputs!$B$4</f>
        <v>0.7318429417</v>
      </c>
    </row>
    <row r="65">
      <c r="A65" t="n">
        <v>60</v>
      </c>
      <c r="B65" s="4">
        <f>EDATE(Inputs!$B$5,A65)</f>
        <v>48472.0</v>
      </c>
      <c r="C65" s="3">
        <f>IF(A65=0,Inputs!$E$12,IF(AND(A65&gt;=Inputs!$F$12,A65&lt;=Inputs!$G$12),Inputs!$I$12,0))</f>
        <v>215237.401375325</v>
      </c>
      <c r="D65" s="3">
        <f>IF(A65=0,Inputs!$E$13,IF(AND(A65&gt;=Inputs!$F$13,A65&lt;=Inputs!$G$13),Inputs!$I$13,0))</f>
        <v>568942.8418819729</v>
      </c>
      <c r="E65" s="3">
        <f>IF(A65=0,Inputs!$E$14,IF(AND(A65&gt;=Inputs!$F$14,A65&lt;=Inputs!$G$14),Inputs!$I$14,0))</f>
        <v>341365.7051291833</v>
      </c>
      <c r="F65" s="3">
        <f>IF(A65=0,Inputs!$E$15,IF(AND(A65&gt;=Inputs!$F$15,A65&lt;=Inputs!$G$15),Inputs!$I$15,0))</f>
        <v>227577.1367527896</v>
      </c>
      <c r="G65" s="3">
        <f>IF(A65=0,Inputs!$E$16,IF(AND(A65&gt;=Inputs!$F$16,A65&lt;=Inputs!$G$16),Inputs!$I$16,0))</f>
        <v>227577.1367527896</v>
      </c>
      <c r="H65" s="3">
        <f>IF(A65=0,Inputs!$E$17,IF(AND(A65&gt;=Inputs!$F$17,A65&lt;=Inputs!$G$17),Inputs!$I$17,0))</f>
        <v>227577.1367527896</v>
      </c>
      <c r="I65" s="3">
        <f>IF(A65=0,Inputs!$E$18,IF(AND(A65&gt;=Inputs!$F$18,A65&lt;=Inputs!$G$18),Inputs!$I$18,0))</f>
        <v>227577.1367527896</v>
      </c>
      <c r="J65" s="3">
        <f>IF(A65=0,Inputs!$E$19,IF(AND(A65&gt;=Inputs!$F$19,A65&lt;=Inputs!$G$19),Inputs!$I$19,0))</f>
        <v>47478.8379356935</v>
      </c>
      <c r="K65" s="3">
        <f>IF(A65=0,Inputs!$E$20,IF(AND(A65&gt;=Inputs!$F$20,A65&lt;=Inputs!$G$20),Inputs!$I$20,0))</f>
        <v>0.0</v>
      </c>
      <c r="L65" s="3">
        <f>IF(A65&lt;Inputs!$B$9,0,IF(A65&lt;=12,Inputs!$B$8,Inputs!$B$6*(1-Inputs!$B$7)^(INT((A65-13)/12)+1)/12))</f>
        <v>2088024.9999999998</v>
      </c>
      <c r="M65" s="3">
        <f>IF(A65=0,Inputs!$E$22,IF(AND(A65&gt;=Inputs!$F$22,A65&lt;=Inputs!$G$22),Inputs!$I$22,0))</f>
        <v>0.0</v>
      </c>
      <c r="N65" s="3">
        <f>IF(A65=0,Inputs!$E$23,IF(AND(A65&gt;=Inputs!$F$23,A65&lt;=Inputs!$G$23),Inputs!$I$23,0))</f>
        <v>0.0</v>
      </c>
      <c r="O65" s="3">
        <f>IF(A65=0,Inputs!$E$24,IF(AND(A65&gt;=Inputs!$F$24,A65&lt;=Inputs!$G$24),Inputs!$I$24,0))</f>
        <v>0.0</v>
      </c>
      <c r="P65" s="3">
        <f>IF(A65=0,Inputs!$E$25,IF(AND(A65&gt;=Inputs!$F$25,A65&lt;=Inputs!$G$25),Inputs!$I$25,0))</f>
        <v>0.0</v>
      </c>
      <c r="Q65" s="3">
        <f>IF(A65=0,Inputs!$E$26,IF(AND(A65&gt;=Inputs!$F$26,A65&lt;=Inputs!$G$26),Inputs!$I$26,0))</f>
        <v>0.0</v>
      </c>
      <c r="R65" s="3">
        <f>IF(A65=0,Inputs!$E$27,IF(AND(A65&gt;=Inputs!$F$27,A65&lt;=Inputs!$G$27),Inputs!$I$27,0))</f>
        <v>0.0</v>
      </c>
      <c r="S65" s="3">
        <f>SUM(C65:R65)</f>
        <v>4171358.3333333326</v>
      </c>
      <c r="T65" s="3">
        <f>T64+S65</f>
        <v>736014300.0000007</v>
      </c>
      <c r="U65" s="9">
        <f>T65/Inputs!$B$4</f>
        <v>0.7360143</v>
      </c>
    </row>
    <row r="66">
      <c r="A66" t="n">
        <v>61</v>
      </c>
      <c r="B66" s="4">
        <f>EDATE(Inputs!$B$5,A66)</f>
        <v>48502.0</v>
      </c>
      <c r="C66" s="3">
        <f>IF(A66=0,Inputs!$E$12,IF(AND(A66&gt;=Inputs!$F$12,A66&lt;=Inputs!$G$12),Inputs!$I$12,0))</f>
        <v>0.0</v>
      </c>
      <c r="D66" s="3">
        <f>IF(A66=0,Inputs!$E$13,IF(AND(A66&gt;=Inputs!$F$13,A66&lt;=Inputs!$G$13),Inputs!$I$13,0))</f>
        <v>0.0</v>
      </c>
      <c r="E66" s="3">
        <f>IF(A66=0,Inputs!$E$14,IF(AND(A66&gt;=Inputs!$F$14,A66&lt;=Inputs!$G$14),Inputs!$I$14,0))</f>
        <v>0.0</v>
      </c>
      <c r="F66" s="3">
        <f>IF(A66=0,Inputs!$E$15,IF(AND(A66&gt;=Inputs!$F$15,A66&lt;=Inputs!$G$15),Inputs!$I$15,0))</f>
        <v>0.0</v>
      </c>
      <c r="G66" s="3">
        <f>IF(A66=0,Inputs!$E$16,IF(AND(A66&gt;=Inputs!$F$16,A66&lt;=Inputs!$G$16),Inputs!$I$16,0))</f>
        <v>0.0</v>
      </c>
      <c r="H66" s="3">
        <f>IF(A66=0,Inputs!$E$17,IF(AND(A66&gt;=Inputs!$F$17,A66&lt;=Inputs!$G$17),Inputs!$I$17,0))</f>
        <v>0.0</v>
      </c>
      <c r="I66" s="3">
        <f>IF(A66=0,Inputs!$E$18,IF(AND(A66&gt;=Inputs!$F$18,A66&lt;=Inputs!$G$18),Inputs!$I$18,0))</f>
        <v>0.0</v>
      </c>
      <c r="J66" s="3">
        <f>IF(A66=0,Inputs!$E$19,IF(AND(A66&gt;=Inputs!$F$19,A66&lt;=Inputs!$G$19),Inputs!$I$19,0))</f>
        <v>0.0</v>
      </c>
      <c r="K66" s="3">
        <f>IF(A66=0,Inputs!$E$20,IF(AND(A66&gt;=Inputs!$F$20,A66&lt;=Inputs!$G$20),Inputs!$I$20,0))</f>
        <v>0.0</v>
      </c>
      <c r="L66" s="3">
        <f>IF(A66&lt;Inputs!$B$9,0,IF(A66&lt;=12,Inputs!$B$8,Inputs!$B$6*(1-Inputs!$B$7)^(INT((A66-13)/12)+1)/12))</f>
        <v>1774821.2499999998</v>
      </c>
      <c r="M66" s="3">
        <f>IF(A66=0,Inputs!$E$22,IF(AND(A66&gt;=Inputs!$F$22,A66&lt;=Inputs!$G$22),Inputs!$I$22,0))</f>
        <v>0.0</v>
      </c>
      <c r="N66" s="3">
        <f>IF(A66=0,Inputs!$E$23,IF(AND(A66&gt;=Inputs!$F$23,A66&lt;=Inputs!$G$23),Inputs!$I$23,0))</f>
        <v>0.0</v>
      </c>
      <c r="O66" s="3">
        <f>IF(A66=0,Inputs!$E$24,IF(AND(A66&gt;=Inputs!$F$24,A66&lt;=Inputs!$G$24),Inputs!$I$24,0))</f>
        <v>0.0</v>
      </c>
      <c r="P66" s="3">
        <f>IF(A66=0,Inputs!$E$25,IF(AND(A66&gt;=Inputs!$F$25,A66&lt;=Inputs!$G$25),Inputs!$I$25,0))</f>
        <v>0.0</v>
      </c>
      <c r="Q66" s="3">
        <f>IF(A66=0,Inputs!$E$26,IF(AND(A66&gt;=Inputs!$F$26,A66&lt;=Inputs!$G$26),Inputs!$I$26,0))</f>
        <v>0.0</v>
      </c>
      <c r="R66" s="3">
        <f>IF(A66=0,Inputs!$E$27,IF(AND(A66&gt;=Inputs!$F$27,A66&lt;=Inputs!$G$27),Inputs!$I$27,0))</f>
        <v>0.0</v>
      </c>
      <c r="S66" s="3">
        <f>SUM(C66:R66)</f>
        <v>1774821.2499999998</v>
      </c>
      <c r="T66" s="3">
        <f>T65+S66</f>
        <v>737789121.2500007</v>
      </c>
      <c r="U66" s="9">
        <f>T66/Inputs!$B$4</f>
        <v>0.7377891213</v>
      </c>
    </row>
    <row r="67">
      <c r="A67" t="n">
        <v>62</v>
      </c>
      <c r="B67" s="4">
        <f>EDATE(Inputs!$B$5,A67)</f>
        <v>48533.0</v>
      </c>
      <c r="C67" s="3">
        <f>IF(A67=0,Inputs!$E$12,IF(AND(A67&gt;=Inputs!$F$12,A67&lt;=Inputs!$G$12),Inputs!$I$12,0))</f>
        <v>0.0</v>
      </c>
      <c r="D67" s="3">
        <f>IF(A67=0,Inputs!$E$13,IF(AND(A67&gt;=Inputs!$F$13,A67&lt;=Inputs!$G$13),Inputs!$I$13,0))</f>
        <v>0.0</v>
      </c>
      <c r="E67" s="3">
        <f>IF(A67=0,Inputs!$E$14,IF(AND(A67&gt;=Inputs!$F$14,A67&lt;=Inputs!$G$14),Inputs!$I$14,0))</f>
        <v>0.0</v>
      </c>
      <c r="F67" s="3">
        <f>IF(A67=0,Inputs!$E$15,IF(AND(A67&gt;=Inputs!$F$15,A67&lt;=Inputs!$G$15),Inputs!$I$15,0))</f>
        <v>0.0</v>
      </c>
      <c r="G67" s="3">
        <f>IF(A67=0,Inputs!$E$16,IF(AND(A67&gt;=Inputs!$F$16,A67&lt;=Inputs!$G$16),Inputs!$I$16,0))</f>
        <v>0.0</v>
      </c>
      <c r="H67" s="3">
        <f>IF(A67=0,Inputs!$E$17,IF(AND(A67&gt;=Inputs!$F$17,A67&lt;=Inputs!$G$17),Inputs!$I$17,0))</f>
        <v>0.0</v>
      </c>
      <c r="I67" s="3">
        <f>IF(A67=0,Inputs!$E$18,IF(AND(A67&gt;=Inputs!$F$18,A67&lt;=Inputs!$G$18),Inputs!$I$18,0))</f>
        <v>0.0</v>
      </c>
      <c r="J67" s="3">
        <f>IF(A67=0,Inputs!$E$19,IF(AND(A67&gt;=Inputs!$F$19,A67&lt;=Inputs!$G$19),Inputs!$I$19,0))</f>
        <v>0.0</v>
      </c>
      <c r="K67" s="3">
        <f>IF(A67=0,Inputs!$E$20,IF(AND(A67&gt;=Inputs!$F$20,A67&lt;=Inputs!$G$20),Inputs!$I$20,0))</f>
        <v>0.0</v>
      </c>
      <c r="L67" s="3">
        <f>IF(A67&lt;Inputs!$B$9,0,IF(A67&lt;=12,Inputs!$B$8,Inputs!$B$6*(1-Inputs!$B$7)^(INT((A67-13)/12)+1)/12))</f>
        <v>1774821.2499999998</v>
      </c>
      <c r="M67" s="3">
        <f>IF(A67=0,Inputs!$E$22,IF(AND(A67&gt;=Inputs!$F$22,A67&lt;=Inputs!$G$22),Inputs!$I$22,0))</f>
        <v>0.0</v>
      </c>
      <c r="N67" s="3">
        <f>IF(A67=0,Inputs!$E$23,IF(AND(A67&gt;=Inputs!$F$23,A67&lt;=Inputs!$G$23),Inputs!$I$23,0))</f>
        <v>0.0</v>
      </c>
      <c r="O67" s="3">
        <f>IF(A67=0,Inputs!$E$24,IF(AND(A67&gt;=Inputs!$F$24,A67&lt;=Inputs!$G$24),Inputs!$I$24,0))</f>
        <v>0.0</v>
      </c>
      <c r="P67" s="3">
        <f>IF(A67=0,Inputs!$E$25,IF(AND(A67&gt;=Inputs!$F$25,A67&lt;=Inputs!$G$25),Inputs!$I$25,0))</f>
        <v>0.0</v>
      </c>
      <c r="Q67" s="3">
        <f>IF(A67=0,Inputs!$E$26,IF(AND(A67&gt;=Inputs!$F$26,A67&lt;=Inputs!$G$26),Inputs!$I$26,0))</f>
        <v>0.0</v>
      </c>
      <c r="R67" s="3">
        <f>IF(A67=0,Inputs!$E$27,IF(AND(A67&gt;=Inputs!$F$27,A67&lt;=Inputs!$G$27),Inputs!$I$27,0))</f>
        <v>0.0</v>
      </c>
      <c r="S67" s="3">
        <f>SUM(C67:R67)</f>
        <v>1774821.2499999998</v>
      </c>
      <c r="T67" s="3">
        <f>T66+S67</f>
        <v>739563942.5000007</v>
      </c>
      <c r="U67" s="9">
        <f>T67/Inputs!$B$4</f>
        <v>0.7395639425</v>
      </c>
    </row>
    <row r="68">
      <c r="A68" t="n">
        <v>63</v>
      </c>
      <c r="B68" s="4">
        <f>EDATE(Inputs!$B$5,A68)</f>
        <v>48563.0</v>
      </c>
      <c r="C68" s="3">
        <f>IF(A68=0,Inputs!$E$12,IF(AND(A68&gt;=Inputs!$F$12,A68&lt;=Inputs!$G$12),Inputs!$I$12,0))</f>
        <v>0.0</v>
      </c>
      <c r="D68" s="3">
        <f>IF(A68=0,Inputs!$E$13,IF(AND(A68&gt;=Inputs!$F$13,A68&lt;=Inputs!$G$13),Inputs!$I$13,0))</f>
        <v>0.0</v>
      </c>
      <c r="E68" s="3">
        <f>IF(A68=0,Inputs!$E$14,IF(AND(A68&gt;=Inputs!$F$14,A68&lt;=Inputs!$G$14),Inputs!$I$14,0))</f>
        <v>0.0</v>
      </c>
      <c r="F68" s="3">
        <f>IF(A68=0,Inputs!$E$15,IF(AND(A68&gt;=Inputs!$F$15,A68&lt;=Inputs!$G$15),Inputs!$I$15,0))</f>
        <v>0.0</v>
      </c>
      <c r="G68" s="3">
        <f>IF(A68=0,Inputs!$E$16,IF(AND(A68&gt;=Inputs!$F$16,A68&lt;=Inputs!$G$16),Inputs!$I$16,0))</f>
        <v>0.0</v>
      </c>
      <c r="H68" s="3">
        <f>IF(A68=0,Inputs!$E$17,IF(AND(A68&gt;=Inputs!$F$17,A68&lt;=Inputs!$G$17),Inputs!$I$17,0))</f>
        <v>0.0</v>
      </c>
      <c r="I68" s="3">
        <f>IF(A68=0,Inputs!$E$18,IF(AND(A68&gt;=Inputs!$F$18,A68&lt;=Inputs!$G$18),Inputs!$I$18,0))</f>
        <v>0.0</v>
      </c>
      <c r="J68" s="3">
        <f>IF(A68=0,Inputs!$E$19,IF(AND(A68&gt;=Inputs!$F$19,A68&lt;=Inputs!$G$19),Inputs!$I$19,0))</f>
        <v>0.0</v>
      </c>
      <c r="K68" s="3">
        <f>IF(A68=0,Inputs!$E$20,IF(AND(A68&gt;=Inputs!$F$20,A68&lt;=Inputs!$G$20),Inputs!$I$20,0))</f>
        <v>0.0</v>
      </c>
      <c r="L68" s="3">
        <f>IF(A68&lt;Inputs!$B$9,0,IF(A68&lt;=12,Inputs!$B$8,Inputs!$B$6*(1-Inputs!$B$7)^(INT((A68-13)/12)+1)/12))</f>
        <v>1774821.2499999998</v>
      </c>
      <c r="M68" s="3">
        <f>IF(A68=0,Inputs!$E$22,IF(AND(A68&gt;=Inputs!$F$22,A68&lt;=Inputs!$G$22),Inputs!$I$22,0))</f>
        <v>0.0</v>
      </c>
      <c r="N68" s="3">
        <f>IF(A68=0,Inputs!$E$23,IF(AND(A68&gt;=Inputs!$F$23,A68&lt;=Inputs!$G$23),Inputs!$I$23,0))</f>
        <v>0.0</v>
      </c>
      <c r="O68" s="3">
        <f>IF(A68=0,Inputs!$E$24,IF(AND(A68&gt;=Inputs!$F$24,A68&lt;=Inputs!$G$24),Inputs!$I$24,0))</f>
        <v>0.0</v>
      </c>
      <c r="P68" s="3">
        <f>IF(A68=0,Inputs!$E$25,IF(AND(A68&gt;=Inputs!$F$25,A68&lt;=Inputs!$G$25),Inputs!$I$25,0))</f>
        <v>0.0</v>
      </c>
      <c r="Q68" s="3">
        <f>IF(A68=0,Inputs!$E$26,IF(AND(A68&gt;=Inputs!$F$26,A68&lt;=Inputs!$G$26),Inputs!$I$26,0))</f>
        <v>0.0</v>
      </c>
      <c r="R68" s="3">
        <f>IF(A68=0,Inputs!$E$27,IF(AND(A68&gt;=Inputs!$F$27,A68&lt;=Inputs!$G$27),Inputs!$I$27,0))</f>
        <v>0.0</v>
      </c>
      <c r="S68" s="3">
        <f>SUM(C68:R68)</f>
        <v>1774821.2499999998</v>
      </c>
      <c r="T68" s="3">
        <f>T67+S68</f>
        <v>741338763.7500007</v>
      </c>
      <c r="U68" s="9">
        <f>T68/Inputs!$B$4</f>
        <v>0.7413387638</v>
      </c>
    </row>
    <row r="69">
      <c r="A69" t="n">
        <v>64</v>
      </c>
      <c r="B69" s="4">
        <f>EDATE(Inputs!$B$5,A69)</f>
        <v>48594.0</v>
      </c>
      <c r="C69" s="3">
        <f>IF(A69=0,Inputs!$E$12,IF(AND(A69&gt;=Inputs!$F$12,A69&lt;=Inputs!$G$12),Inputs!$I$12,0))</f>
        <v>0.0</v>
      </c>
      <c r="D69" s="3">
        <f>IF(A69=0,Inputs!$E$13,IF(AND(A69&gt;=Inputs!$F$13,A69&lt;=Inputs!$G$13),Inputs!$I$13,0))</f>
        <v>0.0</v>
      </c>
      <c r="E69" s="3">
        <f>IF(A69=0,Inputs!$E$14,IF(AND(A69&gt;=Inputs!$F$14,A69&lt;=Inputs!$G$14),Inputs!$I$14,0))</f>
        <v>0.0</v>
      </c>
      <c r="F69" s="3">
        <f>IF(A69=0,Inputs!$E$15,IF(AND(A69&gt;=Inputs!$F$15,A69&lt;=Inputs!$G$15),Inputs!$I$15,0))</f>
        <v>0.0</v>
      </c>
      <c r="G69" s="3">
        <f>IF(A69=0,Inputs!$E$16,IF(AND(A69&gt;=Inputs!$F$16,A69&lt;=Inputs!$G$16),Inputs!$I$16,0))</f>
        <v>0.0</v>
      </c>
      <c r="H69" s="3">
        <f>IF(A69=0,Inputs!$E$17,IF(AND(A69&gt;=Inputs!$F$17,A69&lt;=Inputs!$G$17),Inputs!$I$17,0))</f>
        <v>0.0</v>
      </c>
      <c r="I69" s="3">
        <f>IF(A69=0,Inputs!$E$18,IF(AND(A69&gt;=Inputs!$F$18,A69&lt;=Inputs!$G$18),Inputs!$I$18,0))</f>
        <v>0.0</v>
      </c>
      <c r="J69" s="3">
        <f>IF(A69=0,Inputs!$E$19,IF(AND(A69&gt;=Inputs!$F$19,A69&lt;=Inputs!$G$19),Inputs!$I$19,0))</f>
        <v>0.0</v>
      </c>
      <c r="K69" s="3">
        <f>IF(A69=0,Inputs!$E$20,IF(AND(A69&gt;=Inputs!$F$20,A69&lt;=Inputs!$G$20),Inputs!$I$20,0))</f>
        <v>0.0</v>
      </c>
      <c r="L69" s="3">
        <f>IF(A69&lt;Inputs!$B$9,0,IF(A69&lt;=12,Inputs!$B$8,Inputs!$B$6*(1-Inputs!$B$7)^(INT((A69-13)/12)+1)/12))</f>
        <v>1774821.2499999998</v>
      </c>
      <c r="M69" s="3">
        <f>IF(A69=0,Inputs!$E$22,IF(AND(A69&gt;=Inputs!$F$22,A69&lt;=Inputs!$G$22),Inputs!$I$22,0))</f>
        <v>0.0</v>
      </c>
      <c r="N69" s="3">
        <f>IF(A69=0,Inputs!$E$23,IF(AND(A69&gt;=Inputs!$F$23,A69&lt;=Inputs!$G$23),Inputs!$I$23,0))</f>
        <v>0.0</v>
      </c>
      <c r="O69" s="3">
        <f>IF(A69=0,Inputs!$E$24,IF(AND(A69&gt;=Inputs!$F$24,A69&lt;=Inputs!$G$24),Inputs!$I$24,0))</f>
        <v>0.0</v>
      </c>
      <c r="P69" s="3">
        <f>IF(A69=0,Inputs!$E$25,IF(AND(A69&gt;=Inputs!$F$25,A69&lt;=Inputs!$G$25),Inputs!$I$25,0))</f>
        <v>0.0</v>
      </c>
      <c r="Q69" s="3">
        <f>IF(A69=0,Inputs!$E$26,IF(AND(A69&gt;=Inputs!$F$26,A69&lt;=Inputs!$G$26),Inputs!$I$26,0))</f>
        <v>0.0</v>
      </c>
      <c r="R69" s="3">
        <f>IF(A69=0,Inputs!$E$27,IF(AND(A69&gt;=Inputs!$F$27,A69&lt;=Inputs!$G$27),Inputs!$I$27,0))</f>
        <v>0.0</v>
      </c>
      <c r="S69" s="3">
        <f>SUM(C69:R69)</f>
        <v>1774821.2499999998</v>
      </c>
      <c r="T69" s="3">
        <f>T68+S69</f>
        <v>743113585.0000007</v>
      </c>
      <c r="U69" s="9">
        <f>T69/Inputs!$B$4</f>
        <v>0.743113585</v>
      </c>
    </row>
    <row r="70">
      <c r="A70" t="n">
        <v>65</v>
      </c>
      <c r="B70" s="4">
        <f>EDATE(Inputs!$B$5,A70)</f>
        <v>48625.0</v>
      </c>
      <c r="C70" s="3">
        <f>IF(A70=0,Inputs!$E$12,IF(AND(A70&gt;=Inputs!$F$12,A70&lt;=Inputs!$G$12),Inputs!$I$12,0))</f>
        <v>0.0</v>
      </c>
      <c r="D70" s="3">
        <f>IF(A70=0,Inputs!$E$13,IF(AND(A70&gt;=Inputs!$F$13,A70&lt;=Inputs!$G$13),Inputs!$I$13,0))</f>
        <v>0.0</v>
      </c>
      <c r="E70" s="3">
        <f>IF(A70=0,Inputs!$E$14,IF(AND(A70&gt;=Inputs!$F$14,A70&lt;=Inputs!$G$14),Inputs!$I$14,0))</f>
        <v>0.0</v>
      </c>
      <c r="F70" s="3">
        <f>IF(A70=0,Inputs!$E$15,IF(AND(A70&gt;=Inputs!$F$15,A70&lt;=Inputs!$G$15),Inputs!$I$15,0))</f>
        <v>0.0</v>
      </c>
      <c r="G70" s="3">
        <f>IF(A70=0,Inputs!$E$16,IF(AND(A70&gt;=Inputs!$F$16,A70&lt;=Inputs!$G$16),Inputs!$I$16,0))</f>
        <v>0.0</v>
      </c>
      <c r="H70" s="3">
        <f>IF(A70=0,Inputs!$E$17,IF(AND(A70&gt;=Inputs!$F$17,A70&lt;=Inputs!$G$17),Inputs!$I$17,0))</f>
        <v>0.0</v>
      </c>
      <c r="I70" s="3">
        <f>IF(A70=0,Inputs!$E$18,IF(AND(A70&gt;=Inputs!$F$18,A70&lt;=Inputs!$G$18),Inputs!$I$18,0))</f>
        <v>0.0</v>
      </c>
      <c r="J70" s="3">
        <f>IF(A70=0,Inputs!$E$19,IF(AND(A70&gt;=Inputs!$F$19,A70&lt;=Inputs!$G$19),Inputs!$I$19,0))</f>
        <v>0.0</v>
      </c>
      <c r="K70" s="3">
        <f>IF(A70=0,Inputs!$E$20,IF(AND(A70&gt;=Inputs!$F$20,A70&lt;=Inputs!$G$20),Inputs!$I$20,0))</f>
        <v>0.0</v>
      </c>
      <c r="L70" s="3">
        <f>IF(A70&lt;Inputs!$B$9,0,IF(A70&lt;=12,Inputs!$B$8,Inputs!$B$6*(1-Inputs!$B$7)^(INT((A70-13)/12)+1)/12))</f>
        <v>1774821.2499999998</v>
      </c>
      <c r="M70" s="3">
        <f>IF(A70=0,Inputs!$E$22,IF(AND(A70&gt;=Inputs!$F$22,A70&lt;=Inputs!$G$22),Inputs!$I$22,0))</f>
        <v>0.0</v>
      </c>
      <c r="N70" s="3">
        <f>IF(A70=0,Inputs!$E$23,IF(AND(A70&gt;=Inputs!$F$23,A70&lt;=Inputs!$G$23),Inputs!$I$23,0))</f>
        <v>0.0</v>
      </c>
      <c r="O70" s="3">
        <f>IF(A70=0,Inputs!$E$24,IF(AND(A70&gt;=Inputs!$F$24,A70&lt;=Inputs!$G$24),Inputs!$I$24,0))</f>
        <v>0.0</v>
      </c>
      <c r="P70" s="3">
        <f>IF(A70=0,Inputs!$E$25,IF(AND(A70&gt;=Inputs!$F$25,A70&lt;=Inputs!$G$25),Inputs!$I$25,0))</f>
        <v>0.0</v>
      </c>
      <c r="Q70" s="3">
        <f>IF(A70=0,Inputs!$E$26,IF(AND(A70&gt;=Inputs!$F$26,A70&lt;=Inputs!$G$26),Inputs!$I$26,0))</f>
        <v>0.0</v>
      </c>
      <c r="R70" s="3">
        <f>IF(A70=0,Inputs!$E$27,IF(AND(A70&gt;=Inputs!$F$27,A70&lt;=Inputs!$G$27),Inputs!$I$27,0))</f>
        <v>0.0</v>
      </c>
      <c r="S70" s="3">
        <f>SUM(C70:R70)</f>
        <v>1774821.2499999998</v>
      </c>
      <c r="T70" s="3">
        <f>T69+S70</f>
        <v>744888406.2500007</v>
      </c>
      <c r="U70" s="9">
        <f>T70/Inputs!$B$4</f>
        <v>0.7448884063</v>
      </c>
    </row>
    <row r="71">
      <c r="A71" t="n">
        <v>66</v>
      </c>
      <c r="B71" s="4">
        <f>EDATE(Inputs!$B$5,A71)</f>
        <v>48653.0</v>
      </c>
      <c r="C71" s="3">
        <f>IF(A71=0,Inputs!$E$12,IF(AND(A71&gt;=Inputs!$F$12,A71&lt;=Inputs!$G$12),Inputs!$I$12,0))</f>
        <v>0.0</v>
      </c>
      <c r="D71" s="3">
        <f>IF(A71=0,Inputs!$E$13,IF(AND(A71&gt;=Inputs!$F$13,A71&lt;=Inputs!$G$13),Inputs!$I$13,0))</f>
        <v>0.0</v>
      </c>
      <c r="E71" s="3">
        <f>IF(A71=0,Inputs!$E$14,IF(AND(A71&gt;=Inputs!$F$14,A71&lt;=Inputs!$G$14),Inputs!$I$14,0))</f>
        <v>0.0</v>
      </c>
      <c r="F71" s="3">
        <f>IF(A71=0,Inputs!$E$15,IF(AND(A71&gt;=Inputs!$F$15,A71&lt;=Inputs!$G$15),Inputs!$I$15,0))</f>
        <v>0.0</v>
      </c>
      <c r="G71" s="3">
        <f>IF(A71=0,Inputs!$E$16,IF(AND(A71&gt;=Inputs!$F$16,A71&lt;=Inputs!$G$16),Inputs!$I$16,0))</f>
        <v>0.0</v>
      </c>
      <c r="H71" s="3">
        <f>IF(A71=0,Inputs!$E$17,IF(AND(A71&gt;=Inputs!$F$17,A71&lt;=Inputs!$G$17),Inputs!$I$17,0))</f>
        <v>0.0</v>
      </c>
      <c r="I71" s="3">
        <f>IF(A71=0,Inputs!$E$18,IF(AND(A71&gt;=Inputs!$F$18,A71&lt;=Inputs!$G$18),Inputs!$I$18,0))</f>
        <v>0.0</v>
      </c>
      <c r="J71" s="3">
        <f>IF(A71=0,Inputs!$E$19,IF(AND(A71&gt;=Inputs!$F$19,A71&lt;=Inputs!$G$19),Inputs!$I$19,0))</f>
        <v>0.0</v>
      </c>
      <c r="K71" s="3">
        <f>IF(A71=0,Inputs!$E$20,IF(AND(A71&gt;=Inputs!$F$20,A71&lt;=Inputs!$G$20),Inputs!$I$20,0))</f>
        <v>0.0</v>
      </c>
      <c r="L71" s="3">
        <f>IF(A71&lt;Inputs!$B$9,0,IF(A71&lt;=12,Inputs!$B$8,Inputs!$B$6*(1-Inputs!$B$7)^(INT((A71-13)/12)+1)/12))</f>
        <v>1774821.2499999998</v>
      </c>
      <c r="M71" s="3">
        <f>IF(A71=0,Inputs!$E$22,IF(AND(A71&gt;=Inputs!$F$22,A71&lt;=Inputs!$G$22),Inputs!$I$22,0))</f>
        <v>0.0</v>
      </c>
      <c r="N71" s="3">
        <f>IF(A71=0,Inputs!$E$23,IF(AND(A71&gt;=Inputs!$F$23,A71&lt;=Inputs!$G$23),Inputs!$I$23,0))</f>
        <v>0.0</v>
      </c>
      <c r="O71" s="3">
        <f>IF(A71=0,Inputs!$E$24,IF(AND(A71&gt;=Inputs!$F$24,A71&lt;=Inputs!$G$24),Inputs!$I$24,0))</f>
        <v>0.0</v>
      </c>
      <c r="P71" s="3">
        <f>IF(A71=0,Inputs!$E$25,IF(AND(A71&gt;=Inputs!$F$25,A71&lt;=Inputs!$G$25),Inputs!$I$25,0))</f>
        <v>0.0</v>
      </c>
      <c r="Q71" s="3">
        <f>IF(A71=0,Inputs!$E$26,IF(AND(A71&gt;=Inputs!$F$26,A71&lt;=Inputs!$G$26),Inputs!$I$26,0))</f>
        <v>0.0</v>
      </c>
      <c r="R71" s="3">
        <f>IF(A71=0,Inputs!$E$27,IF(AND(A71&gt;=Inputs!$F$27,A71&lt;=Inputs!$G$27),Inputs!$I$27,0))</f>
        <v>0.0</v>
      </c>
      <c r="S71" s="3">
        <f>SUM(C71:R71)</f>
        <v>1774821.2499999998</v>
      </c>
      <c r="T71" s="3">
        <f>T70+S71</f>
        <v>746663227.5000007</v>
      </c>
      <c r="U71" s="9">
        <f>T71/Inputs!$B$4</f>
        <v>0.7466632275</v>
      </c>
    </row>
    <row r="72">
      <c r="A72" t="n">
        <v>67</v>
      </c>
      <c r="B72" s="4">
        <f>EDATE(Inputs!$B$5,A72)</f>
        <v>48684.0</v>
      </c>
      <c r="C72" s="3">
        <f>IF(A72=0,Inputs!$E$12,IF(AND(A72&gt;=Inputs!$F$12,A72&lt;=Inputs!$G$12),Inputs!$I$12,0))</f>
        <v>0.0</v>
      </c>
      <c r="D72" s="3">
        <f>IF(A72=0,Inputs!$E$13,IF(AND(A72&gt;=Inputs!$F$13,A72&lt;=Inputs!$G$13),Inputs!$I$13,0))</f>
        <v>0.0</v>
      </c>
      <c r="E72" s="3">
        <f>IF(A72=0,Inputs!$E$14,IF(AND(A72&gt;=Inputs!$F$14,A72&lt;=Inputs!$G$14),Inputs!$I$14,0))</f>
        <v>0.0</v>
      </c>
      <c r="F72" s="3">
        <f>IF(A72=0,Inputs!$E$15,IF(AND(A72&gt;=Inputs!$F$15,A72&lt;=Inputs!$G$15),Inputs!$I$15,0))</f>
        <v>0.0</v>
      </c>
      <c r="G72" s="3">
        <f>IF(A72=0,Inputs!$E$16,IF(AND(A72&gt;=Inputs!$F$16,A72&lt;=Inputs!$G$16),Inputs!$I$16,0))</f>
        <v>0.0</v>
      </c>
      <c r="H72" s="3">
        <f>IF(A72=0,Inputs!$E$17,IF(AND(A72&gt;=Inputs!$F$17,A72&lt;=Inputs!$G$17),Inputs!$I$17,0))</f>
        <v>0.0</v>
      </c>
      <c r="I72" s="3">
        <f>IF(A72=0,Inputs!$E$18,IF(AND(A72&gt;=Inputs!$F$18,A72&lt;=Inputs!$G$18),Inputs!$I$18,0))</f>
        <v>0.0</v>
      </c>
      <c r="J72" s="3">
        <f>IF(A72=0,Inputs!$E$19,IF(AND(A72&gt;=Inputs!$F$19,A72&lt;=Inputs!$G$19),Inputs!$I$19,0))</f>
        <v>0.0</v>
      </c>
      <c r="K72" s="3">
        <f>IF(A72=0,Inputs!$E$20,IF(AND(A72&gt;=Inputs!$F$20,A72&lt;=Inputs!$G$20),Inputs!$I$20,0))</f>
        <v>0.0</v>
      </c>
      <c r="L72" s="3">
        <f>IF(A72&lt;Inputs!$B$9,0,IF(A72&lt;=12,Inputs!$B$8,Inputs!$B$6*(1-Inputs!$B$7)^(INT((A72-13)/12)+1)/12))</f>
        <v>1774821.2499999998</v>
      </c>
      <c r="M72" s="3">
        <f>IF(A72=0,Inputs!$E$22,IF(AND(A72&gt;=Inputs!$F$22,A72&lt;=Inputs!$G$22),Inputs!$I$22,0))</f>
        <v>0.0</v>
      </c>
      <c r="N72" s="3">
        <f>IF(A72=0,Inputs!$E$23,IF(AND(A72&gt;=Inputs!$F$23,A72&lt;=Inputs!$G$23),Inputs!$I$23,0))</f>
        <v>0.0</v>
      </c>
      <c r="O72" s="3">
        <f>IF(A72=0,Inputs!$E$24,IF(AND(A72&gt;=Inputs!$F$24,A72&lt;=Inputs!$G$24),Inputs!$I$24,0))</f>
        <v>0.0</v>
      </c>
      <c r="P72" s="3">
        <f>IF(A72=0,Inputs!$E$25,IF(AND(A72&gt;=Inputs!$F$25,A72&lt;=Inputs!$G$25),Inputs!$I$25,0))</f>
        <v>0.0</v>
      </c>
      <c r="Q72" s="3">
        <f>IF(A72=0,Inputs!$E$26,IF(AND(A72&gt;=Inputs!$F$26,A72&lt;=Inputs!$G$26),Inputs!$I$26,0))</f>
        <v>0.0</v>
      </c>
      <c r="R72" s="3">
        <f>IF(A72=0,Inputs!$E$27,IF(AND(A72&gt;=Inputs!$F$27,A72&lt;=Inputs!$G$27),Inputs!$I$27,0))</f>
        <v>0.0</v>
      </c>
      <c r="S72" s="3">
        <f>SUM(C72:R72)</f>
        <v>1774821.2499999998</v>
      </c>
      <c r="T72" s="3">
        <f>T71+S72</f>
        <v>748438048.7500007</v>
      </c>
      <c r="U72" s="9">
        <f>T72/Inputs!$B$4</f>
        <v>0.7484380488</v>
      </c>
    </row>
    <row r="73">
      <c r="A73" t="n">
        <v>68</v>
      </c>
      <c r="B73" s="4">
        <f>EDATE(Inputs!$B$5,A73)</f>
        <v>48714.0</v>
      </c>
      <c r="C73" s="3">
        <f>IF(A73=0,Inputs!$E$12,IF(AND(A73&gt;=Inputs!$F$12,A73&lt;=Inputs!$G$12),Inputs!$I$12,0))</f>
        <v>0.0</v>
      </c>
      <c r="D73" s="3">
        <f>IF(A73=0,Inputs!$E$13,IF(AND(A73&gt;=Inputs!$F$13,A73&lt;=Inputs!$G$13),Inputs!$I$13,0))</f>
        <v>0.0</v>
      </c>
      <c r="E73" s="3">
        <f>IF(A73=0,Inputs!$E$14,IF(AND(A73&gt;=Inputs!$F$14,A73&lt;=Inputs!$G$14),Inputs!$I$14,0))</f>
        <v>0.0</v>
      </c>
      <c r="F73" s="3">
        <f>IF(A73=0,Inputs!$E$15,IF(AND(A73&gt;=Inputs!$F$15,A73&lt;=Inputs!$G$15),Inputs!$I$15,0))</f>
        <v>0.0</v>
      </c>
      <c r="G73" s="3">
        <f>IF(A73=0,Inputs!$E$16,IF(AND(A73&gt;=Inputs!$F$16,A73&lt;=Inputs!$G$16),Inputs!$I$16,0))</f>
        <v>0.0</v>
      </c>
      <c r="H73" s="3">
        <f>IF(A73=0,Inputs!$E$17,IF(AND(A73&gt;=Inputs!$F$17,A73&lt;=Inputs!$G$17),Inputs!$I$17,0))</f>
        <v>0.0</v>
      </c>
      <c r="I73" s="3">
        <f>IF(A73=0,Inputs!$E$18,IF(AND(A73&gt;=Inputs!$F$18,A73&lt;=Inputs!$G$18),Inputs!$I$18,0))</f>
        <v>0.0</v>
      </c>
      <c r="J73" s="3">
        <f>IF(A73=0,Inputs!$E$19,IF(AND(A73&gt;=Inputs!$F$19,A73&lt;=Inputs!$G$19),Inputs!$I$19,0))</f>
        <v>0.0</v>
      </c>
      <c r="K73" s="3">
        <f>IF(A73=0,Inputs!$E$20,IF(AND(A73&gt;=Inputs!$F$20,A73&lt;=Inputs!$G$20),Inputs!$I$20,0))</f>
        <v>0.0</v>
      </c>
      <c r="L73" s="3">
        <f>IF(A73&lt;Inputs!$B$9,0,IF(A73&lt;=12,Inputs!$B$8,Inputs!$B$6*(1-Inputs!$B$7)^(INT((A73-13)/12)+1)/12))</f>
        <v>1774821.2499999998</v>
      </c>
      <c r="M73" s="3">
        <f>IF(A73=0,Inputs!$E$22,IF(AND(A73&gt;=Inputs!$F$22,A73&lt;=Inputs!$G$22),Inputs!$I$22,0))</f>
        <v>0.0</v>
      </c>
      <c r="N73" s="3">
        <f>IF(A73=0,Inputs!$E$23,IF(AND(A73&gt;=Inputs!$F$23,A73&lt;=Inputs!$G$23),Inputs!$I$23,0))</f>
        <v>0.0</v>
      </c>
      <c r="O73" s="3">
        <f>IF(A73=0,Inputs!$E$24,IF(AND(A73&gt;=Inputs!$F$24,A73&lt;=Inputs!$G$24),Inputs!$I$24,0))</f>
        <v>0.0</v>
      </c>
      <c r="P73" s="3">
        <f>IF(A73=0,Inputs!$E$25,IF(AND(A73&gt;=Inputs!$F$25,A73&lt;=Inputs!$G$25),Inputs!$I$25,0))</f>
        <v>0.0</v>
      </c>
      <c r="Q73" s="3">
        <f>IF(A73=0,Inputs!$E$26,IF(AND(A73&gt;=Inputs!$F$26,A73&lt;=Inputs!$G$26),Inputs!$I$26,0))</f>
        <v>0.0</v>
      </c>
      <c r="R73" s="3">
        <f>IF(A73=0,Inputs!$E$27,IF(AND(A73&gt;=Inputs!$F$27,A73&lt;=Inputs!$G$27),Inputs!$I$27,0))</f>
        <v>0.0</v>
      </c>
      <c r="S73" s="3">
        <f>SUM(C73:R73)</f>
        <v>1774821.2499999998</v>
      </c>
      <c r="T73" s="3">
        <f>T72+S73</f>
        <v>750212870.0000007</v>
      </c>
      <c r="U73" s="9">
        <f>T73/Inputs!$B$4</f>
        <v>0.75021287</v>
      </c>
    </row>
    <row r="74">
      <c r="A74" t="n">
        <v>69</v>
      </c>
      <c r="B74" s="4">
        <f>EDATE(Inputs!$B$5,A74)</f>
        <v>48745.0</v>
      </c>
      <c r="C74" s="3">
        <f>IF(A74=0,Inputs!$E$12,IF(AND(A74&gt;=Inputs!$F$12,A74&lt;=Inputs!$G$12),Inputs!$I$12,0))</f>
        <v>0.0</v>
      </c>
      <c r="D74" s="3">
        <f>IF(A74=0,Inputs!$E$13,IF(AND(A74&gt;=Inputs!$F$13,A74&lt;=Inputs!$G$13),Inputs!$I$13,0))</f>
        <v>0.0</v>
      </c>
      <c r="E74" s="3">
        <f>IF(A74=0,Inputs!$E$14,IF(AND(A74&gt;=Inputs!$F$14,A74&lt;=Inputs!$G$14),Inputs!$I$14,0))</f>
        <v>0.0</v>
      </c>
      <c r="F74" s="3">
        <f>IF(A74=0,Inputs!$E$15,IF(AND(A74&gt;=Inputs!$F$15,A74&lt;=Inputs!$G$15),Inputs!$I$15,0))</f>
        <v>0.0</v>
      </c>
      <c r="G74" s="3">
        <f>IF(A74=0,Inputs!$E$16,IF(AND(A74&gt;=Inputs!$F$16,A74&lt;=Inputs!$G$16),Inputs!$I$16,0))</f>
        <v>0.0</v>
      </c>
      <c r="H74" s="3">
        <f>IF(A74=0,Inputs!$E$17,IF(AND(A74&gt;=Inputs!$F$17,A74&lt;=Inputs!$G$17),Inputs!$I$17,0))</f>
        <v>0.0</v>
      </c>
      <c r="I74" s="3">
        <f>IF(A74=0,Inputs!$E$18,IF(AND(A74&gt;=Inputs!$F$18,A74&lt;=Inputs!$G$18),Inputs!$I$18,0))</f>
        <v>0.0</v>
      </c>
      <c r="J74" s="3">
        <f>IF(A74=0,Inputs!$E$19,IF(AND(A74&gt;=Inputs!$F$19,A74&lt;=Inputs!$G$19),Inputs!$I$19,0))</f>
        <v>0.0</v>
      </c>
      <c r="K74" s="3">
        <f>IF(A74=0,Inputs!$E$20,IF(AND(A74&gt;=Inputs!$F$20,A74&lt;=Inputs!$G$20),Inputs!$I$20,0))</f>
        <v>0.0</v>
      </c>
      <c r="L74" s="3">
        <f>IF(A74&lt;Inputs!$B$9,0,IF(A74&lt;=12,Inputs!$B$8,Inputs!$B$6*(1-Inputs!$B$7)^(INT((A74-13)/12)+1)/12))</f>
        <v>1774821.2499999998</v>
      </c>
      <c r="M74" s="3">
        <f>IF(A74=0,Inputs!$E$22,IF(AND(A74&gt;=Inputs!$F$22,A74&lt;=Inputs!$G$22),Inputs!$I$22,0))</f>
        <v>0.0</v>
      </c>
      <c r="N74" s="3">
        <f>IF(A74=0,Inputs!$E$23,IF(AND(A74&gt;=Inputs!$F$23,A74&lt;=Inputs!$G$23),Inputs!$I$23,0))</f>
        <v>0.0</v>
      </c>
      <c r="O74" s="3">
        <f>IF(A74=0,Inputs!$E$24,IF(AND(A74&gt;=Inputs!$F$24,A74&lt;=Inputs!$G$24),Inputs!$I$24,0))</f>
        <v>0.0</v>
      </c>
      <c r="P74" s="3">
        <f>IF(A74=0,Inputs!$E$25,IF(AND(A74&gt;=Inputs!$F$25,A74&lt;=Inputs!$G$25),Inputs!$I$25,0))</f>
        <v>0.0</v>
      </c>
      <c r="Q74" s="3">
        <f>IF(A74=0,Inputs!$E$26,IF(AND(A74&gt;=Inputs!$F$26,A74&lt;=Inputs!$G$26),Inputs!$I$26,0))</f>
        <v>0.0</v>
      </c>
      <c r="R74" s="3">
        <f>IF(A74=0,Inputs!$E$27,IF(AND(A74&gt;=Inputs!$F$27,A74&lt;=Inputs!$G$27),Inputs!$I$27,0))</f>
        <v>0.0</v>
      </c>
      <c r="S74" s="3">
        <f>SUM(C74:R74)</f>
        <v>1774821.2499999998</v>
      </c>
      <c r="T74" s="3">
        <f>T73+S74</f>
        <v>751987691.2500007</v>
      </c>
      <c r="U74" s="9">
        <f>T74/Inputs!$B$4</f>
        <v>0.7519876913</v>
      </c>
    </row>
    <row r="75">
      <c r="A75" t="n">
        <v>70</v>
      </c>
      <c r="B75" s="4">
        <f>EDATE(Inputs!$B$5,A75)</f>
        <v>48775.0</v>
      </c>
      <c r="C75" s="3">
        <f>IF(A75=0,Inputs!$E$12,IF(AND(A75&gt;=Inputs!$F$12,A75&lt;=Inputs!$G$12),Inputs!$I$12,0))</f>
        <v>0.0</v>
      </c>
      <c r="D75" s="3">
        <f>IF(A75=0,Inputs!$E$13,IF(AND(A75&gt;=Inputs!$F$13,A75&lt;=Inputs!$G$13),Inputs!$I$13,0))</f>
        <v>0.0</v>
      </c>
      <c r="E75" s="3">
        <f>IF(A75=0,Inputs!$E$14,IF(AND(A75&gt;=Inputs!$F$14,A75&lt;=Inputs!$G$14),Inputs!$I$14,0))</f>
        <v>0.0</v>
      </c>
      <c r="F75" s="3">
        <f>IF(A75=0,Inputs!$E$15,IF(AND(A75&gt;=Inputs!$F$15,A75&lt;=Inputs!$G$15),Inputs!$I$15,0))</f>
        <v>0.0</v>
      </c>
      <c r="G75" s="3">
        <f>IF(A75=0,Inputs!$E$16,IF(AND(A75&gt;=Inputs!$F$16,A75&lt;=Inputs!$G$16),Inputs!$I$16,0))</f>
        <v>0.0</v>
      </c>
      <c r="H75" s="3">
        <f>IF(A75=0,Inputs!$E$17,IF(AND(A75&gt;=Inputs!$F$17,A75&lt;=Inputs!$G$17),Inputs!$I$17,0))</f>
        <v>0.0</v>
      </c>
      <c r="I75" s="3">
        <f>IF(A75=0,Inputs!$E$18,IF(AND(A75&gt;=Inputs!$F$18,A75&lt;=Inputs!$G$18),Inputs!$I$18,0))</f>
        <v>0.0</v>
      </c>
      <c r="J75" s="3">
        <f>IF(A75=0,Inputs!$E$19,IF(AND(A75&gt;=Inputs!$F$19,A75&lt;=Inputs!$G$19),Inputs!$I$19,0))</f>
        <v>0.0</v>
      </c>
      <c r="K75" s="3">
        <f>IF(A75=0,Inputs!$E$20,IF(AND(A75&gt;=Inputs!$F$20,A75&lt;=Inputs!$G$20),Inputs!$I$20,0))</f>
        <v>0.0</v>
      </c>
      <c r="L75" s="3">
        <f>IF(A75&lt;Inputs!$B$9,0,IF(A75&lt;=12,Inputs!$B$8,Inputs!$B$6*(1-Inputs!$B$7)^(INT((A75-13)/12)+1)/12))</f>
        <v>1774821.2499999998</v>
      </c>
      <c r="M75" s="3">
        <f>IF(A75=0,Inputs!$E$22,IF(AND(A75&gt;=Inputs!$F$22,A75&lt;=Inputs!$G$22),Inputs!$I$22,0))</f>
        <v>0.0</v>
      </c>
      <c r="N75" s="3">
        <f>IF(A75=0,Inputs!$E$23,IF(AND(A75&gt;=Inputs!$F$23,A75&lt;=Inputs!$G$23),Inputs!$I$23,0))</f>
        <v>0.0</v>
      </c>
      <c r="O75" s="3">
        <f>IF(A75=0,Inputs!$E$24,IF(AND(A75&gt;=Inputs!$F$24,A75&lt;=Inputs!$G$24),Inputs!$I$24,0))</f>
        <v>0.0</v>
      </c>
      <c r="P75" s="3">
        <f>IF(A75=0,Inputs!$E$25,IF(AND(A75&gt;=Inputs!$F$25,A75&lt;=Inputs!$G$25),Inputs!$I$25,0))</f>
        <v>0.0</v>
      </c>
      <c r="Q75" s="3">
        <f>IF(A75=0,Inputs!$E$26,IF(AND(A75&gt;=Inputs!$F$26,A75&lt;=Inputs!$G$26),Inputs!$I$26,0))</f>
        <v>0.0</v>
      </c>
      <c r="R75" s="3">
        <f>IF(A75=0,Inputs!$E$27,IF(AND(A75&gt;=Inputs!$F$27,A75&lt;=Inputs!$G$27),Inputs!$I$27,0))</f>
        <v>0.0</v>
      </c>
      <c r="S75" s="3">
        <f>SUM(C75:R75)</f>
        <v>1774821.2499999998</v>
      </c>
      <c r="T75" s="3">
        <f>T74+S75</f>
        <v>753762512.5000007</v>
      </c>
      <c r="U75" s="9">
        <f>T75/Inputs!$B$4</f>
        <v>0.7537625125</v>
      </c>
    </row>
    <row r="76">
      <c r="A76" t="n">
        <v>71</v>
      </c>
      <c r="B76" s="4">
        <f>EDATE(Inputs!$B$5,A76)</f>
        <v>48806.0</v>
      </c>
      <c r="C76" s="3">
        <f>IF(A76=0,Inputs!$E$12,IF(AND(A76&gt;=Inputs!$F$12,A76&lt;=Inputs!$G$12),Inputs!$I$12,0))</f>
        <v>0.0</v>
      </c>
      <c r="D76" s="3">
        <f>IF(A76=0,Inputs!$E$13,IF(AND(A76&gt;=Inputs!$F$13,A76&lt;=Inputs!$G$13),Inputs!$I$13,0))</f>
        <v>0.0</v>
      </c>
      <c r="E76" s="3">
        <f>IF(A76=0,Inputs!$E$14,IF(AND(A76&gt;=Inputs!$F$14,A76&lt;=Inputs!$G$14),Inputs!$I$14,0))</f>
        <v>0.0</v>
      </c>
      <c r="F76" s="3">
        <f>IF(A76=0,Inputs!$E$15,IF(AND(A76&gt;=Inputs!$F$15,A76&lt;=Inputs!$G$15),Inputs!$I$15,0))</f>
        <v>0.0</v>
      </c>
      <c r="G76" s="3">
        <f>IF(A76=0,Inputs!$E$16,IF(AND(A76&gt;=Inputs!$F$16,A76&lt;=Inputs!$G$16),Inputs!$I$16,0))</f>
        <v>0.0</v>
      </c>
      <c r="H76" s="3">
        <f>IF(A76=0,Inputs!$E$17,IF(AND(A76&gt;=Inputs!$F$17,A76&lt;=Inputs!$G$17),Inputs!$I$17,0))</f>
        <v>0.0</v>
      </c>
      <c r="I76" s="3">
        <f>IF(A76=0,Inputs!$E$18,IF(AND(A76&gt;=Inputs!$F$18,A76&lt;=Inputs!$G$18),Inputs!$I$18,0))</f>
        <v>0.0</v>
      </c>
      <c r="J76" s="3">
        <f>IF(A76=0,Inputs!$E$19,IF(AND(A76&gt;=Inputs!$F$19,A76&lt;=Inputs!$G$19),Inputs!$I$19,0))</f>
        <v>0.0</v>
      </c>
      <c r="K76" s="3">
        <f>IF(A76=0,Inputs!$E$20,IF(AND(A76&gt;=Inputs!$F$20,A76&lt;=Inputs!$G$20),Inputs!$I$20,0))</f>
        <v>0.0</v>
      </c>
      <c r="L76" s="3">
        <f>IF(A76&lt;Inputs!$B$9,0,IF(A76&lt;=12,Inputs!$B$8,Inputs!$B$6*(1-Inputs!$B$7)^(INT((A76-13)/12)+1)/12))</f>
        <v>1774821.2499999998</v>
      </c>
      <c r="M76" s="3">
        <f>IF(A76=0,Inputs!$E$22,IF(AND(A76&gt;=Inputs!$F$22,A76&lt;=Inputs!$G$22),Inputs!$I$22,0))</f>
        <v>0.0</v>
      </c>
      <c r="N76" s="3">
        <f>IF(A76=0,Inputs!$E$23,IF(AND(A76&gt;=Inputs!$F$23,A76&lt;=Inputs!$G$23),Inputs!$I$23,0))</f>
        <v>0.0</v>
      </c>
      <c r="O76" s="3">
        <f>IF(A76=0,Inputs!$E$24,IF(AND(A76&gt;=Inputs!$F$24,A76&lt;=Inputs!$G$24),Inputs!$I$24,0))</f>
        <v>0.0</v>
      </c>
      <c r="P76" s="3">
        <f>IF(A76=0,Inputs!$E$25,IF(AND(A76&gt;=Inputs!$F$25,A76&lt;=Inputs!$G$25),Inputs!$I$25,0))</f>
        <v>0.0</v>
      </c>
      <c r="Q76" s="3">
        <f>IF(A76=0,Inputs!$E$26,IF(AND(A76&gt;=Inputs!$F$26,A76&lt;=Inputs!$G$26),Inputs!$I$26,0))</f>
        <v>0.0</v>
      </c>
      <c r="R76" s="3">
        <f>IF(A76=0,Inputs!$E$27,IF(AND(A76&gt;=Inputs!$F$27,A76&lt;=Inputs!$G$27),Inputs!$I$27,0))</f>
        <v>0.0</v>
      </c>
      <c r="S76" s="3">
        <f>SUM(C76:R76)</f>
        <v>1774821.2499999998</v>
      </c>
      <c r="T76" s="3">
        <f>T75+S76</f>
        <v>755537333.7500007</v>
      </c>
      <c r="U76" s="9">
        <f>T76/Inputs!$B$4</f>
        <v>0.7555373338</v>
      </c>
    </row>
    <row r="77">
      <c r="A77" t="n">
        <v>72</v>
      </c>
      <c r="B77" s="4">
        <f>EDATE(Inputs!$B$5,A77)</f>
        <v>48837.0</v>
      </c>
      <c r="C77" s="3">
        <f>IF(A77=0,Inputs!$E$12,IF(AND(A77&gt;=Inputs!$F$12,A77&lt;=Inputs!$G$12),Inputs!$I$12,0))</f>
        <v>0.0</v>
      </c>
      <c r="D77" s="3">
        <f>IF(A77=0,Inputs!$E$13,IF(AND(A77&gt;=Inputs!$F$13,A77&lt;=Inputs!$G$13),Inputs!$I$13,0))</f>
        <v>0.0</v>
      </c>
      <c r="E77" s="3">
        <f>IF(A77=0,Inputs!$E$14,IF(AND(A77&gt;=Inputs!$F$14,A77&lt;=Inputs!$G$14),Inputs!$I$14,0))</f>
        <v>0.0</v>
      </c>
      <c r="F77" s="3">
        <f>IF(A77=0,Inputs!$E$15,IF(AND(A77&gt;=Inputs!$F$15,A77&lt;=Inputs!$G$15),Inputs!$I$15,0))</f>
        <v>0.0</v>
      </c>
      <c r="G77" s="3">
        <f>IF(A77=0,Inputs!$E$16,IF(AND(A77&gt;=Inputs!$F$16,A77&lt;=Inputs!$G$16),Inputs!$I$16,0))</f>
        <v>0.0</v>
      </c>
      <c r="H77" s="3">
        <f>IF(A77=0,Inputs!$E$17,IF(AND(A77&gt;=Inputs!$F$17,A77&lt;=Inputs!$G$17),Inputs!$I$17,0))</f>
        <v>0.0</v>
      </c>
      <c r="I77" s="3">
        <f>IF(A77=0,Inputs!$E$18,IF(AND(A77&gt;=Inputs!$F$18,A77&lt;=Inputs!$G$18),Inputs!$I$18,0))</f>
        <v>0.0</v>
      </c>
      <c r="J77" s="3">
        <f>IF(A77=0,Inputs!$E$19,IF(AND(A77&gt;=Inputs!$F$19,A77&lt;=Inputs!$G$19),Inputs!$I$19,0))</f>
        <v>0.0</v>
      </c>
      <c r="K77" s="3">
        <f>IF(A77=0,Inputs!$E$20,IF(AND(A77&gt;=Inputs!$F$20,A77&lt;=Inputs!$G$20),Inputs!$I$20,0))</f>
        <v>0.0</v>
      </c>
      <c r="L77" s="3">
        <f>IF(A77&lt;Inputs!$B$9,0,IF(A77&lt;=12,Inputs!$B$8,Inputs!$B$6*(1-Inputs!$B$7)^(INT((A77-13)/12)+1)/12))</f>
        <v>1774821.2499999998</v>
      </c>
      <c r="M77" s="3">
        <f>IF(A77=0,Inputs!$E$22,IF(AND(A77&gt;=Inputs!$F$22,A77&lt;=Inputs!$G$22),Inputs!$I$22,0))</f>
        <v>0.0</v>
      </c>
      <c r="N77" s="3">
        <f>IF(A77=0,Inputs!$E$23,IF(AND(A77&gt;=Inputs!$F$23,A77&lt;=Inputs!$G$23),Inputs!$I$23,0))</f>
        <v>0.0</v>
      </c>
      <c r="O77" s="3">
        <f>IF(A77=0,Inputs!$E$24,IF(AND(A77&gt;=Inputs!$F$24,A77&lt;=Inputs!$G$24),Inputs!$I$24,0))</f>
        <v>0.0</v>
      </c>
      <c r="P77" s="3">
        <f>IF(A77=0,Inputs!$E$25,IF(AND(A77&gt;=Inputs!$F$25,A77&lt;=Inputs!$G$25),Inputs!$I$25,0))</f>
        <v>0.0</v>
      </c>
      <c r="Q77" s="3">
        <f>IF(A77=0,Inputs!$E$26,IF(AND(A77&gt;=Inputs!$F$26,A77&lt;=Inputs!$G$26),Inputs!$I$26,0))</f>
        <v>0.0</v>
      </c>
      <c r="R77" s="3">
        <f>IF(A77=0,Inputs!$E$27,IF(AND(A77&gt;=Inputs!$F$27,A77&lt;=Inputs!$G$27),Inputs!$I$27,0))</f>
        <v>0.0</v>
      </c>
      <c r="S77" s="3">
        <f>SUM(C77:R77)</f>
        <v>1774821.2499999998</v>
      </c>
      <c r="T77" s="3">
        <f>T76+S77</f>
        <v>757312155.0000007</v>
      </c>
      <c r="U77" s="9">
        <f>T77/Inputs!$B$4</f>
        <v>0.757312155</v>
      </c>
    </row>
    <row r="78">
      <c r="A78" t="n">
        <v>73</v>
      </c>
      <c r="B78" s="4">
        <f>EDATE(Inputs!$B$5,A78)</f>
        <v>48867.0</v>
      </c>
      <c r="C78" s="3">
        <f>IF(A78=0,Inputs!$E$12,IF(AND(A78&gt;=Inputs!$F$12,A78&lt;=Inputs!$G$12),Inputs!$I$12,0))</f>
        <v>0.0</v>
      </c>
      <c r="D78" s="3">
        <f>IF(A78=0,Inputs!$E$13,IF(AND(A78&gt;=Inputs!$F$13,A78&lt;=Inputs!$G$13),Inputs!$I$13,0))</f>
        <v>0.0</v>
      </c>
      <c r="E78" s="3">
        <f>IF(A78=0,Inputs!$E$14,IF(AND(A78&gt;=Inputs!$F$14,A78&lt;=Inputs!$G$14),Inputs!$I$14,0))</f>
        <v>0.0</v>
      </c>
      <c r="F78" s="3">
        <f>IF(A78=0,Inputs!$E$15,IF(AND(A78&gt;=Inputs!$F$15,A78&lt;=Inputs!$G$15),Inputs!$I$15,0))</f>
        <v>0.0</v>
      </c>
      <c r="G78" s="3">
        <f>IF(A78=0,Inputs!$E$16,IF(AND(A78&gt;=Inputs!$F$16,A78&lt;=Inputs!$G$16),Inputs!$I$16,0))</f>
        <v>0.0</v>
      </c>
      <c r="H78" s="3">
        <f>IF(A78=0,Inputs!$E$17,IF(AND(A78&gt;=Inputs!$F$17,A78&lt;=Inputs!$G$17),Inputs!$I$17,0))</f>
        <v>0.0</v>
      </c>
      <c r="I78" s="3">
        <f>IF(A78=0,Inputs!$E$18,IF(AND(A78&gt;=Inputs!$F$18,A78&lt;=Inputs!$G$18),Inputs!$I$18,0))</f>
        <v>0.0</v>
      </c>
      <c r="J78" s="3">
        <f>IF(A78=0,Inputs!$E$19,IF(AND(A78&gt;=Inputs!$F$19,A78&lt;=Inputs!$G$19),Inputs!$I$19,0))</f>
        <v>0.0</v>
      </c>
      <c r="K78" s="3">
        <f>IF(A78=0,Inputs!$E$20,IF(AND(A78&gt;=Inputs!$F$20,A78&lt;=Inputs!$G$20),Inputs!$I$20,0))</f>
        <v>0.0</v>
      </c>
      <c r="L78" s="3">
        <f>IF(A78&lt;Inputs!$B$9,0,IF(A78&lt;=12,Inputs!$B$8,Inputs!$B$6*(1-Inputs!$B$7)^(INT((A78-13)/12)+1)/12))</f>
        <v>1508598.0624999998</v>
      </c>
      <c r="M78" s="3">
        <f>IF(A78=0,Inputs!$E$22,IF(AND(A78&gt;=Inputs!$F$22,A78&lt;=Inputs!$G$22),Inputs!$I$22,0))</f>
        <v>0.0</v>
      </c>
      <c r="N78" s="3">
        <f>IF(A78=0,Inputs!$E$23,IF(AND(A78&gt;=Inputs!$F$23,A78&lt;=Inputs!$G$23),Inputs!$I$23,0))</f>
        <v>0.0</v>
      </c>
      <c r="O78" s="3">
        <f>IF(A78=0,Inputs!$E$24,IF(AND(A78&gt;=Inputs!$F$24,A78&lt;=Inputs!$G$24),Inputs!$I$24,0))</f>
        <v>0.0</v>
      </c>
      <c r="P78" s="3">
        <f>IF(A78=0,Inputs!$E$25,IF(AND(A78&gt;=Inputs!$F$25,A78&lt;=Inputs!$G$25),Inputs!$I$25,0))</f>
        <v>0.0</v>
      </c>
      <c r="Q78" s="3">
        <f>IF(A78=0,Inputs!$E$26,IF(AND(A78&gt;=Inputs!$F$26,A78&lt;=Inputs!$G$26),Inputs!$I$26,0))</f>
        <v>0.0</v>
      </c>
      <c r="R78" s="3">
        <f>IF(A78=0,Inputs!$E$27,IF(AND(A78&gt;=Inputs!$F$27,A78&lt;=Inputs!$G$27),Inputs!$I$27,0))</f>
        <v>0.0</v>
      </c>
      <c r="S78" s="3">
        <f>SUM(C78:R78)</f>
        <v>1508598.0624999998</v>
      </c>
      <c r="T78" s="3">
        <f>T77+S78</f>
        <v>758820753.0625007</v>
      </c>
      <c r="U78" s="9">
        <f>T78/Inputs!$B$4</f>
        <v>0.7588207531</v>
      </c>
    </row>
    <row r="79">
      <c r="A79" t="n">
        <v>74</v>
      </c>
      <c r="B79" s="4">
        <f>EDATE(Inputs!$B$5,A79)</f>
        <v>48898.0</v>
      </c>
      <c r="C79" s="3">
        <f>IF(A79=0,Inputs!$E$12,IF(AND(A79&gt;=Inputs!$F$12,A79&lt;=Inputs!$G$12),Inputs!$I$12,0))</f>
        <v>0.0</v>
      </c>
      <c r="D79" s="3">
        <f>IF(A79=0,Inputs!$E$13,IF(AND(A79&gt;=Inputs!$F$13,A79&lt;=Inputs!$G$13),Inputs!$I$13,0))</f>
        <v>0.0</v>
      </c>
      <c r="E79" s="3">
        <f>IF(A79=0,Inputs!$E$14,IF(AND(A79&gt;=Inputs!$F$14,A79&lt;=Inputs!$G$14),Inputs!$I$14,0))</f>
        <v>0.0</v>
      </c>
      <c r="F79" s="3">
        <f>IF(A79=0,Inputs!$E$15,IF(AND(A79&gt;=Inputs!$F$15,A79&lt;=Inputs!$G$15),Inputs!$I$15,0))</f>
        <v>0.0</v>
      </c>
      <c r="G79" s="3">
        <f>IF(A79=0,Inputs!$E$16,IF(AND(A79&gt;=Inputs!$F$16,A79&lt;=Inputs!$G$16),Inputs!$I$16,0))</f>
        <v>0.0</v>
      </c>
      <c r="H79" s="3">
        <f>IF(A79=0,Inputs!$E$17,IF(AND(A79&gt;=Inputs!$F$17,A79&lt;=Inputs!$G$17),Inputs!$I$17,0))</f>
        <v>0.0</v>
      </c>
      <c r="I79" s="3">
        <f>IF(A79=0,Inputs!$E$18,IF(AND(A79&gt;=Inputs!$F$18,A79&lt;=Inputs!$G$18),Inputs!$I$18,0))</f>
        <v>0.0</v>
      </c>
      <c r="J79" s="3">
        <f>IF(A79=0,Inputs!$E$19,IF(AND(A79&gt;=Inputs!$F$19,A79&lt;=Inputs!$G$19),Inputs!$I$19,0))</f>
        <v>0.0</v>
      </c>
      <c r="K79" s="3">
        <f>IF(A79=0,Inputs!$E$20,IF(AND(A79&gt;=Inputs!$F$20,A79&lt;=Inputs!$G$20),Inputs!$I$20,0))</f>
        <v>0.0</v>
      </c>
      <c r="L79" s="3">
        <f>IF(A79&lt;Inputs!$B$9,0,IF(A79&lt;=12,Inputs!$B$8,Inputs!$B$6*(1-Inputs!$B$7)^(INT((A79-13)/12)+1)/12))</f>
        <v>1508598.0624999998</v>
      </c>
      <c r="M79" s="3">
        <f>IF(A79=0,Inputs!$E$22,IF(AND(A79&gt;=Inputs!$F$22,A79&lt;=Inputs!$G$22),Inputs!$I$22,0))</f>
        <v>0.0</v>
      </c>
      <c r="N79" s="3">
        <f>IF(A79=0,Inputs!$E$23,IF(AND(A79&gt;=Inputs!$F$23,A79&lt;=Inputs!$G$23),Inputs!$I$23,0))</f>
        <v>0.0</v>
      </c>
      <c r="O79" s="3">
        <f>IF(A79=0,Inputs!$E$24,IF(AND(A79&gt;=Inputs!$F$24,A79&lt;=Inputs!$G$24),Inputs!$I$24,0))</f>
        <v>0.0</v>
      </c>
      <c r="P79" s="3">
        <f>IF(A79=0,Inputs!$E$25,IF(AND(A79&gt;=Inputs!$F$25,A79&lt;=Inputs!$G$25),Inputs!$I$25,0))</f>
        <v>0.0</v>
      </c>
      <c r="Q79" s="3">
        <f>IF(A79=0,Inputs!$E$26,IF(AND(A79&gt;=Inputs!$F$26,A79&lt;=Inputs!$G$26),Inputs!$I$26,0))</f>
        <v>0.0</v>
      </c>
      <c r="R79" s="3">
        <f>IF(A79=0,Inputs!$E$27,IF(AND(A79&gt;=Inputs!$F$27,A79&lt;=Inputs!$G$27),Inputs!$I$27,0))</f>
        <v>0.0</v>
      </c>
      <c r="S79" s="3">
        <f>SUM(C79:R79)</f>
        <v>1508598.0624999998</v>
      </c>
      <c r="T79" s="3">
        <f>T78+S79</f>
        <v>760329351.1250007</v>
      </c>
      <c r="U79" s="9">
        <f>T79/Inputs!$B$4</f>
        <v>0.7603293511</v>
      </c>
    </row>
    <row r="80">
      <c r="A80" t="n">
        <v>75</v>
      </c>
      <c r="B80" s="4">
        <f>EDATE(Inputs!$B$5,A80)</f>
        <v>48928.0</v>
      </c>
      <c r="C80" s="3">
        <f>IF(A80=0,Inputs!$E$12,IF(AND(A80&gt;=Inputs!$F$12,A80&lt;=Inputs!$G$12),Inputs!$I$12,0))</f>
        <v>0.0</v>
      </c>
      <c r="D80" s="3">
        <f>IF(A80=0,Inputs!$E$13,IF(AND(A80&gt;=Inputs!$F$13,A80&lt;=Inputs!$G$13),Inputs!$I$13,0))</f>
        <v>0.0</v>
      </c>
      <c r="E80" s="3">
        <f>IF(A80=0,Inputs!$E$14,IF(AND(A80&gt;=Inputs!$F$14,A80&lt;=Inputs!$G$14),Inputs!$I$14,0))</f>
        <v>0.0</v>
      </c>
      <c r="F80" s="3">
        <f>IF(A80=0,Inputs!$E$15,IF(AND(A80&gt;=Inputs!$F$15,A80&lt;=Inputs!$G$15),Inputs!$I$15,0))</f>
        <v>0.0</v>
      </c>
      <c r="G80" s="3">
        <f>IF(A80=0,Inputs!$E$16,IF(AND(A80&gt;=Inputs!$F$16,A80&lt;=Inputs!$G$16),Inputs!$I$16,0))</f>
        <v>0.0</v>
      </c>
      <c r="H80" s="3">
        <f>IF(A80=0,Inputs!$E$17,IF(AND(A80&gt;=Inputs!$F$17,A80&lt;=Inputs!$G$17),Inputs!$I$17,0))</f>
        <v>0.0</v>
      </c>
      <c r="I80" s="3">
        <f>IF(A80=0,Inputs!$E$18,IF(AND(A80&gt;=Inputs!$F$18,A80&lt;=Inputs!$G$18),Inputs!$I$18,0))</f>
        <v>0.0</v>
      </c>
      <c r="J80" s="3">
        <f>IF(A80=0,Inputs!$E$19,IF(AND(A80&gt;=Inputs!$F$19,A80&lt;=Inputs!$G$19),Inputs!$I$19,0))</f>
        <v>0.0</v>
      </c>
      <c r="K80" s="3">
        <f>IF(A80=0,Inputs!$E$20,IF(AND(A80&gt;=Inputs!$F$20,A80&lt;=Inputs!$G$20),Inputs!$I$20,0))</f>
        <v>0.0</v>
      </c>
      <c r="L80" s="3">
        <f>IF(A80&lt;Inputs!$B$9,0,IF(A80&lt;=12,Inputs!$B$8,Inputs!$B$6*(1-Inputs!$B$7)^(INT((A80-13)/12)+1)/12))</f>
        <v>1508598.0624999998</v>
      </c>
      <c r="M80" s="3">
        <f>IF(A80=0,Inputs!$E$22,IF(AND(A80&gt;=Inputs!$F$22,A80&lt;=Inputs!$G$22),Inputs!$I$22,0))</f>
        <v>0.0</v>
      </c>
      <c r="N80" s="3">
        <f>IF(A80=0,Inputs!$E$23,IF(AND(A80&gt;=Inputs!$F$23,A80&lt;=Inputs!$G$23),Inputs!$I$23,0))</f>
        <v>0.0</v>
      </c>
      <c r="O80" s="3">
        <f>IF(A80=0,Inputs!$E$24,IF(AND(A80&gt;=Inputs!$F$24,A80&lt;=Inputs!$G$24),Inputs!$I$24,0))</f>
        <v>0.0</v>
      </c>
      <c r="P80" s="3">
        <f>IF(A80=0,Inputs!$E$25,IF(AND(A80&gt;=Inputs!$F$25,A80&lt;=Inputs!$G$25),Inputs!$I$25,0))</f>
        <v>0.0</v>
      </c>
      <c r="Q80" s="3">
        <f>IF(A80=0,Inputs!$E$26,IF(AND(A80&gt;=Inputs!$F$26,A80&lt;=Inputs!$G$26),Inputs!$I$26,0))</f>
        <v>0.0</v>
      </c>
      <c r="R80" s="3">
        <f>IF(A80=0,Inputs!$E$27,IF(AND(A80&gt;=Inputs!$F$27,A80&lt;=Inputs!$G$27),Inputs!$I$27,0))</f>
        <v>0.0</v>
      </c>
      <c r="S80" s="3">
        <f>SUM(C80:R80)</f>
        <v>1508598.0624999998</v>
      </c>
      <c r="T80" s="3">
        <f>T79+S80</f>
        <v>761837949.1875007</v>
      </c>
      <c r="U80" s="9">
        <f>T80/Inputs!$B$4</f>
        <v>0.7618379492</v>
      </c>
    </row>
    <row r="81">
      <c r="A81" t="n">
        <v>76</v>
      </c>
      <c r="B81" s="4">
        <f>EDATE(Inputs!$B$5,A81)</f>
        <v>48959.0</v>
      </c>
      <c r="C81" s="3">
        <f>IF(A81=0,Inputs!$E$12,IF(AND(A81&gt;=Inputs!$F$12,A81&lt;=Inputs!$G$12),Inputs!$I$12,0))</f>
        <v>0.0</v>
      </c>
      <c r="D81" s="3">
        <f>IF(A81=0,Inputs!$E$13,IF(AND(A81&gt;=Inputs!$F$13,A81&lt;=Inputs!$G$13),Inputs!$I$13,0))</f>
        <v>0.0</v>
      </c>
      <c r="E81" s="3">
        <f>IF(A81=0,Inputs!$E$14,IF(AND(A81&gt;=Inputs!$F$14,A81&lt;=Inputs!$G$14),Inputs!$I$14,0))</f>
        <v>0.0</v>
      </c>
      <c r="F81" s="3">
        <f>IF(A81=0,Inputs!$E$15,IF(AND(A81&gt;=Inputs!$F$15,A81&lt;=Inputs!$G$15),Inputs!$I$15,0))</f>
        <v>0.0</v>
      </c>
      <c r="G81" s="3">
        <f>IF(A81=0,Inputs!$E$16,IF(AND(A81&gt;=Inputs!$F$16,A81&lt;=Inputs!$G$16),Inputs!$I$16,0))</f>
        <v>0.0</v>
      </c>
      <c r="H81" s="3">
        <f>IF(A81=0,Inputs!$E$17,IF(AND(A81&gt;=Inputs!$F$17,A81&lt;=Inputs!$G$17),Inputs!$I$17,0))</f>
        <v>0.0</v>
      </c>
      <c r="I81" s="3">
        <f>IF(A81=0,Inputs!$E$18,IF(AND(A81&gt;=Inputs!$F$18,A81&lt;=Inputs!$G$18),Inputs!$I$18,0))</f>
        <v>0.0</v>
      </c>
      <c r="J81" s="3">
        <f>IF(A81=0,Inputs!$E$19,IF(AND(A81&gt;=Inputs!$F$19,A81&lt;=Inputs!$G$19),Inputs!$I$19,0))</f>
        <v>0.0</v>
      </c>
      <c r="K81" s="3">
        <f>IF(A81=0,Inputs!$E$20,IF(AND(A81&gt;=Inputs!$F$20,A81&lt;=Inputs!$G$20),Inputs!$I$20,0))</f>
        <v>0.0</v>
      </c>
      <c r="L81" s="3">
        <f>IF(A81&lt;Inputs!$B$9,0,IF(A81&lt;=12,Inputs!$B$8,Inputs!$B$6*(1-Inputs!$B$7)^(INT((A81-13)/12)+1)/12))</f>
        <v>1508598.0624999998</v>
      </c>
      <c r="M81" s="3">
        <f>IF(A81=0,Inputs!$E$22,IF(AND(A81&gt;=Inputs!$F$22,A81&lt;=Inputs!$G$22),Inputs!$I$22,0))</f>
        <v>0.0</v>
      </c>
      <c r="N81" s="3">
        <f>IF(A81=0,Inputs!$E$23,IF(AND(A81&gt;=Inputs!$F$23,A81&lt;=Inputs!$G$23),Inputs!$I$23,0))</f>
        <v>0.0</v>
      </c>
      <c r="O81" s="3">
        <f>IF(A81=0,Inputs!$E$24,IF(AND(A81&gt;=Inputs!$F$24,A81&lt;=Inputs!$G$24),Inputs!$I$24,0))</f>
        <v>0.0</v>
      </c>
      <c r="P81" s="3">
        <f>IF(A81=0,Inputs!$E$25,IF(AND(A81&gt;=Inputs!$F$25,A81&lt;=Inputs!$G$25),Inputs!$I$25,0))</f>
        <v>0.0</v>
      </c>
      <c r="Q81" s="3">
        <f>IF(A81=0,Inputs!$E$26,IF(AND(A81&gt;=Inputs!$F$26,A81&lt;=Inputs!$G$26),Inputs!$I$26,0))</f>
        <v>0.0</v>
      </c>
      <c r="R81" s="3">
        <f>IF(A81=0,Inputs!$E$27,IF(AND(A81&gt;=Inputs!$F$27,A81&lt;=Inputs!$G$27),Inputs!$I$27,0))</f>
        <v>0.0</v>
      </c>
      <c r="S81" s="3">
        <f>SUM(C81:R81)</f>
        <v>1508598.0624999998</v>
      </c>
      <c r="T81" s="3">
        <f>T80+S81</f>
        <v>763346547.2500007</v>
      </c>
      <c r="U81" s="9">
        <f>T81/Inputs!$B$4</f>
        <v>0.7633465473</v>
      </c>
    </row>
    <row r="82">
      <c r="A82" t="n">
        <v>77</v>
      </c>
      <c r="B82" s="4">
        <f>EDATE(Inputs!$B$5,A82)</f>
        <v>48990.0</v>
      </c>
      <c r="C82" s="3">
        <f>IF(A82=0,Inputs!$E$12,IF(AND(A82&gt;=Inputs!$F$12,A82&lt;=Inputs!$G$12),Inputs!$I$12,0))</f>
        <v>0.0</v>
      </c>
      <c r="D82" s="3">
        <f>IF(A82=0,Inputs!$E$13,IF(AND(A82&gt;=Inputs!$F$13,A82&lt;=Inputs!$G$13),Inputs!$I$13,0))</f>
        <v>0.0</v>
      </c>
      <c r="E82" s="3">
        <f>IF(A82=0,Inputs!$E$14,IF(AND(A82&gt;=Inputs!$F$14,A82&lt;=Inputs!$G$14),Inputs!$I$14,0))</f>
        <v>0.0</v>
      </c>
      <c r="F82" s="3">
        <f>IF(A82=0,Inputs!$E$15,IF(AND(A82&gt;=Inputs!$F$15,A82&lt;=Inputs!$G$15),Inputs!$I$15,0))</f>
        <v>0.0</v>
      </c>
      <c r="G82" s="3">
        <f>IF(A82=0,Inputs!$E$16,IF(AND(A82&gt;=Inputs!$F$16,A82&lt;=Inputs!$G$16),Inputs!$I$16,0))</f>
        <v>0.0</v>
      </c>
      <c r="H82" s="3">
        <f>IF(A82=0,Inputs!$E$17,IF(AND(A82&gt;=Inputs!$F$17,A82&lt;=Inputs!$G$17),Inputs!$I$17,0))</f>
        <v>0.0</v>
      </c>
      <c r="I82" s="3">
        <f>IF(A82=0,Inputs!$E$18,IF(AND(A82&gt;=Inputs!$F$18,A82&lt;=Inputs!$G$18),Inputs!$I$18,0))</f>
        <v>0.0</v>
      </c>
      <c r="J82" s="3">
        <f>IF(A82=0,Inputs!$E$19,IF(AND(A82&gt;=Inputs!$F$19,A82&lt;=Inputs!$G$19),Inputs!$I$19,0))</f>
        <v>0.0</v>
      </c>
      <c r="K82" s="3">
        <f>IF(A82=0,Inputs!$E$20,IF(AND(A82&gt;=Inputs!$F$20,A82&lt;=Inputs!$G$20),Inputs!$I$20,0))</f>
        <v>0.0</v>
      </c>
      <c r="L82" s="3">
        <f>IF(A82&lt;Inputs!$B$9,0,IF(A82&lt;=12,Inputs!$B$8,Inputs!$B$6*(1-Inputs!$B$7)^(INT((A82-13)/12)+1)/12))</f>
        <v>1508598.0624999998</v>
      </c>
      <c r="M82" s="3">
        <f>IF(A82=0,Inputs!$E$22,IF(AND(A82&gt;=Inputs!$F$22,A82&lt;=Inputs!$G$22),Inputs!$I$22,0))</f>
        <v>0.0</v>
      </c>
      <c r="N82" s="3">
        <f>IF(A82=0,Inputs!$E$23,IF(AND(A82&gt;=Inputs!$F$23,A82&lt;=Inputs!$G$23),Inputs!$I$23,0))</f>
        <v>0.0</v>
      </c>
      <c r="O82" s="3">
        <f>IF(A82=0,Inputs!$E$24,IF(AND(A82&gt;=Inputs!$F$24,A82&lt;=Inputs!$G$24),Inputs!$I$24,0))</f>
        <v>0.0</v>
      </c>
      <c r="P82" s="3">
        <f>IF(A82=0,Inputs!$E$25,IF(AND(A82&gt;=Inputs!$F$25,A82&lt;=Inputs!$G$25),Inputs!$I$25,0))</f>
        <v>0.0</v>
      </c>
      <c r="Q82" s="3">
        <f>IF(A82=0,Inputs!$E$26,IF(AND(A82&gt;=Inputs!$F$26,A82&lt;=Inputs!$G$26),Inputs!$I$26,0))</f>
        <v>0.0</v>
      </c>
      <c r="R82" s="3">
        <f>IF(A82=0,Inputs!$E$27,IF(AND(A82&gt;=Inputs!$F$27,A82&lt;=Inputs!$G$27),Inputs!$I$27,0))</f>
        <v>0.0</v>
      </c>
      <c r="S82" s="3">
        <f>SUM(C82:R82)</f>
        <v>1508598.0624999998</v>
      </c>
      <c r="T82" s="3">
        <f>T81+S82</f>
        <v>764855145.3125007</v>
      </c>
      <c r="U82" s="9">
        <f>T82/Inputs!$B$4</f>
        <v>0.7648551453</v>
      </c>
    </row>
    <row r="83">
      <c r="A83" t="n">
        <v>78</v>
      </c>
      <c r="B83" s="4">
        <f>EDATE(Inputs!$B$5,A83)</f>
        <v>49018.0</v>
      </c>
      <c r="C83" s="3">
        <f>IF(A83=0,Inputs!$E$12,IF(AND(A83&gt;=Inputs!$F$12,A83&lt;=Inputs!$G$12),Inputs!$I$12,0))</f>
        <v>0.0</v>
      </c>
      <c r="D83" s="3">
        <f>IF(A83=0,Inputs!$E$13,IF(AND(A83&gt;=Inputs!$F$13,A83&lt;=Inputs!$G$13),Inputs!$I$13,0))</f>
        <v>0.0</v>
      </c>
      <c r="E83" s="3">
        <f>IF(A83=0,Inputs!$E$14,IF(AND(A83&gt;=Inputs!$F$14,A83&lt;=Inputs!$G$14),Inputs!$I$14,0))</f>
        <v>0.0</v>
      </c>
      <c r="F83" s="3">
        <f>IF(A83=0,Inputs!$E$15,IF(AND(A83&gt;=Inputs!$F$15,A83&lt;=Inputs!$G$15),Inputs!$I$15,0))</f>
        <v>0.0</v>
      </c>
      <c r="G83" s="3">
        <f>IF(A83=0,Inputs!$E$16,IF(AND(A83&gt;=Inputs!$F$16,A83&lt;=Inputs!$G$16),Inputs!$I$16,0))</f>
        <v>0.0</v>
      </c>
      <c r="H83" s="3">
        <f>IF(A83=0,Inputs!$E$17,IF(AND(A83&gt;=Inputs!$F$17,A83&lt;=Inputs!$G$17),Inputs!$I$17,0))</f>
        <v>0.0</v>
      </c>
      <c r="I83" s="3">
        <f>IF(A83=0,Inputs!$E$18,IF(AND(A83&gt;=Inputs!$F$18,A83&lt;=Inputs!$G$18),Inputs!$I$18,0))</f>
        <v>0.0</v>
      </c>
      <c r="J83" s="3">
        <f>IF(A83=0,Inputs!$E$19,IF(AND(A83&gt;=Inputs!$F$19,A83&lt;=Inputs!$G$19),Inputs!$I$19,0))</f>
        <v>0.0</v>
      </c>
      <c r="K83" s="3">
        <f>IF(A83=0,Inputs!$E$20,IF(AND(A83&gt;=Inputs!$F$20,A83&lt;=Inputs!$G$20),Inputs!$I$20,0))</f>
        <v>0.0</v>
      </c>
      <c r="L83" s="3">
        <f>IF(A83&lt;Inputs!$B$9,0,IF(A83&lt;=12,Inputs!$B$8,Inputs!$B$6*(1-Inputs!$B$7)^(INT((A83-13)/12)+1)/12))</f>
        <v>1508598.0624999998</v>
      </c>
      <c r="M83" s="3">
        <f>IF(A83=0,Inputs!$E$22,IF(AND(A83&gt;=Inputs!$F$22,A83&lt;=Inputs!$G$22),Inputs!$I$22,0))</f>
        <v>0.0</v>
      </c>
      <c r="N83" s="3">
        <f>IF(A83=0,Inputs!$E$23,IF(AND(A83&gt;=Inputs!$F$23,A83&lt;=Inputs!$G$23),Inputs!$I$23,0))</f>
        <v>0.0</v>
      </c>
      <c r="O83" s="3">
        <f>IF(A83=0,Inputs!$E$24,IF(AND(A83&gt;=Inputs!$F$24,A83&lt;=Inputs!$G$24),Inputs!$I$24,0))</f>
        <v>0.0</v>
      </c>
      <c r="P83" s="3">
        <f>IF(A83=0,Inputs!$E$25,IF(AND(A83&gt;=Inputs!$F$25,A83&lt;=Inputs!$G$25),Inputs!$I$25,0))</f>
        <v>0.0</v>
      </c>
      <c r="Q83" s="3">
        <f>IF(A83=0,Inputs!$E$26,IF(AND(A83&gt;=Inputs!$F$26,A83&lt;=Inputs!$G$26),Inputs!$I$26,0))</f>
        <v>0.0</v>
      </c>
      <c r="R83" s="3">
        <f>IF(A83=0,Inputs!$E$27,IF(AND(A83&gt;=Inputs!$F$27,A83&lt;=Inputs!$G$27),Inputs!$I$27,0))</f>
        <v>0.0</v>
      </c>
      <c r="S83" s="3">
        <f>SUM(C83:R83)</f>
        <v>1508598.0624999998</v>
      </c>
      <c r="T83" s="3">
        <f>T82+S83</f>
        <v>766363743.3750007</v>
      </c>
      <c r="U83" s="9">
        <f>T83/Inputs!$B$4</f>
        <v>0.7663637434</v>
      </c>
    </row>
    <row r="84">
      <c r="A84" t="n">
        <v>79</v>
      </c>
      <c r="B84" s="4">
        <f>EDATE(Inputs!$B$5,A84)</f>
        <v>49049.0</v>
      </c>
      <c r="C84" s="3">
        <f>IF(A84=0,Inputs!$E$12,IF(AND(A84&gt;=Inputs!$F$12,A84&lt;=Inputs!$G$12),Inputs!$I$12,0))</f>
        <v>0.0</v>
      </c>
      <c r="D84" s="3">
        <f>IF(A84=0,Inputs!$E$13,IF(AND(A84&gt;=Inputs!$F$13,A84&lt;=Inputs!$G$13),Inputs!$I$13,0))</f>
        <v>0.0</v>
      </c>
      <c r="E84" s="3">
        <f>IF(A84=0,Inputs!$E$14,IF(AND(A84&gt;=Inputs!$F$14,A84&lt;=Inputs!$G$14),Inputs!$I$14,0))</f>
        <v>0.0</v>
      </c>
      <c r="F84" s="3">
        <f>IF(A84=0,Inputs!$E$15,IF(AND(A84&gt;=Inputs!$F$15,A84&lt;=Inputs!$G$15),Inputs!$I$15,0))</f>
        <v>0.0</v>
      </c>
      <c r="G84" s="3">
        <f>IF(A84=0,Inputs!$E$16,IF(AND(A84&gt;=Inputs!$F$16,A84&lt;=Inputs!$G$16),Inputs!$I$16,0))</f>
        <v>0.0</v>
      </c>
      <c r="H84" s="3">
        <f>IF(A84=0,Inputs!$E$17,IF(AND(A84&gt;=Inputs!$F$17,A84&lt;=Inputs!$G$17),Inputs!$I$17,0))</f>
        <v>0.0</v>
      </c>
      <c r="I84" s="3">
        <f>IF(A84=0,Inputs!$E$18,IF(AND(A84&gt;=Inputs!$F$18,A84&lt;=Inputs!$G$18),Inputs!$I$18,0))</f>
        <v>0.0</v>
      </c>
      <c r="J84" s="3">
        <f>IF(A84=0,Inputs!$E$19,IF(AND(A84&gt;=Inputs!$F$19,A84&lt;=Inputs!$G$19),Inputs!$I$19,0))</f>
        <v>0.0</v>
      </c>
      <c r="K84" s="3">
        <f>IF(A84=0,Inputs!$E$20,IF(AND(A84&gt;=Inputs!$F$20,A84&lt;=Inputs!$G$20),Inputs!$I$20,0))</f>
        <v>0.0</v>
      </c>
      <c r="L84" s="3">
        <f>IF(A84&lt;Inputs!$B$9,0,IF(A84&lt;=12,Inputs!$B$8,Inputs!$B$6*(1-Inputs!$B$7)^(INT((A84-13)/12)+1)/12))</f>
        <v>1508598.0624999998</v>
      </c>
      <c r="M84" s="3">
        <f>IF(A84=0,Inputs!$E$22,IF(AND(A84&gt;=Inputs!$F$22,A84&lt;=Inputs!$G$22),Inputs!$I$22,0))</f>
        <v>0.0</v>
      </c>
      <c r="N84" s="3">
        <f>IF(A84=0,Inputs!$E$23,IF(AND(A84&gt;=Inputs!$F$23,A84&lt;=Inputs!$G$23),Inputs!$I$23,0))</f>
        <v>0.0</v>
      </c>
      <c r="O84" s="3">
        <f>IF(A84=0,Inputs!$E$24,IF(AND(A84&gt;=Inputs!$F$24,A84&lt;=Inputs!$G$24),Inputs!$I$24,0))</f>
        <v>0.0</v>
      </c>
      <c r="P84" s="3">
        <f>IF(A84=0,Inputs!$E$25,IF(AND(A84&gt;=Inputs!$F$25,A84&lt;=Inputs!$G$25),Inputs!$I$25,0))</f>
        <v>0.0</v>
      </c>
      <c r="Q84" s="3">
        <f>IF(A84=0,Inputs!$E$26,IF(AND(A84&gt;=Inputs!$F$26,A84&lt;=Inputs!$G$26),Inputs!$I$26,0))</f>
        <v>0.0</v>
      </c>
      <c r="R84" s="3">
        <f>IF(A84=0,Inputs!$E$27,IF(AND(A84&gt;=Inputs!$F$27,A84&lt;=Inputs!$G$27),Inputs!$I$27,0))</f>
        <v>0.0</v>
      </c>
      <c r="S84" s="3">
        <f>SUM(C84:R84)</f>
        <v>1508598.0624999998</v>
      </c>
      <c r="T84" s="3">
        <f>T83+S84</f>
        <v>767872341.4375007</v>
      </c>
      <c r="U84" s="9">
        <f>T84/Inputs!$B$4</f>
        <v>0.7678723414</v>
      </c>
    </row>
    <row r="85">
      <c r="A85" t="n">
        <v>80</v>
      </c>
      <c r="B85" s="4">
        <f>EDATE(Inputs!$B$5,A85)</f>
        <v>49079.0</v>
      </c>
      <c r="C85" s="3">
        <f>IF(A85=0,Inputs!$E$12,IF(AND(A85&gt;=Inputs!$F$12,A85&lt;=Inputs!$G$12),Inputs!$I$12,0))</f>
        <v>0.0</v>
      </c>
      <c r="D85" s="3">
        <f>IF(A85=0,Inputs!$E$13,IF(AND(A85&gt;=Inputs!$F$13,A85&lt;=Inputs!$G$13),Inputs!$I$13,0))</f>
        <v>0.0</v>
      </c>
      <c r="E85" s="3">
        <f>IF(A85=0,Inputs!$E$14,IF(AND(A85&gt;=Inputs!$F$14,A85&lt;=Inputs!$G$14),Inputs!$I$14,0))</f>
        <v>0.0</v>
      </c>
      <c r="F85" s="3">
        <f>IF(A85=0,Inputs!$E$15,IF(AND(A85&gt;=Inputs!$F$15,A85&lt;=Inputs!$G$15),Inputs!$I$15,0))</f>
        <v>0.0</v>
      </c>
      <c r="G85" s="3">
        <f>IF(A85=0,Inputs!$E$16,IF(AND(A85&gt;=Inputs!$F$16,A85&lt;=Inputs!$G$16),Inputs!$I$16,0))</f>
        <v>0.0</v>
      </c>
      <c r="H85" s="3">
        <f>IF(A85=0,Inputs!$E$17,IF(AND(A85&gt;=Inputs!$F$17,A85&lt;=Inputs!$G$17),Inputs!$I$17,0))</f>
        <v>0.0</v>
      </c>
      <c r="I85" s="3">
        <f>IF(A85=0,Inputs!$E$18,IF(AND(A85&gt;=Inputs!$F$18,A85&lt;=Inputs!$G$18),Inputs!$I$18,0))</f>
        <v>0.0</v>
      </c>
      <c r="J85" s="3">
        <f>IF(A85=0,Inputs!$E$19,IF(AND(A85&gt;=Inputs!$F$19,A85&lt;=Inputs!$G$19),Inputs!$I$19,0))</f>
        <v>0.0</v>
      </c>
      <c r="K85" s="3">
        <f>IF(A85=0,Inputs!$E$20,IF(AND(A85&gt;=Inputs!$F$20,A85&lt;=Inputs!$G$20),Inputs!$I$20,0))</f>
        <v>0.0</v>
      </c>
      <c r="L85" s="3">
        <f>IF(A85&lt;Inputs!$B$9,0,IF(A85&lt;=12,Inputs!$B$8,Inputs!$B$6*(1-Inputs!$B$7)^(INT((A85-13)/12)+1)/12))</f>
        <v>1508598.0624999998</v>
      </c>
      <c r="M85" s="3">
        <f>IF(A85=0,Inputs!$E$22,IF(AND(A85&gt;=Inputs!$F$22,A85&lt;=Inputs!$G$22),Inputs!$I$22,0))</f>
        <v>0.0</v>
      </c>
      <c r="N85" s="3">
        <f>IF(A85=0,Inputs!$E$23,IF(AND(A85&gt;=Inputs!$F$23,A85&lt;=Inputs!$G$23),Inputs!$I$23,0))</f>
        <v>0.0</v>
      </c>
      <c r="O85" s="3">
        <f>IF(A85=0,Inputs!$E$24,IF(AND(A85&gt;=Inputs!$F$24,A85&lt;=Inputs!$G$24),Inputs!$I$24,0))</f>
        <v>0.0</v>
      </c>
      <c r="P85" s="3">
        <f>IF(A85=0,Inputs!$E$25,IF(AND(A85&gt;=Inputs!$F$25,A85&lt;=Inputs!$G$25),Inputs!$I$25,0))</f>
        <v>0.0</v>
      </c>
      <c r="Q85" s="3">
        <f>IF(A85=0,Inputs!$E$26,IF(AND(A85&gt;=Inputs!$F$26,A85&lt;=Inputs!$G$26),Inputs!$I$26,0))</f>
        <v>0.0</v>
      </c>
      <c r="R85" s="3">
        <f>IF(A85=0,Inputs!$E$27,IF(AND(A85&gt;=Inputs!$F$27,A85&lt;=Inputs!$G$27),Inputs!$I$27,0))</f>
        <v>0.0</v>
      </c>
      <c r="S85" s="3">
        <f>SUM(C85:R85)</f>
        <v>1508598.0624999998</v>
      </c>
      <c r="T85" s="3">
        <f>T84+S85</f>
        <v>769380939.5000007</v>
      </c>
      <c r="U85" s="9">
        <f>T85/Inputs!$B$4</f>
        <v>0.7693809395</v>
      </c>
    </row>
    <row r="86">
      <c r="A86" t="n">
        <v>81</v>
      </c>
      <c r="B86" s="4">
        <f>EDATE(Inputs!$B$5,A86)</f>
        <v>49110.0</v>
      </c>
      <c r="C86" s="3">
        <f>IF(A86=0,Inputs!$E$12,IF(AND(A86&gt;=Inputs!$F$12,A86&lt;=Inputs!$G$12),Inputs!$I$12,0))</f>
        <v>0.0</v>
      </c>
      <c r="D86" s="3">
        <f>IF(A86=0,Inputs!$E$13,IF(AND(A86&gt;=Inputs!$F$13,A86&lt;=Inputs!$G$13),Inputs!$I$13,0))</f>
        <v>0.0</v>
      </c>
      <c r="E86" s="3">
        <f>IF(A86=0,Inputs!$E$14,IF(AND(A86&gt;=Inputs!$F$14,A86&lt;=Inputs!$G$14),Inputs!$I$14,0))</f>
        <v>0.0</v>
      </c>
      <c r="F86" s="3">
        <f>IF(A86=0,Inputs!$E$15,IF(AND(A86&gt;=Inputs!$F$15,A86&lt;=Inputs!$G$15),Inputs!$I$15,0))</f>
        <v>0.0</v>
      </c>
      <c r="G86" s="3">
        <f>IF(A86=0,Inputs!$E$16,IF(AND(A86&gt;=Inputs!$F$16,A86&lt;=Inputs!$G$16),Inputs!$I$16,0))</f>
        <v>0.0</v>
      </c>
      <c r="H86" s="3">
        <f>IF(A86=0,Inputs!$E$17,IF(AND(A86&gt;=Inputs!$F$17,A86&lt;=Inputs!$G$17),Inputs!$I$17,0))</f>
        <v>0.0</v>
      </c>
      <c r="I86" s="3">
        <f>IF(A86=0,Inputs!$E$18,IF(AND(A86&gt;=Inputs!$F$18,A86&lt;=Inputs!$G$18),Inputs!$I$18,0))</f>
        <v>0.0</v>
      </c>
      <c r="J86" s="3">
        <f>IF(A86=0,Inputs!$E$19,IF(AND(A86&gt;=Inputs!$F$19,A86&lt;=Inputs!$G$19),Inputs!$I$19,0))</f>
        <v>0.0</v>
      </c>
      <c r="K86" s="3">
        <f>IF(A86=0,Inputs!$E$20,IF(AND(A86&gt;=Inputs!$F$20,A86&lt;=Inputs!$G$20),Inputs!$I$20,0))</f>
        <v>0.0</v>
      </c>
      <c r="L86" s="3">
        <f>IF(A86&lt;Inputs!$B$9,0,IF(A86&lt;=12,Inputs!$B$8,Inputs!$B$6*(1-Inputs!$B$7)^(INT((A86-13)/12)+1)/12))</f>
        <v>1508598.0624999998</v>
      </c>
      <c r="M86" s="3">
        <f>IF(A86=0,Inputs!$E$22,IF(AND(A86&gt;=Inputs!$F$22,A86&lt;=Inputs!$G$22),Inputs!$I$22,0))</f>
        <v>0.0</v>
      </c>
      <c r="N86" s="3">
        <f>IF(A86=0,Inputs!$E$23,IF(AND(A86&gt;=Inputs!$F$23,A86&lt;=Inputs!$G$23),Inputs!$I$23,0))</f>
        <v>0.0</v>
      </c>
      <c r="O86" s="3">
        <f>IF(A86=0,Inputs!$E$24,IF(AND(A86&gt;=Inputs!$F$24,A86&lt;=Inputs!$G$24),Inputs!$I$24,0))</f>
        <v>0.0</v>
      </c>
      <c r="P86" s="3">
        <f>IF(A86=0,Inputs!$E$25,IF(AND(A86&gt;=Inputs!$F$25,A86&lt;=Inputs!$G$25),Inputs!$I$25,0))</f>
        <v>0.0</v>
      </c>
      <c r="Q86" s="3">
        <f>IF(A86=0,Inputs!$E$26,IF(AND(A86&gt;=Inputs!$F$26,A86&lt;=Inputs!$G$26),Inputs!$I$26,0))</f>
        <v>0.0</v>
      </c>
      <c r="R86" s="3">
        <f>IF(A86=0,Inputs!$E$27,IF(AND(A86&gt;=Inputs!$F$27,A86&lt;=Inputs!$G$27),Inputs!$I$27,0))</f>
        <v>0.0</v>
      </c>
      <c r="S86" s="3">
        <f>SUM(C86:R86)</f>
        <v>1508598.0624999998</v>
      </c>
      <c r="T86" s="3">
        <f>T85+S86</f>
        <v>770889537.5625007</v>
      </c>
      <c r="U86" s="9">
        <f>T86/Inputs!$B$4</f>
        <v>0.7708895376</v>
      </c>
    </row>
    <row r="87">
      <c r="A87" t="n">
        <v>82</v>
      </c>
      <c r="B87" s="4">
        <f>EDATE(Inputs!$B$5,A87)</f>
        <v>49140.0</v>
      </c>
      <c r="C87" s="3">
        <f>IF(A87=0,Inputs!$E$12,IF(AND(A87&gt;=Inputs!$F$12,A87&lt;=Inputs!$G$12),Inputs!$I$12,0))</f>
        <v>0.0</v>
      </c>
      <c r="D87" s="3">
        <f>IF(A87=0,Inputs!$E$13,IF(AND(A87&gt;=Inputs!$F$13,A87&lt;=Inputs!$G$13),Inputs!$I$13,0))</f>
        <v>0.0</v>
      </c>
      <c r="E87" s="3">
        <f>IF(A87=0,Inputs!$E$14,IF(AND(A87&gt;=Inputs!$F$14,A87&lt;=Inputs!$G$14),Inputs!$I$14,0))</f>
        <v>0.0</v>
      </c>
      <c r="F87" s="3">
        <f>IF(A87=0,Inputs!$E$15,IF(AND(A87&gt;=Inputs!$F$15,A87&lt;=Inputs!$G$15),Inputs!$I$15,0))</f>
        <v>0.0</v>
      </c>
      <c r="G87" s="3">
        <f>IF(A87=0,Inputs!$E$16,IF(AND(A87&gt;=Inputs!$F$16,A87&lt;=Inputs!$G$16),Inputs!$I$16,0))</f>
        <v>0.0</v>
      </c>
      <c r="H87" s="3">
        <f>IF(A87=0,Inputs!$E$17,IF(AND(A87&gt;=Inputs!$F$17,A87&lt;=Inputs!$G$17),Inputs!$I$17,0))</f>
        <v>0.0</v>
      </c>
      <c r="I87" s="3">
        <f>IF(A87=0,Inputs!$E$18,IF(AND(A87&gt;=Inputs!$F$18,A87&lt;=Inputs!$G$18),Inputs!$I$18,0))</f>
        <v>0.0</v>
      </c>
      <c r="J87" s="3">
        <f>IF(A87=0,Inputs!$E$19,IF(AND(A87&gt;=Inputs!$F$19,A87&lt;=Inputs!$G$19),Inputs!$I$19,0))</f>
        <v>0.0</v>
      </c>
      <c r="K87" s="3">
        <f>IF(A87=0,Inputs!$E$20,IF(AND(A87&gt;=Inputs!$F$20,A87&lt;=Inputs!$G$20),Inputs!$I$20,0))</f>
        <v>0.0</v>
      </c>
      <c r="L87" s="3">
        <f>IF(A87&lt;Inputs!$B$9,0,IF(A87&lt;=12,Inputs!$B$8,Inputs!$B$6*(1-Inputs!$B$7)^(INT((A87-13)/12)+1)/12))</f>
        <v>1508598.0624999998</v>
      </c>
      <c r="M87" s="3">
        <f>IF(A87=0,Inputs!$E$22,IF(AND(A87&gt;=Inputs!$F$22,A87&lt;=Inputs!$G$22),Inputs!$I$22,0))</f>
        <v>0.0</v>
      </c>
      <c r="N87" s="3">
        <f>IF(A87=0,Inputs!$E$23,IF(AND(A87&gt;=Inputs!$F$23,A87&lt;=Inputs!$G$23),Inputs!$I$23,0))</f>
        <v>0.0</v>
      </c>
      <c r="O87" s="3">
        <f>IF(A87=0,Inputs!$E$24,IF(AND(A87&gt;=Inputs!$F$24,A87&lt;=Inputs!$G$24),Inputs!$I$24,0))</f>
        <v>0.0</v>
      </c>
      <c r="P87" s="3">
        <f>IF(A87=0,Inputs!$E$25,IF(AND(A87&gt;=Inputs!$F$25,A87&lt;=Inputs!$G$25),Inputs!$I$25,0))</f>
        <v>0.0</v>
      </c>
      <c r="Q87" s="3">
        <f>IF(A87=0,Inputs!$E$26,IF(AND(A87&gt;=Inputs!$F$26,A87&lt;=Inputs!$G$26),Inputs!$I$26,0))</f>
        <v>0.0</v>
      </c>
      <c r="R87" s="3">
        <f>IF(A87=0,Inputs!$E$27,IF(AND(A87&gt;=Inputs!$F$27,A87&lt;=Inputs!$G$27),Inputs!$I$27,0))</f>
        <v>0.0</v>
      </c>
      <c r="S87" s="3">
        <f>SUM(C87:R87)</f>
        <v>1508598.0624999998</v>
      </c>
      <c r="T87" s="3">
        <f>T86+S87</f>
        <v>772398135.6250007</v>
      </c>
      <c r="U87" s="9">
        <f>T87/Inputs!$B$4</f>
        <v>0.7723981356</v>
      </c>
    </row>
    <row r="88">
      <c r="A88" t="n">
        <v>83</v>
      </c>
      <c r="B88" s="4">
        <f>EDATE(Inputs!$B$5,A88)</f>
        <v>49171.0</v>
      </c>
      <c r="C88" s="3">
        <f>IF(A88=0,Inputs!$E$12,IF(AND(A88&gt;=Inputs!$F$12,A88&lt;=Inputs!$G$12),Inputs!$I$12,0))</f>
        <v>0.0</v>
      </c>
      <c r="D88" s="3">
        <f>IF(A88=0,Inputs!$E$13,IF(AND(A88&gt;=Inputs!$F$13,A88&lt;=Inputs!$G$13),Inputs!$I$13,0))</f>
        <v>0.0</v>
      </c>
      <c r="E88" s="3">
        <f>IF(A88=0,Inputs!$E$14,IF(AND(A88&gt;=Inputs!$F$14,A88&lt;=Inputs!$G$14),Inputs!$I$14,0))</f>
        <v>0.0</v>
      </c>
      <c r="F88" s="3">
        <f>IF(A88=0,Inputs!$E$15,IF(AND(A88&gt;=Inputs!$F$15,A88&lt;=Inputs!$G$15),Inputs!$I$15,0))</f>
        <v>0.0</v>
      </c>
      <c r="G88" s="3">
        <f>IF(A88=0,Inputs!$E$16,IF(AND(A88&gt;=Inputs!$F$16,A88&lt;=Inputs!$G$16),Inputs!$I$16,0))</f>
        <v>0.0</v>
      </c>
      <c r="H88" s="3">
        <f>IF(A88=0,Inputs!$E$17,IF(AND(A88&gt;=Inputs!$F$17,A88&lt;=Inputs!$G$17),Inputs!$I$17,0))</f>
        <v>0.0</v>
      </c>
      <c r="I88" s="3">
        <f>IF(A88=0,Inputs!$E$18,IF(AND(A88&gt;=Inputs!$F$18,A88&lt;=Inputs!$G$18),Inputs!$I$18,0))</f>
        <v>0.0</v>
      </c>
      <c r="J88" s="3">
        <f>IF(A88=0,Inputs!$E$19,IF(AND(A88&gt;=Inputs!$F$19,A88&lt;=Inputs!$G$19),Inputs!$I$19,0))</f>
        <v>0.0</v>
      </c>
      <c r="K88" s="3">
        <f>IF(A88=0,Inputs!$E$20,IF(AND(A88&gt;=Inputs!$F$20,A88&lt;=Inputs!$G$20),Inputs!$I$20,0))</f>
        <v>0.0</v>
      </c>
      <c r="L88" s="3">
        <f>IF(A88&lt;Inputs!$B$9,0,IF(A88&lt;=12,Inputs!$B$8,Inputs!$B$6*(1-Inputs!$B$7)^(INT((A88-13)/12)+1)/12))</f>
        <v>1508598.0624999998</v>
      </c>
      <c r="M88" s="3">
        <f>IF(A88=0,Inputs!$E$22,IF(AND(A88&gt;=Inputs!$F$22,A88&lt;=Inputs!$G$22),Inputs!$I$22,0))</f>
        <v>0.0</v>
      </c>
      <c r="N88" s="3">
        <f>IF(A88=0,Inputs!$E$23,IF(AND(A88&gt;=Inputs!$F$23,A88&lt;=Inputs!$G$23),Inputs!$I$23,0))</f>
        <v>0.0</v>
      </c>
      <c r="O88" s="3">
        <f>IF(A88=0,Inputs!$E$24,IF(AND(A88&gt;=Inputs!$F$24,A88&lt;=Inputs!$G$24),Inputs!$I$24,0))</f>
        <v>0.0</v>
      </c>
      <c r="P88" s="3">
        <f>IF(A88=0,Inputs!$E$25,IF(AND(A88&gt;=Inputs!$F$25,A88&lt;=Inputs!$G$25),Inputs!$I$25,0))</f>
        <v>0.0</v>
      </c>
      <c r="Q88" s="3">
        <f>IF(A88=0,Inputs!$E$26,IF(AND(A88&gt;=Inputs!$F$26,A88&lt;=Inputs!$G$26),Inputs!$I$26,0))</f>
        <v>0.0</v>
      </c>
      <c r="R88" s="3">
        <f>IF(A88=0,Inputs!$E$27,IF(AND(A88&gt;=Inputs!$F$27,A88&lt;=Inputs!$G$27),Inputs!$I$27,0))</f>
        <v>0.0</v>
      </c>
      <c r="S88" s="3">
        <f>SUM(C88:R88)</f>
        <v>1508598.0624999998</v>
      </c>
      <c r="T88" s="3">
        <f>T87+S88</f>
        <v>773906733.6875007</v>
      </c>
      <c r="U88" s="9">
        <f>T88/Inputs!$B$4</f>
        <v>0.7739067337</v>
      </c>
    </row>
    <row r="89">
      <c r="A89" t="n">
        <v>84</v>
      </c>
      <c r="B89" s="4">
        <f>EDATE(Inputs!$B$5,A89)</f>
        <v>49202.0</v>
      </c>
      <c r="C89" s="3">
        <f>IF(A89=0,Inputs!$E$12,IF(AND(A89&gt;=Inputs!$F$12,A89&lt;=Inputs!$G$12),Inputs!$I$12,0))</f>
        <v>0.0</v>
      </c>
      <c r="D89" s="3">
        <f>IF(A89=0,Inputs!$E$13,IF(AND(A89&gt;=Inputs!$F$13,A89&lt;=Inputs!$G$13),Inputs!$I$13,0))</f>
        <v>0.0</v>
      </c>
      <c r="E89" s="3">
        <f>IF(A89=0,Inputs!$E$14,IF(AND(A89&gt;=Inputs!$F$14,A89&lt;=Inputs!$G$14),Inputs!$I$14,0))</f>
        <v>0.0</v>
      </c>
      <c r="F89" s="3">
        <f>IF(A89=0,Inputs!$E$15,IF(AND(A89&gt;=Inputs!$F$15,A89&lt;=Inputs!$G$15),Inputs!$I$15,0))</f>
        <v>0.0</v>
      </c>
      <c r="G89" s="3">
        <f>IF(A89=0,Inputs!$E$16,IF(AND(A89&gt;=Inputs!$F$16,A89&lt;=Inputs!$G$16),Inputs!$I$16,0))</f>
        <v>0.0</v>
      </c>
      <c r="H89" s="3">
        <f>IF(A89=0,Inputs!$E$17,IF(AND(A89&gt;=Inputs!$F$17,A89&lt;=Inputs!$G$17),Inputs!$I$17,0))</f>
        <v>0.0</v>
      </c>
      <c r="I89" s="3">
        <f>IF(A89=0,Inputs!$E$18,IF(AND(A89&gt;=Inputs!$F$18,A89&lt;=Inputs!$G$18),Inputs!$I$18,0))</f>
        <v>0.0</v>
      </c>
      <c r="J89" s="3">
        <f>IF(A89=0,Inputs!$E$19,IF(AND(A89&gt;=Inputs!$F$19,A89&lt;=Inputs!$G$19),Inputs!$I$19,0))</f>
        <v>0.0</v>
      </c>
      <c r="K89" s="3">
        <f>IF(A89=0,Inputs!$E$20,IF(AND(A89&gt;=Inputs!$F$20,A89&lt;=Inputs!$G$20),Inputs!$I$20,0))</f>
        <v>0.0</v>
      </c>
      <c r="L89" s="3">
        <f>IF(A89&lt;Inputs!$B$9,0,IF(A89&lt;=12,Inputs!$B$8,Inputs!$B$6*(1-Inputs!$B$7)^(INT((A89-13)/12)+1)/12))</f>
        <v>1508598.0624999998</v>
      </c>
      <c r="M89" s="3">
        <f>IF(A89=0,Inputs!$E$22,IF(AND(A89&gt;=Inputs!$F$22,A89&lt;=Inputs!$G$22),Inputs!$I$22,0))</f>
        <v>0.0</v>
      </c>
      <c r="N89" s="3">
        <f>IF(A89=0,Inputs!$E$23,IF(AND(A89&gt;=Inputs!$F$23,A89&lt;=Inputs!$G$23),Inputs!$I$23,0))</f>
        <v>0.0</v>
      </c>
      <c r="O89" s="3">
        <f>IF(A89=0,Inputs!$E$24,IF(AND(A89&gt;=Inputs!$F$24,A89&lt;=Inputs!$G$24),Inputs!$I$24,0))</f>
        <v>0.0</v>
      </c>
      <c r="P89" s="3">
        <f>IF(A89=0,Inputs!$E$25,IF(AND(A89&gt;=Inputs!$F$25,A89&lt;=Inputs!$G$25),Inputs!$I$25,0))</f>
        <v>0.0</v>
      </c>
      <c r="Q89" s="3">
        <f>IF(A89=0,Inputs!$E$26,IF(AND(A89&gt;=Inputs!$F$26,A89&lt;=Inputs!$G$26),Inputs!$I$26,0))</f>
        <v>0.0</v>
      </c>
      <c r="R89" s="3">
        <f>IF(A89=0,Inputs!$E$27,IF(AND(A89&gt;=Inputs!$F$27,A89&lt;=Inputs!$G$27),Inputs!$I$27,0))</f>
        <v>0.0</v>
      </c>
      <c r="S89" s="3">
        <f>SUM(C89:R89)</f>
        <v>1508598.0624999998</v>
      </c>
      <c r="T89" s="3">
        <f>T88+S89</f>
        <v>775415331.7500007</v>
      </c>
      <c r="U89" s="9">
        <f>T89/Inputs!$B$4</f>
        <v>0.7754153318</v>
      </c>
    </row>
    <row r="90">
      <c r="A90" s="8" t="inlineStr">
        <is>
          <t>Total T+0 to T+84</t>
        </is>
      </c>
      <c r="C90" s="3">
        <f>SUM(C5:C89)</f>
        <v>10331395.2660156</v>
      </c>
      <c r="D90" s="3">
        <f>SUM(D5:D89)</f>
        <v>27309256.410334695</v>
      </c>
      <c r="E90" s="3">
        <f>SUM(E5:E89)</f>
        <v>16385553.8462008</v>
      </c>
      <c r="F90" s="3">
        <f>SUM(F5:F89)</f>
        <v>10923702.5641339</v>
      </c>
      <c r="G90" s="3">
        <f>SUM(G5:G89)</f>
        <v>10923702.5641339</v>
      </c>
      <c r="H90" s="3">
        <f>SUM(H5:H89)</f>
        <v>10923702.5641339</v>
      </c>
      <c r="I90" s="3">
        <f>SUM(I5:I89)</f>
        <v>10923702.5641339</v>
      </c>
      <c r="J90" s="3">
        <f>SUM(J5:J89)</f>
        <v>2278984.22091329</v>
      </c>
      <c r="K90" s="3">
        <f>SUM(K5:K89)</f>
        <v>200000000.0</v>
      </c>
      <c r="L90" s="3">
        <f>SUM(L5:L89)</f>
        <v>205415331.75</v>
      </c>
      <c r="M90" s="3">
        <f>SUM(M5:M89)</f>
        <v>95000000.00000001</v>
      </c>
      <c r="N90" s="3">
        <f>SUM(N5:N89)</f>
        <v>49999999.99999999</v>
      </c>
      <c r="O90" s="3">
        <f>SUM(O5:O89)</f>
        <v>40000000.0</v>
      </c>
      <c r="P90" s="3">
        <f>SUM(P5:P89)</f>
        <v>50000000.0</v>
      </c>
      <c r="Q90" s="3">
        <f>SUM(Q5:Q89)</f>
        <v>30000000.0</v>
      </c>
      <c r="R90" s="3">
        <f>SUM(R5:R89)</f>
        <v>5000000.0</v>
      </c>
      <c r="S90" s="3">
        <f>SUM(S5:S89)</f>
        <v>775415331.7499998</v>
      </c>
    </row>
    <row r="91">
      <c r="A91" s="8" t="inlineStr">
        <is>
          <t>Emissions remainder beyond T+84 (ceiling, not scheduled)</t>
        </is>
      </c>
      <c r="L91" s="3">
        <f>Inputs!$D$21-L90</f>
        <v>224584668.25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0" customWidth="1" min="19" max="19"/>
    <col width="14" customWidth="1" min="20" max="20"/>
  </cols>
  <sheetData>
    <row r="1">
      <c r="A1" s="1" t="inlineStr">
        <is>
          <t>Cumulative unlocked by pocket, T+0 to T+84</t>
        </is>
      </c>
    </row>
    <row r="4">
      <c r="A4" s="6" t="inlineStr">
        <is>
          <t>Month</t>
        </is>
      </c>
      <c r="B4" s="6" t="inlineStr">
        <is>
          <t>Date</t>
        </is>
      </c>
      <c r="C4" s="6" t="inlineStr">
        <is>
          <t>Pre-seed (Brandon Torres Declet)</t>
        </is>
      </c>
      <c r="D4" s="6" t="inlineStr">
        <is>
          <t>Seed (LD Capital)</t>
        </is>
      </c>
      <c r="E4" s="6" t="inlineStr">
        <is>
          <t>Seed (Cogitent Ventures)</t>
        </is>
      </c>
      <c r="F4" s="6" t="inlineStr">
        <is>
          <t>Seed (Leland Ventures)</t>
        </is>
      </c>
      <c r="G4" s="6" t="inlineStr">
        <is>
          <t>Seed (M77 Ventures)</t>
        </is>
      </c>
      <c r="H4" s="6" t="inlineStr">
        <is>
          <t>Seed (Block Maven LLC)</t>
        </is>
      </c>
      <c r="I4" s="6" t="inlineStr">
        <is>
          <t>Seed (Covey)</t>
        </is>
      </c>
      <c r="J4" s="6" t="inlineStr">
        <is>
          <t>KOL round</t>
        </is>
      </c>
      <c r="K4" s="6" t="inlineStr">
        <is>
          <t>New round</t>
        </is>
      </c>
      <c r="L4" s="6" t="inlineStr">
        <is>
          <t>Mining and validator emissions</t>
        </is>
      </c>
      <c r="M4" s="6" t="inlineStr">
        <is>
          <t>Marketing and exchanges</t>
        </is>
      </c>
      <c r="N4" s="6" t="inlineStr">
        <is>
          <t>Treasury and reserves</t>
        </is>
      </c>
      <c r="O4" s="6" t="inlineStr">
        <is>
          <t>Foundation</t>
        </is>
      </c>
      <c r="P4" s="6" t="inlineStr">
        <is>
          <t>Team and advisors</t>
        </is>
      </c>
      <c r="Q4" s="6" t="inlineStr">
        <is>
          <t>Liquidity / market making</t>
        </is>
      </c>
      <c r="R4" s="6" t="inlineStr">
        <is>
          <t>Community airdrop</t>
        </is>
      </c>
      <c r="S4" s="6" t="inlineStr">
        <is>
          <t>Circulating (cumulative)</t>
        </is>
      </c>
      <c r="T4" s="6" t="inlineStr">
        <is>
          <t>Circulating % of supply</t>
        </is>
      </c>
    </row>
    <row r="5">
      <c r="A5" t="n">
        <v>0</v>
      </c>
      <c r="B5" s="4">
        <f>Grid!B5</f>
        <v>46645.0</v>
      </c>
      <c r="C5" s="3">
        <f>Grid!C5</f>
        <v>0.0</v>
      </c>
      <c r="D5" s="3">
        <f>Grid!D5</f>
        <v>0.0</v>
      </c>
      <c r="E5" s="3">
        <f>Grid!E5</f>
        <v>0.0</v>
      </c>
      <c r="F5" s="3">
        <f>Grid!F5</f>
        <v>0.0</v>
      </c>
      <c r="G5" s="3">
        <f>Grid!G5</f>
        <v>0.0</v>
      </c>
      <c r="H5" s="3">
        <f>Grid!H5</f>
        <v>0.0</v>
      </c>
      <c r="I5" s="3">
        <f>Grid!I5</f>
        <v>0.0</v>
      </c>
      <c r="J5" s="3">
        <f>Grid!J5</f>
        <v>0.0</v>
      </c>
      <c r="K5" s="3">
        <f>Grid!K5</f>
        <v>0.0</v>
      </c>
      <c r="L5" s="3">
        <f>Grid!L5</f>
        <v>0.0</v>
      </c>
      <c r="M5" s="3">
        <f>Grid!M5</f>
        <v>40000000.0</v>
      </c>
      <c r="N5" s="3">
        <f>Grid!N5</f>
        <v>1000000.0</v>
      </c>
      <c r="O5" s="3">
        <f>Grid!O5</f>
        <v>1000000.0</v>
      </c>
      <c r="P5" s="3">
        <f>Grid!P5</f>
        <v>0.0</v>
      </c>
      <c r="Q5" s="3">
        <f>Grid!Q5</f>
        <v>30000000.0</v>
      </c>
      <c r="R5" s="3">
        <f>Grid!R5</f>
        <v>5000000.0</v>
      </c>
      <c r="S5" s="3">
        <f>SUM(C5:R5)</f>
        <v>77000000.0</v>
      </c>
      <c r="T5" s="9">
        <f>S5/Inputs!$B$4</f>
        <v>0.077</v>
      </c>
    </row>
    <row r="6">
      <c r="A6" t="n">
        <v>1</v>
      </c>
      <c r="B6" s="4">
        <f>Grid!B6</f>
        <v>46675.0</v>
      </c>
      <c r="C6" s="3">
        <f>C5+Grid!C6</f>
        <v>0.0</v>
      </c>
      <c r="D6" s="3">
        <f>D5+Grid!D6</f>
        <v>0.0</v>
      </c>
      <c r="E6" s="3">
        <f>E5+Grid!E6</f>
        <v>0.0</v>
      </c>
      <c r="F6" s="3">
        <f>F5+Grid!F6</f>
        <v>0.0</v>
      </c>
      <c r="G6" s="3">
        <f>G5+Grid!G6</f>
        <v>0.0</v>
      </c>
      <c r="H6" s="3">
        <f>H5+Grid!H6</f>
        <v>0.0</v>
      </c>
      <c r="I6" s="3">
        <f>I5+Grid!I6</f>
        <v>0.0</v>
      </c>
      <c r="J6" s="3">
        <f>J5+Grid!J6</f>
        <v>0.0</v>
      </c>
      <c r="K6" s="3">
        <f>K5+Grid!K6</f>
        <v>0.0</v>
      </c>
      <c r="L6" s="3">
        <f>L5+Grid!L6</f>
        <v>0.0</v>
      </c>
      <c r="M6" s="3">
        <f>M5+Grid!M6</f>
        <v>41833333.333333336</v>
      </c>
      <c r="N6" s="3">
        <f>N5+Grid!N6</f>
        <v>1000000.0</v>
      </c>
      <c r="O6" s="3">
        <f>O5+Grid!O6</f>
        <v>1000000.0</v>
      </c>
      <c r="P6" s="3">
        <f>P5+Grid!P6</f>
        <v>0.0</v>
      </c>
      <c r="Q6" s="3">
        <f>Q5+Grid!Q6</f>
        <v>30000000.0</v>
      </c>
      <c r="R6" s="3">
        <f>R5+Grid!R6</f>
        <v>5000000.0</v>
      </c>
      <c r="S6" s="3">
        <f>SUM(C6:R6)</f>
        <v>78833333.33333334</v>
      </c>
      <c r="T6" s="9">
        <f>S6/Inputs!$B$4</f>
        <v>0.0788333333</v>
      </c>
    </row>
    <row r="7">
      <c r="A7" t="n">
        <v>2</v>
      </c>
      <c r="B7" s="4">
        <f>Grid!B7</f>
        <v>46706.0</v>
      </c>
      <c r="C7" s="3">
        <f>C6+Grid!C7</f>
        <v>0.0</v>
      </c>
      <c r="D7" s="3">
        <f>D6+Grid!D7</f>
        <v>0.0</v>
      </c>
      <c r="E7" s="3">
        <f>E6+Grid!E7</f>
        <v>0.0</v>
      </c>
      <c r="F7" s="3">
        <f>F6+Grid!F7</f>
        <v>0.0</v>
      </c>
      <c r="G7" s="3">
        <f>G6+Grid!G7</f>
        <v>0.0</v>
      </c>
      <c r="H7" s="3">
        <f>H6+Grid!H7</f>
        <v>0.0</v>
      </c>
      <c r="I7" s="3">
        <f>I6+Grid!I7</f>
        <v>0.0</v>
      </c>
      <c r="J7" s="3">
        <f>J6+Grid!J7</f>
        <v>0.0</v>
      </c>
      <c r="K7" s="3">
        <f>K6+Grid!K7</f>
        <v>0.0</v>
      </c>
      <c r="L7" s="3">
        <f>L6+Grid!L7</f>
        <v>0.0</v>
      </c>
      <c r="M7" s="3">
        <f>M6+Grid!M7</f>
        <v>43666666.66666667</v>
      </c>
      <c r="N7" s="3">
        <f>N6+Grid!N7</f>
        <v>1000000.0</v>
      </c>
      <c r="O7" s="3">
        <f>O6+Grid!O7</f>
        <v>1000000.0</v>
      </c>
      <c r="P7" s="3">
        <f>P6+Grid!P7</f>
        <v>0.0</v>
      </c>
      <c r="Q7" s="3">
        <f>Q6+Grid!Q7</f>
        <v>30000000.0</v>
      </c>
      <c r="R7" s="3">
        <f>R6+Grid!R7</f>
        <v>5000000.0</v>
      </c>
      <c r="S7" s="3">
        <f>SUM(C7:R7)</f>
        <v>80666666.66666667</v>
      </c>
      <c r="T7" s="9">
        <f>S7/Inputs!$B$4</f>
        <v>0.0806666667</v>
      </c>
    </row>
    <row r="8">
      <c r="A8" t="n">
        <v>3</v>
      </c>
      <c r="B8" s="4">
        <f>Grid!B8</f>
        <v>46736.0</v>
      </c>
      <c r="C8" s="3">
        <f>C7+Grid!C8</f>
        <v>0.0</v>
      </c>
      <c r="D8" s="3">
        <f>D7+Grid!D8</f>
        <v>0.0</v>
      </c>
      <c r="E8" s="3">
        <f>E7+Grid!E8</f>
        <v>0.0</v>
      </c>
      <c r="F8" s="3">
        <f>F7+Grid!F8</f>
        <v>0.0</v>
      </c>
      <c r="G8" s="3">
        <f>G7+Grid!G8</f>
        <v>0.0</v>
      </c>
      <c r="H8" s="3">
        <f>H7+Grid!H8</f>
        <v>0.0</v>
      </c>
      <c r="I8" s="3">
        <f>I7+Grid!I8</f>
        <v>0.0</v>
      </c>
      <c r="J8" s="3">
        <f>J7+Grid!J8</f>
        <v>0.0</v>
      </c>
      <c r="K8" s="3">
        <f>K7+Grid!K8</f>
        <v>0.0</v>
      </c>
      <c r="L8" s="3">
        <f>L7+Grid!L8</f>
        <v>0.0</v>
      </c>
      <c r="M8" s="3">
        <f>M7+Grid!M8</f>
        <v>45500000.00000001</v>
      </c>
      <c r="N8" s="3">
        <f>N7+Grid!N8</f>
        <v>1000000.0</v>
      </c>
      <c r="O8" s="3">
        <f>O7+Grid!O8</f>
        <v>1000000.0</v>
      </c>
      <c r="P8" s="3">
        <f>P7+Grid!P8</f>
        <v>0.0</v>
      </c>
      <c r="Q8" s="3">
        <f>Q7+Grid!Q8</f>
        <v>30000000.0</v>
      </c>
      <c r="R8" s="3">
        <f>R7+Grid!R8</f>
        <v>5000000.0</v>
      </c>
      <c r="S8" s="3">
        <f>SUM(C8:R8)</f>
        <v>82500000.0</v>
      </c>
      <c r="T8" s="9">
        <f>S8/Inputs!$B$4</f>
        <v>0.0825</v>
      </c>
    </row>
    <row r="9">
      <c r="A9" t="n">
        <v>4</v>
      </c>
      <c r="B9" s="4">
        <f>Grid!B9</f>
        <v>46767.0</v>
      </c>
      <c r="C9" s="3">
        <f>C8+Grid!C9</f>
        <v>0.0</v>
      </c>
      <c r="D9" s="3">
        <f>D8+Grid!D9</f>
        <v>0.0</v>
      </c>
      <c r="E9" s="3">
        <f>E8+Grid!E9</f>
        <v>0.0</v>
      </c>
      <c r="F9" s="3">
        <f>F8+Grid!F9</f>
        <v>0.0</v>
      </c>
      <c r="G9" s="3">
        <f>G8+Grid!G9</f>
        <v>0.0</v>
      </c>
      <c r="H9" s="3">
        <f>H8+Grid!H9</f>
        <v>0.0</v>
      </c>
      <c r="I9" s="3">
        <f>I8+Grid!I9</f>
        <v>0.0</v>
      </c>
      <c r="J9" s="3">
        <f>J8+Grid!J9</f>
        <v>0.0</v>
      </c>
      <c r="K9" s="3">
        <f>K8+Grid!K9</f>
        <v>0.0</v>
      </c>
      <c r="L9" s="3">
        <f>L8+Grid!L9</f>
        <v>4000000.0</v>
      </c>
      <c r="M9" s="3">
        <f>M8+Grid!M9</f>
        <v>47333333.33333334</v>
      </c>
      <c r="N9" s="3">
        <f>N8+Grid!N9</f>
        <v>1000000.0</v>
      </c>
      <c r="O9" s="3">
        <f>O8+Grid!O9</f>
        <v>1000000.0</v>
      </c>
      <c r="P9" s="3">
        <f>P8+Grid!P9</f>
        <v>0.0</v>
      </c>
      <c r="Q9" s="3">
        <f>Q8+Grid!Q9</f>
        <v>30000000.0</v>
      </c>
      <c r="R9" s="3">
        <f>R8+Grid!R9</f>
        <v>5000000.0</v>
      </c>
      <c r="S9" s="3">
        <f>SUM(C9:R9)</f>
        <v>88333333.33333334</v>
      </c>
      <c r="T9" s="9">
        <f>S9/Inputs!$B$4</f>
        <v>0.0883333333</v>
      </c>
    </row>
    <row r="10">
      <c r="A10" t="n">
        <v>5</v>
      </c>
      <c r="B10" s="4">
        <f>Grid!B10</f>
        <v>46798.0</v>
      </c>
      <c r="C10" s="3">
        <f>C9+Grid!C10</f>
        <v>0.0</v>
      </c>
      <c r="D10" s="3">
        <f>D9+Grid!D10</f>
        <v>0.0</v>
      </c>
      <c r="E10" s="3">
        <f>E9+Grid!E10</f>
        <v>0.0</v>
      </c>
      <c r="F10" s="3">
        <f>F9+Grid!F10</f>
        <v>0.0</v>
      </c>
      <c r="G10" s="3">
        <f>G9+Grid!G10</f>
        <v>0.0</v>
      </c>
      <c r="H10" s="3">
        <f>H9+Grid!H10</f>
        <v>0.0</v>
      </c>
      <c r="I10" s="3">
        <f>I9+Grid!I10</f>
        <v>0.0</v>
      </c>
      <c r="J10" s="3">
        <f>J9+Grid!J10</f>
        <v>0.0</v>
      </c>
      <c r="K10" s="3">
        <f>K9+Grid!K10</f>
        <v>0.0</v>
      </c>
      <c r="L10" s="3">
        <f>L9+Grid!L10</f>
        <v>8000000.0</v>
      </c>
      <c r="M10" s="3">
        <f>M9+Grid!M10</f>
        <v>49166666.66666668</v>
      </c>
      <c r="N10" s="3">
        <f>N9+Grid!N10</f>
        <v>1000000.0</v>
      </c>
      <c r="O10" s="3">
        <f>O9+Grid!O10</f>
        <v>1000000.0</v>
      </c>
      <c r="P10" s="3">
        <f>P9+Grid!P10</f>
        <v>0.0</v>
      </c>
      <c r="Q10" s="3">
        <f>Q9+Grid!Q10</f>
        <v>30000000.0</v>
      </c>
      <c r="R10" s="3">
        <f>R9+Grid!R10</f>
        <v>5000000.0</v>
      </c>
      <c r="S10" s="3">
        <f>SUM(C10:R10)</f>
        <v>94166666.66666669</v>
      </c>
      <c r="T10" s="9">
        <f>S10/Inputs!$B$4</f>
        <v>0.0941666667</v>
      </c>
    </row>
    <row r="11">
      <c r="A11" t="n">
        <v>6</v>
      </c>
      <c r="B11" s="4">
        <f>Grid!B11</f>
        <v>46827.0</v>
      </c>
      <c r="C11" s="3">
        <f>C10+Grid!C11</f>
        <v>0.0</v>
      </c>
      <c r="D11" s="3">
        <f>D10+Grid!D11</f>
        <v>0.0</v>
      </c>
      <c r="E11" s="3">
        <f>E10+Grid!E11</f>
        <v>0.0</v>
      </c>
      <c r="F11" s="3">
        <f>F10+Grid!F11</f>
        <v>0.0</v>
      </c>
      <c r="G11" s="3">
        <f>G10+Grid!G11</f>
        <v>0.0</v>
      </c>
      <c r="H11" s="3">
        <f>H10+Grid!H11</f>
        <v>0.0</v>
      </c>
      <c r="I11" s="3">
        <f>I10+Grid!I11</f>
        <v>0.0</v>
      </c>
      <c r="J11" s="3">
        <f>J10+Grid!J11</f>
        <v>0.0</v>
      </c>
      <c r="K11" s="3">
        <f>K10+Grid!K11</f>
        <v>0.0</v>
      </c>
      <c r="L11" s="3">
        <f>L10+Grid!L11</f>
        <v>12000000.0</v>
      </c>
      <c r="M11" s="3">
        <f>M10+Grid!M11</f>
        <v>51000000.000000015</v>
      </c>
      <c r="N11" s="3">
        <f>N10+Grid!N11</f>
        <v>1000000.0</v>
      </c>
      <c r="O11" s="3">
        <f>O10+Grid!O11</f>
        <v>1000000.0</v>
      </c>
      <c r="P11" s="3">
        <f>P10+Grid!P11</f>
        <v>0.0</v>
      </c>
      <c r="Q11" s="3">
        <f>Q10+Grid!Q11</f>
        <v>30000000.0</v>
      </c>
      <c r="R11" s="3">
        <f>R10+Grid!R11</f>
        <v>5000000.0</v>
      </c>
      <c r="S11" s="3">
        <f>SUM(C11:R11)</f>
        <v>100000000.00000001</v>
      </c>
      <c r="T11" s="9">
        <f>S11/Inputs!$B$4</f>
        <v>0.1</v>
      </c>
    </row>
    <row r="12">
      <c r="A12" t="n">
        <v>7</v>
      </c>
      <c r="B12" s="4">
        <f>Grid!B12</f>
        <v>46858.0</v>
      </c>
      <c r="C12" s="3">
        <f>C11+Grid!C12</f>
        <v>0.0</v>
      </c>
      <c r="D12" s="3">
        <f>D11+Grid!D12</f>
        <v>0.0</v>
      </c>
      <c r="E12" s="3">
        <f>E11+Grid!E12</f>
        <v>0.0</v>
      </c>
      <c r="F12" s="3">
        <f>F11+Grid!F12</f>
        <v>0.0</v>
      </c>
      <c r="G12" s="3">
        <f>G11+Grid!G12</f>
        <v>0.0</v>
      </c>
      <c r="H12" s="3">
        <f>H11+Grid!H12</f>
        <v>0.0</v>
      </c>
      <c r="I12" s="3">
        <f>I11+Grid!I12</f>
        <v>0.0</v>
      </c>
      <c r="J12" s="3">
        <f>J11+Grid!J12</f>
        <v>0.0</v>
      </c>
      <c r="K12" s="3">
        <f>K11+Grid!K12</f>
        <v>0.0</v>
      </c>
      <c r="L12" s="3">
        <f>L11+Grid!L12</f>
        <v>16000000.0</v>
      </c>
      <c r="M12" s="3">
        <f>M11+Grid!M12</f>
        <v>52833333.33333335</v>
      </c>
      <c r="N12" s="3">
        <f>N11+Grid!N12</f>
        <v>2633333.333333333</v>
      </c>
      <c r="O12" s="3">
        <f>O11+Grid!O12</f>
        <v>1000000.0</v>
      </c>
      <c r="P12" s="3">
        <f>P11+Grid!P12</f>
        <v>0.0</v>
      </c>
      <c r="Q12" s="3">
        <f>Q11+Grid!Q12</f>
        <v>30000000.0</v>
      </c>
      <c r="R12" s="3">
        <f>R11+Grid!R12</f>
        <v>5000000.0</v>
      </c>
      <c r="S12" s="3">
        <f>SUM(C12:R12)</f>
        <v>107466666.66666669</v>
      </c>
      <c r="T12" s="9">
        <f>S12/Inputs!$B$4</f>
        <v>0.1074666667</v>
      </c>
    </row>
    <row r="13">
      <c r="A13" t="n">
        <v>8</v>
      </c>
      <c r="B13" s="4">
        <f>Grid!B13</f>
        <v>46888.0</v>
      </c>
      <c r="C13" s="3">
        <f>C12+Grid!C13</f>
        <v>0.0</v>
      </c>
      <c r="D13" s="3">
        <f>D12+Grid!D13</f>
        <v>0.0</v>
      </c>
      <c r="E13" s="3">
        <f>E12+Grid!E13</f>
        <v>0.0</v>
      </c>
      <c r="F13" s="3">
        <f>F12+Grid!F13</f>
        <v>0.0</v>
      </c>
      <c r="G13" s="3">
        <f>G12+Grid!G13</f>
        <v>0.0</v>
      </c>
      <c r="H13" s="3">
        <f>H12+Grid!H13</f>
        <v>0.0</v>
      </c>
      <c r="I13" s="3">
        <f>I12+Grid!I13</f>
        <v>0.0</v>
      </c>
      <c r="J13" s="3">
        <f>J12+Grid!J13</f>
        <v>0.0</v>
      </c>
      <c r="K13" s="3">
        <f>K12+Grid!K13</f>
        <v>0.0</v>
      </c>
      <c r="L13" s="3">
        <f>L12+Grid!L13</f>
        <v>20000000.0</v>
      </c>
      <c r="M13" s="3">
        <f>M12+Grid!M13</f>
        <v>54666666.66666669</v>
      </c>
      <c r="N13" s="3">
        <f>N12+Grid!N13</f>
        <v>4266666.666666666</v>
      </c>
      <c r="O13" s="3">
        <f>O12+Grid!O13</f>
        <v>1000000.0</v>
      </c>
      <c r="P13" s="3">
        <f>P12+Grid!P13</f>
        <v>0.0</v>
      </c>
      <c r="Q13" s="3">
        <f>Q12+Grid!Q13</f>
        <v>30000000.0</v>
      </c>
      <c r="R13" s="3">
        <f>R12+Grid!R13</f>
        <v>5000000.0</v>
      </c>
      <c r="S13" s="3">
        <f>SUM(C13:R13)</f>
        <v>114933333.33333334</v>
      </c>
      <c r="T13" s="9">
        <f>S13/Inputs!$B$4</f>
        <v>0.1149333333</v>
      </c>
    </row>
    <row r="14">
      <c r="A14" t="n">
        <v>9</v>
      </c>
      <c r="B14" s="4">
        <f>Grid!B14</f>
        <v>46919.0</v>
      </c>
      <c r="C14" s="3">
        <f>C13+Grid!C14</f>
        <v>0.0</v>
      </c>
      <c r="D14" s="3">
        <f>D13+Grid!D14</f>
        <v>0.0</v>
      </c>
      <c r="E14" s="3">
        <f>E13+Grid!E14</f>
        <v>0.0</v>
      </c>
      <c r="F14" s="3">
        <f>F13+Grid!F14</f>
        <v>0.0</v>
      </c>
      <c r="G14" s="3">
        <f>G13+Grid!G14</f>
        <v>0.0</v>
      </c>
      <c r="H14" s="3">
        <f>H13+Grid!H14</f>
        <v>0.0</v>
      </c>
      <c r="I14" s="3">
        <f>I13+Grid!I14</f>
        <v>0.0</v>
      </c>
      <c r="J14" s="3">
        <f>J13+Grid!J14</f>
        <v>0.0</v>
      </c>
      <c r="K14" s="3">
        <f>K13+Grid!K14</f>
        <v>0.0</v>
      </c>
      <c r="L14" s="3">
        <f>L13+Grid!L14</f>
        <v>24000000.0</v>
      </c>
      <c r="M14" s="3">
        <f>M13+Grid!M14</f>
        <v>56500000.00000002</v>
      </c>
      <c r="N14" s="3">
        <f>N13+Grid!N14</f>
        <v>5899999.999999999</v>
      </c>
      <c r="O14" s="3">
        <f>O13+Grid!O14</f>
        <v>1000000.0</v>
      </c>
      <c r="P14" s="3">
        <f>P13+Grid!P14</f>
        <v>0.0</v>
      </c>
      <c r="Q14" s="3">
        <f>Q13+Grid!Q14</f>
        <v>30000000.0</v>
      </c>
      <c r="R14" s="3">
        <f>R13+Grid!R14</f>
        <v>5000000.0</v>
      </c>
      <c r="S14" s="3">
        <f>SUM(C14:R14)</f>
        <v>122400000.00000003</v>
      </c>
      <c r="T14" s="9">
        <f>S14/Inputs!$B$4</f>
        <v>0.1224</v>
      </c>
    </row>
    <row r="15">
      <c r="A15" t="n">
        <v>10</v>
      </c>
      <c r="B15" s="4">
        <f>Grid!B15</f>
        <v>46949.0</v>
      </c>
      <c r="C15" s="3">
        <f>C14+Grid!C15</f>
        <v>0.0</v>
      </c>
      <c r="D15" s="3">
        <f>D14+Grid!D15</f>
        <v>0.0</v>
      </c>
      <c r="E15" s="3">
        <f>E14+Grid!E15</f>
        <v>0.0</v>
      </c>
      <c r="F15" s="3">
        <f>F14+Grid!F15</f>
        <v>0.0</v>
      </c>
      <c r="G15" s="3">
        <f>G14+Grid!G15</f>
        <v>0.0</v>
      </c>
      <c r="H15" s="3">
        <f>H14+Grid!H15</f>
        <v>0.0</v>
      </c>
      <c r="I15" s="3">
        <f>I14+Grid!I15</f>
        <v>0.0</v>
      </c>
      <c r="J15" s="3">
        <f>J14+Grid!J15</f>
        <v>0.0</v>
      </c>
      <c r="K15" s="3">
        <f>K14+Grid!K15</f>
        <v>0.0</v>
      </c>
      <c r="L15" s="3">
        <f>L14+Grid!L15</f>
        <v>28000000.0</v>
      </c>
      <c r="M15" s="3">
        <f>M14+Grid!M15</f>
        <v>58333333.33333336</v>
      </c>
      <c r="N15" s="3">
        <f>N14+Grid!N15</f>
        <v>7533333.333333332</v>
      </c>
      <c r="O15" s="3">
        <f>O14+Grid!O15</f>
        <v>1000000.0</v>
      </c>
      <c r="P15" s="3">
        <f>P14+Grid!P15</f>
        <v>0.0</v>
      </c>
      <c r="Q15" s="3">
        <f>Q14+Grid!Q15</f>
        <v>30000000.0</v>
      </c>
      <c r="R15" s="3">
        <f>R14+Grid!R15</f>
        <v>5000000.0</v>
      </c>
      <c r="S15" s="3">
        <f>SUM(C15:R15)</f>
        <v>129866666.66666669</v>
      </c>
      <c r="T15" s="9">
        <f>S15/Inputs!$B$4</f>
        <v>0.1298666667</v>
      </c>
    </row>
    <row r="16">
      <c r="A16" t="n">
        <v>11</v>
      </c>
      <c r="B16" s="4">
        <f>Grid!B16</f>
        <v>46980.0</v>
      </c>
      <c r="C16" s="3">
        <f>C15+Grid!C16</f>
        <v>0.0</v>
      </c>
      <c r="D16" s="3">
        <f>D15+Grid!D16</f>
        <v>0.0</v>
      </c>
      <c r="E16" s="3">
        <f>E15+Grid!E16</f>
        <v>0.0</v>
      </c>
      <c r="F16" s="3">
        <f>F15+Grid!F16</f>
        <v>0.0</v>
      </c>
      <c r="G16" s="3">
        <f>G15+Grid!G16</f>
        <v>0.0</v>
      </c>
      <c r="H16" s="3">
        <f>H15+Grid!H16</f>
        <v>0.0</v>
      </c>
      <c r="I16" s="3">
        <f>I15+Grid!I16</f>
        <v>0.0</v>
      </c>
      <c r="J16" s="3">
        <f>J15+Grid!J16</f>
        <v>0.0</v>
      </c>
      <c r="K16" s="3">
        <f>K15+Grid!K16</f>
        <v>0.0</v>
      </c>
      <c r="L16" s="3">
        <f>L15+Grid!L16</f>
        <v>32000000.0</v>
      </c>
      <c r="M16" s="3">
        <f>M15+Grid!M16</f>
        <v>60166666.666666694</v>
      </c>
      <c r="N16" s="3">
        <f>N15+Grid!N16</f>
        <v>9166666.666666666</v>
      </c>
      <c r="O16" s="3">
        <f>O15+Grid!O16</f>
        <v>1000000.0</v>
      </c>
      <c r="P16" s="3">
        <f>P15+Grid!P16</f>
        <v>0.0</v>
      </c>
      <c r="Q16" s="3">
        <f>Q15+Grid!Q16</f>
        <v>30000000.0</v>
      </c>
      <c r="R16" s="3">
        <f>R15+Grid!R16</f>
        <v>5000000.0</v>
      </c>
      <c r="S16" s="3">
        <f>SUM(C16:R16)</f>
        <v>137333333.33333337</v>
      </c>
      <c r="T16" s="9">
        <f>S16/Inputs!$B$4</f>
        <v>0.1373333333</v>
      </c>
    </row>
    <row r="17">
      <c r="A17" t="n">
        <v>12</v>
      </c>
      <c r="B17" s="4">
        <f>Grid!B17</f>
        <v>47011.0</v>
      </c>
      <c r="C17" s="3">
        <f>C16+Grid!C17</f>
        <v>0.0</v>
      </c>
      <c r="D17" s="3">
        <f>D16+Grid!D17</f>
        <v>0.0</v>
      </c>
      <c r="E17" s="3">
        <f>E16+Grid!E17</f>
        <v>0.0</v>
      </c>
      <c r="F17" s="3">
        <f>F16+Grid!F17</f>
        <v>0.0</v>
      </c>
      <c r="G17" s="3">
        <f>G16+Grid!G17</f>
        <v>0.0</v>
      </c>
      <c r="H17" s="3">
        <f>H16+Grid!H17</f>
        <v>0.0</v>
      </c>
      <c r="I17" s="3">
        <f>I16+Grid!I17</f>
        <v>0.0</v>
      </c>
      <c r="J17" s="3">
        <f>J16+Grid!J17</f>
        <v>0.0</v>
      </c>
      <c r="K17" s="3">
        <f>K16+Grid!K17</f>
        <v>0.0</v>
      </c>
      <c r="L17" s="3">
        <f>L16+Grid!L17</f>
        <v>36000000.0</v>
      </c>
      <c r="M17" s="3">
        <f>M16+Grid!M17</f>
        <v>62000000.00000003</v>
      </c>
      <c r="N17" s="3">
        <f>N16+Grid!N17</f>
        <v>10800000.0</v>
      </c>
      <c r="O17" s="3">
        <f>O16+Grid!O17</f>
        <v>1000000.0</v>
      </c>
      <c r="P17" s="3">
        <f>P16+Grid!P17</f>
        <v>0.0</v>
      </c>
      <c r="Q17" s="3">
        <f>Q16+Grid!Q17</f>
        <v>30000000.0</v>
      </c>
      <c r="R17" s="3">
        <f>R16+Grid!R17</f>
        <v>5000000.0</v>
      </c>
      <c r="S17" s="3">
        <f>SUM(C17:R17)</f>
        <v>144800000.00000003</v>
      </c>
      <c r="T17" s="9">
        <f>S17/Inputs!$B$4</f>
        <v>0.1448</v>
      </c>
    </row>
    <row r="18">
      <c r="A18" t="n">
        <v>13</v>
      </c>
      <c r="B18" s="4">
        <f>Grid!B18</f>
        <v>47041.0</v>
      </c>
      <c r="C18" s="3">
        <f>C17+Grid!C18</f>
        <v>215237.401375325</v>
      </c>
      <c r="D18" s="3">
        <f>D17+Grid!D18</f>
        <v>568942.8418819729</v>
      </c>
      <c r="E18" s="3">
        <f>E17+Grid!E18</f>
        <v>341365.7051291833</v>
      </c>
      <c r="F18" s="3">
        <f>F17+Grid!F18</f>
        <v>227577.1367527896</v>
      </c>
      <c r="G18" s="3">
        <f>G17+Grid!G18</f>
        <v>227577.1367527896</v>
      </c>
      <c r="H18" s="3">
        <f>H17+Grid!H18</f>
        <v>227577.1367527896</v>
      </c>
      <c r="I18" s="3">
        <f>I17+Grid!I18</f>
        <v>227577.1367527896</v>
      </c>
      <c r="J18" s="3">
        <f>J17+Grid!J18</f>
        <v>47478.8379356935</v>
      </c>
      <c r="K18" s="3">
        <f>K17+Grid!K18</f>
        <v>8333333.333333333</v>
      </c>
      <c r="L18" s="3">
        <f>L17+Grid!L18</f>
        <v>39400000.0</v>
      </c>
      <c r="M18" s="3">
        <f>M17+Grid!M18</f>
        <v>63833333.333333366</v>
      </c>
      <c r="N18" s="3">
        <f>N17+Grid!N18</f>
        <v>12433333.333333334</v>
      </c>
      <c r="O18" s="3">
        <f>O17+Grid!O18</f>
        <v>2625000.0</v>
      </c>
      <c r="P18" s="3">
        <f>P17+Grid!P18</f>
        <v>0.0</v>
      </c>
      <c r="Q18" s="3">
        <f>Q17+Grid!Q18</f>
        <v>30000000.0</v>
      </c>
      <c r="R18" s="3">
        <f>R17+Grid!R18</f>
        <v>5000000.0</v>
      </c>
      <c r="S18" s="3">
        <f>SUM(C18:R18)</f>
        <v>163708333.33333337</v>
      </c>
      <c r="T18" s="9">
        <f>S18/Inputs!$B$4</f>
        <v>0.1637083333</v>
      </c>
    </row>
    <row r="19">
      <c r="A19" t="n">
        <v>14</v>
      </c>
      <c r="B19" s="4">
        <f>Grid!B19</f>
        <v>47072.0</v>
      </c>
      <c r="C19" s="3">
        <f>C18+Grid!C19</f>
        <v>430474.80275065</v>
      </c>
      <c r="D19" s="3">
        <f>D18+Grid!D19</f>
        <v>1137885.6837639457</v>
      </c>
      <c r="E19" s="3">
        <f>E18+Grid!E19</f>
        <v>682731.4102583666</v>
      </c>
      <c r="F19" s="3">
        <f>F18+Grid!F19</f>
        <v>455154.2735055792</v>
      </c>
      <c r="G19" s="3">
        <f>G18+Grid!G19</f>
        <v>455154.2735055792</v>
      </c>
      <c r="H19" s="3">
        <f>H18+Grid!H19</f>
        <v>455154.2735055792</v>
      </c>
      <c r="I19" s="3">
        <f>I18+Grid!I19</f>
        <v>455154.2735055792</v>
      </c>
      <c r="J19" s="3">
        <f>J18+Grid!J19</f>
        <v>94957.6758713871</v>
      </c>
      <c r="K19" s="3">
        <f>K18+Grid!K19</f>
        <v>16666666.666666666</v>
      </c>
      <c r="L19" s="3">
        <f>L18+Grid!L19</f>
        <v>42800000.0</v>
      </c>
      <c r="M19" s="3">
        <f>M18+Grid!M19</f>
        <v>65666666.6666667</v>
      </c>
      <c r="N19" s="3">
        <f>N18+Grid!N19</f>
        <v>14066666.666666668</v>
      </c>
      <c r="O19" s="3">
        <f>O18+Grid!O19</f>
        <v>4250000.0</v>
      </c>
      <c r="P19" s="3">
        <f>P18+Grid!P19</f>
        <v>2000000.0</v>
      </c>
      <c r="Q19" s="3">
        <f>Q18+Grid!Q19</f>
        <v>30000000.0</v>
      </c>
      <c r="R19" s="3">
        <f>R18+Grid!R19</f>
        <v>5000000.0</v>
      </c>
      <c r="S19" s="3">
        <f>SUM(C19:R19)</f>
        <v>184616666.66666672</v>
      </c>
      <c r="T19" s="9">
        <f>S19/Inputs!$B$4</f>
        <v>0.1846166667</v>
      </c>
    </row>
    <row r="20">
      <c r="A20" t="n">
        <v>15</v>
      </c>
      <c r="B20" s="4">
        <f>Grid!B20</f>
        <v>47102.0</v>
      </c>
      <c r="C20" s="3">
        <f>C19+Grid!C20</f>
        <v>645712.204125975</v>
      </c>
      <c r="D20" s="3">
        <f>D19+Grid!D20</f>
        <v>1706828.5256459187</v>
      </c>
      <c r="E20" s="3">
        <f>E19+Grid!E20</f>
        <v>1024097.1153875499</v>
      </c>
      <c r="F20" s="3">
        <f>F19+Grid!F20</f>
        <v>682731.4102583687</v>
      </c>
      <c r="G20" s="3">
        <f>G19+Grid!G20</f>
        <v>682731.4102583687</v>
      </c>
      <c r="H20" s="3">
        <f>H19+Grid!H20</f>
        <v>682731.4102583687</v>
      </c>
      <c r="I20" s="3">
        <f>I19+Grid!I20</f>
        <v>682731.4102583687</v>
      </c>
      <c r="J20" s="3">
        <f>J19+Grid!J20</f>
        <v>142436.5138070806</v>
      </c>
      <c r="K20" s="3">
        <f>K19+Grid!K20</f>
        <v>25000000.0</v>
      </c>
      <c r="L20" s="3">
        <f>L19+Grid!L20</f>
        <v>46200000.0</v>
      </c>
      <c r="M20" s="3">
        <f>M19+Grid!M20</f>
        <v>67500000.00000003</v>
      </c>
      <c r="N20" s="3">
        <f>N19+Grid!N20</f>
        <v>15700000.000000002</v>
      </c>
      <c r="O20" s="3">
        <f>O19+Grid!O20</f>
        <v>5875000.0</v>
      </c>
      <c r="P20" s="3">
        <f>P19+Grid!P20</f>
        <v>4000000.0</v>
      </c>
      <c r="Q20" s="3">
        <f>Q19+Grid!Q20</f>
        <v>30000000.0</v>
      </c>
      <c r="R20" s="3">
        <f>R19+Grid!R20</f>
        <v>5000000.0</v>
      </c>
      <c r="S20" s="3">
        <f>SUM(C20:R20)</f>
        <v>205525000.0</v>
      </c>
      <c r="T20" s="9">
        <f>S20/Inputs!$B$4</f>
        <v>0.205525</v>
      </c>
    </row>
    <row r="21">
      <c r="A21" t="n">
        <v>16</v>
      </c>
      <c r="B21" s="4">
        <f>Grid!B21</f>
        <v>47133.0</v>
      </c>
      <c r="C21" s="3">
        <f>C20+Grid!C21</f>
        <v>860949.6055013001</v>
      </c>
      <c r="D21" s="3">
        <f>D20+Grid!D21</f>
        <v>2275771.3675278914</v>
      </c>
      <c r="E21" s="3">
        <f>E20+Grid!E21</f>
        <v>1365462.8205167332</v>
      </c>
      <c r="F21" s="3">
        <f>F20+Grid!F21</f>
        <v>910308.5470111583</v>
      </c>
      <c r="G21" s="3">
        <f>G20+Grid!G21</f>
        <v>910308.5470111583</v>
      </c>
      <c r="H21" s="3">
        <f>H20+Grid!H21</f>
        <v>910308.5470111583</v>
      </c>
      <c r="I21" s="3">
        <f>I20+Grid!I21</f>
        <v>910308.5470111583</v>
      </c>
      <c r="J21" s="3">
        <f>J20+Grid!J21</f>
        <v>189915.3517427742</v>
      </c>
      <c r="K21" s="3">
        <f>K20+Grid!K21</f>
        <v>33333333.333333332</v>
      </c>
      <c r="L21" s="3">
        <f>L20+Grid!L21</f>
        <v>49600000.0</v>
      </c>
      <c r="M21" s="3">
        <f>M20+Grid!M21</f>
        <v>69333333.33333336</v>
      </c>
      <c r="N21" s="3">
        <f>N20+Grid!N21</f>
        <v>17333333.333333336</v>
      </c>
      <c r="O21" s="3">
        <f>O20+Grid!O21</f>
        <v>7500000.0</v>
      </c>
      <c r="P21" s="3">
        <f>P20+Grid!P21</f>
        <v>6000000.0</v>
      </c>
      <c r="Q21" s="3">
        <f>Q20+Grid!Q21</f>
        <v>30000000.0</v>
      </c>
      <c r="R21" s="3">
        <f>R20+Grid!R21</f>
        <v>5000000.0</v>
      </c>
      <c r="S21" s="3">
        <f>SUM(C21:R21)</f>
        <v>226433333.33333334</v>
      </c>
      <c r="T21" s="9">
        <f>S21/Inputs!$B$4</f>
        <v>0.2264333333</v>
      </c>
    </row>
    <row r="22">
      <c r="A22" t="n">
        <v>17</v>
      </c>
      <c r="B22" s="4">
        <f>Grid!B22</f>
        <v>47164.0</v>
      </c>
      <c r="C22" s="3">
        <f>C21+Grid!C22</f>
        <v>1076187.0068766251</v>
      </c>
      <c r="D22" s="3">
        <f>D21+Grid!D22</f>
        <v>2844714.209409864</v>
      </c>
      <c r="E22" s="3">
        <f>E21+Grid!E22</f>
        <v>1706828.5256459166</v>
      </c>
      <c r="F22" s="3">
        <f>F21+Grid!F22</f>
        <v>1137885.6837639478</v>
      </c>
      <c r="G22" s="3">
        <f>G21+Grid!G22</f>
        <v>1137885.6837639478</v>
      </c>
      <c r="H22" s="3">
        <f>H21+Grid!H22</f>
        <v>1137885.6837639478</v>
      </c>
      <c r="I22" s="3">
        <f>I21+Grid!I22</f>
        <v>1137885.6837639478</v>
      </c>
      <c r="J22" s="3">
        <f>J21+Grid!J22</f>
        <v>237394.1896784677</v>
      </c>
      <c r="K22" s="3">
        <f>K21+Grid!K22</f>
        <v>41666666.666666664</v>
      </c>
      <c r="L22" s="3">
        <f>L21+Grid!L22</f>
        <v>53000000.0</v>
      </c>
      <c r="M22" s="3">
        <f>M21+Grid!M22</f>
        <v>71166666.66666669</v>
      </c>
      <c r="N22" s="3">
        <f>N21+Grid!N22</f>
        <v>18966666.666666668</v>
      </c>
      <c r="O22" s="3">
        <f>O21+Grid!O22</f>
        <v>9125000.0</v>
      </c>
      <c r="P22" s="3">
        <f>P21+Grid!P22</f>
        <v>8000000.0</v>
      </c>
      <c r="Q22" s="3">
        <f>Q21+Grid!Q22</f>
        <v>30000000.0</v>
      </c>
      <c r="R22" s="3">
        <f>R21+Grid!R22</f>
        <v>5000000.0</v>
      </c>
      <c r="S22" s="3">
        <f>SUM(C22:R22)</f>
        <v>247341666.6666667</v>
      </c>
      <c r="T22" s="9">
        <f>S22/Inputs!$B$4</f>
        <v>0.2473416667</v>
      </c>
    </row>
    <row r="23">
      <c r="A23" t="n">
        <v>18</v>
      </c>
      <c r="B23" s="4">
        <f>Grid!B23</f>
        <v>47192.0</v>
      </c>
      <c r="C23" s="3">
        <f>C22+Grid!C23</f>
        <v>1291424.40825195</v>
      </c>
      <c r="D23" s="3">
        <f>D22+Grid!D23</f>
        <v>3413657.051291837</v>
      </c>
      <c r="E23" s="3">
        <f>E22+Grid!E23</f>
        <v>2048194.2307751</v>
      </c>
      <c r="F23" s="3">
        <f>F22+Grid!F23</f>
        <v>1365462.8205167374</v>
      </c>
      <c r="G23" s="3">
        <f>G22+Grid!G23</f>
        <v>1365462.8205167374</v>
      </c>
      <c r="H23" s="3">
        <f>H22+Grid!H23</f>
        <v>1365462.8205167374</v>
      </c>
      <c r="I23" s="3">
        <f>I22+Grid!I23</f>
        <v>1365462.8205167374</v>
      </c>
      <c r="J23" s="3">
        <f>J22+Grid!J23</f>
        <v>284873.0276141613</v>
      </c>
      <c r="K23" s="3">
        <f>K22+Grid!K23</f>
        <v>50000000.0</v>
      </c>
      <c r="L23" s="3">
        <f>L22+Grid!L23</f>
        <v>56400000.0</v>
      </c>
      <c r="M23" s="3">
        <f>M22+Grid!M23</f>
        <v>73000000.00000001</v>
      </c>
      <c r="N23" s="3">
        <f>N22+Grid!N23</f>
        <v>20600000.0</v>
      </c>
      <c r="O23" s="3">
        <f>O22+Grid!O23</f>
        <v>10750000.0</v>
      </c>
      <c r="P23" s="3">
        <f>P22+Grid!P23</f>
        <v>10000000.0</v>
      </c>
      <c r="Q23" s="3">
        <f>Q22+Grid!Q23</f>
        <v>30000000.0</v>
      </c>
      <c r="R23" s="3">
        <f>R22+Grid!R23</f>
        <v>5000000.0</v>
      </c>
      <c r="S23" s="3">
        <f>SUM(C23:R23)</f>
        <v>268250000.0</v>
      </c>
      <c r="T23" s="9">
        <f>S23/Inputs!$B$4</f>
        <v>0.26825</v>
      </c>
    </row>
    <row r="24">
      <c r="A24" t="n">
        <v>19</v>
      </c>
      <c r="B24" s="4">
        <f>Grid!B24</f>
        <v>47223.0</v>
      </c>
      <c r="C24" s="3">
        <f>C23+Grid!C24</f>
        <v>1506661.809627275</v>
      </c>
      <c r="D24" s="3">
        <f>D23+Grid!D24</f>
        <v>3982599.8931738096</v>
      </c>
      <c r="E24" s="3">
        <f>E23+Grid!E24</f>
        <v>2389559.935904283</v>
      </c>
      <c r="F24" s="3">
        <f>F23+Grid!F24</f>
        <v>1593039.957269527</v>
      </c>
      <c r="G24" s="3">
        <f>G23+Grid!G24</f>
        <v>1593039.957269527</v>
      </c>
      <c r="H24" s="3">
        <f>H23+Grid!H24</f>
        <v>1593039.957269527</v>
      </c>
      <c r="I24" s="3">
        <f>I23+Grid!I24</f>
        <v>1593039.957269527</v>
      </c>
      <c r="J24" s="3">
        <f>J23+Grid!J24</f>
        <v>332351.8655498548</v>
      </c>
      <c r="K24" s="3">
        <f>K23+Grid!K24</f>
        <v>58333333.333333336</v>
      </c>
      <c r="L24" s="3">
        <f>L23+Grid!L24</f>
        <v>59800000.0</v>
      </c>
      <c r="M24" s="3">
        <f>M23+Grid!M24</f>
        <v>74833333.33333334</v>
      </c>
      <c r="N24" s="3">
        <f>N23+Grid!N24</f>
        <v>22233333.333333332</v>
      </c>
      <c r="O24" s="3">
        <f>O23+Grid!O24</f>
        <v>12375000.0</v>
      </c>
      <c r="P24" s="3">
        <f>P23+Grid!P24</f>
        <v>12000000.0</v>
      </c>
      <c r="Q24" s="3">
        <f>Q23+Grid!Q24</f>
        <v>30000000.0</v>
      </c>
      <c r="R24" s="3">
        <f>R23+Grid!R24</f>
        <v>5000000.0</v>
      </c>
      <c r="S24" s="3">
        <f>SUM(C24:R24)</f>
        <v>289158333.3333334</v>
      </c>
      <c r="T24" s="9">
        <f>S24/Inputs!$B$4</f>
        <v>0.2891583333</v>
      </c>
    </row>
    <row r="25">
      <c r="A25" t="n">
        <v>20</v>
      </c>
      <c r="B25" s="4">
        <f>Grid!B25</f>
        <v>47253.0</v>
      </c>
      <c r="C25" s="3">
        <f>C24+Grid!C25</f>
        <v>1721899.2110026</v>
      </c>
      <c r="D25" s="3">
        <f>D24+Grid!D25</f>
        <v>4551542.735055783</v>
      </c>
      <c r="E25" s="3">
        <f>E24+Grid!E25</f>
        <v>2730925.6410334664</v>
      </c>
      <c r="F25" s="3">
        <f>F24+Grid!F25</f>
        <v>1820617.0940223166</v>
      </c>
      <c r="G25" s="3">
        <f>G24+Grid!G25</f>
        <v>1820617.0940223166</v>
      </c>
      <c r="H25" s="3">
        <f>H24+Grid!H25</f>
        <v>1820617.0940223166</v>
      </c>
      <c r="I25" s="3">
        <f>I24+Grid!I25</f>
        <v>1820617.0940223166</v>
      </c>
      <c r="J25" s="3">
        <f>J24+Grid!J25</f>
        <v>379830.7034855484</v>
      </c>
      <c r="K25" s="3">
        <f>K24+Grid!K25</f>
        <v>66666666.66666667</v>
      </c>
      <c r="L25" s="3">
        <f>L24+Grid!L25</f>
        <v>63200000.0</v>
      </c>
      <c r="M25" s="3">
        <f>M24+Grid!M25</f>
        <v>76666666.66666667</v>
      </c>
      <c r="N25" s="3">
        <f>N24+Grid!N25</f>
        <v>23866666.666666664</v>
      </c>
      <c r="O25" s="3">
        <f>O24+Grid!O25</f>
        <v>14000000.0</v>
      </c>
      <c r="P25" s="3">
        <f>P24+Grid!P25</f>
        <v>14000000.0</v>
      </c>
      <c r="Q25" s="3">
        <f>Q24+Grid!Q25</f>
        <v>30000000.0</v>
      </c>
      <c r="R25" s="3">
        <f>R24+Grid!R25</f>
        <v>5000000.0</v>
      </c>
      <c r="S25" s="3">
        <f>SUM(C25:R25)</f>
        <v>310066666.6666667</v>
      </c>
      <c r="T25" s="9">
        <f>S25/Inputs!$B$4</f>
        <v>0.3100666667</v>
      </c>
    </row>
    <row r="26">
      <c r="A26" t="n">
        <v>21</v>
      </c>
      <c r="B26" s="4">
        <f>Grid!B26</f>
        <v>47284.0</v>
      </c>
      <c r="C26" s="3">
        <f>C25+Grid!C26</f>
        <v>1937136.6123779248</v>
      </c>
      <c r="D26" s="3">
        <f>D25+Grid!D26</f>
        <v>5120485.576937756</v>
      </c>
      <c r="E26" s="3">
        <f>E25+Grid!E26</f>
        <v>3072291.34616265</v>
      </c>
      <c r="F26" s="3">
        <f>F25+Grid!F26</f>
        <v>2048194.2307751062</v>
      </c>
      <c r="G26" s="3">
        <f>G25+Grid!G26</f>
        <v>2048194.2307751062</v>
      </c>
      <c r="H26" s="3">
        <f>H25+Grid!H26</f>
        <v>2048194.2307751062</v>
      </c>
      <c r="I26" s="3">
        <f>I25+Grid!I26</f>
        <v>2048194.2307751062</v>
      </c>
      <c r="J26" s="3">
        <f>J25+Grid!J26</f>
        <v>427309.5414212419</v>
      </c>
      <c r="K26" s="3">
        <f>K25+Grid!K26</f>
        <v>75000000.0</v>
      </c>
      <c r="L26" s="3">
        <f>L25+Grid!L26</f>
        <v>66600000.0</v>
      </c>
      <c r="M26" s="3">
        <f>M25+Grid!M26</f>
        <v>78500000.0</v>
      </c>
      <c r="N26" s="3">
        <f>N25+Grid!N26</f>
        <v>25499999.999999996</v>
      </c>
      <c r="O26" s="3">
        <f>O25+Grid!O26</f>
        <v>15625000.0</v>
      </c>
      <c r="P26" s="3">
        <f>P25+Grid!P26</f>
        <v>16000000.0</v>
      </c>
      <c r="Q26" s="3">
        <f>Q25+Grid!Q26</f>
        <v>30000000.0</v>
      </c>
      <c r="R26" s="3">
        <f>R25+Grid!R26</f>
        <v>5000000.0</v>
      </c>
      <c r="S26" s="3">
        <f>SUM(C26:R26)</f>
        <v>330975000.0</v>
      </c>
      <c r="T26" s="9">
        <f>S26/Inputs!$B$4</f>
        <v>0.330975</v>
      </c>
    </row>
    <row r="27">
      <c r="A27" t="n">
        <v>22</v>
      </c>
      <c r="B27" s="4">
        <f>Grid!B27</f>
        <v>47314.0</v>
      </c>
      <c r="C27" s="3">
        <f>C26+Grid!C27</f>
        <v>2152374.01375325</v>
      </c>
      <c r="D27" s="3">
        <f>D26+Grid!D27</f>
        <v>5689428.418819728</v>
      </c>
      <c r="E27" s="3">
        <f>E26+Grid!E27</f>
        <v>3413657.051291833</v>
      </c>
      <c r="F27" s="3">
        <f>F26+Grid!F27</f>
        <v>2275771.3675278956</v>
      </c>
      <c r="G27" s="3">
        <f>G26+Grid!G27</f>
        <v>2275771.3675278956</v>
      </c>
      <c r="H27" s="3">
        <f>H26+Grid!H27</f>
        <v>2275771.3675278956</v>
      </c>
      <c r="I27" s="3">
        <f>I26+Grid!I27</f>
        <v>2275771.3675278956</v>
      </c>
      <c r="J27" s="3">
        <f>J26+Grid!J27</f>
        <v>474788.3793569355</v>
      </c>
      <c r="K27" s="3">
        <f>K26+Grid!K27</f>
        <v>83333333.33333333</v>
      </c>
      <c r="L27" s="3">
        <f>L26+Grid!L27</f>
        <v>70000000.0</v>
      </c>
      <c r="M27" s="3">
        <f>M26+Grid!M27</f>
        <v>80333333.33333333</v>
      </c>
      <c r="N27" s="3">
        <f>N26+Grid!N27</f>
        <v>27133333.33333333</v>
      </c>
      <c r="O27" s="3">
        <f>O26+Grid!O27</f>
        <v>17250000.0</v>
      </c>
      <c r="P27" s="3">
        <f>P26+Grid!P27</f>
        <v>18000000.0</v>
      </c>
      <c r="Q27" s="3">
        <f>Q26+Grid!Q27</f>
        <v>30000000.0</v>
      </c>
      <c r="R27" s="3">
        <f>R26+Grid!R27</f>
        <v>5000000.0</v>
      </c>
      <c r="S27" s="3">
        <f>SUM(C27:R27)</f>
        <v>351883333.3333333</v>
      </c>
      <c r="T27" s="9">
        <f>S27/Inputs!$B$4</f>
        <v>0.3518833333</v>
      </c>
    </row>
    <row r="28">
      <c r="A28" t="n">
        <v>23</v>
      </c>
      <c r="B28" s="4">
        <f>Grid!B28</f>
        <v>47345.0</v>
      </c>
      <c r="C28" s="3">
        <f>C27+Grid!C28</f>
        <v>2367611.4151285747</v>
      </c>
      <c r="D28" s="3">
        <f>D27+Grid!D28</f>
        <v>6258371.260701701</v>
      </c>
      <c r="E28" s="3">
        <f>E27+Grid!E28</f>
        <v>3755022.7564210165</v>
      </c>
      <c r="F28" s="3">
        <f>F27+Grid!F28</f>
        <v>2503348.504280685</v>
      </c>
      <c r="G28" s="3">
        <f>G27+Grid!G28</f>
        <v>2503348.504280685</v>
      </c>
      <c r="H28" s="3">
        <f>H27+Grid!H28</f>
        <v>2503348.504280685</v>
      </c>
      <c r="I28" s="3">
        <f>I27+Grid!I28</f>
        <v>2503348.504280685</v>
      </c>
      <c r="J28" s="3">
        <f>J27+Grid!J28</f>
        <v>522267.2172926291</v>
      </c>
      <c r="K28" s="3">
        <f>K27+Grid!K28</f>
        <v>91666666.66666666</v>
      </c>
      <c r="L28" s="3">
        <f>L27+Grid!L28</f>
        <v>73400000.0</v>
      </c>
      <c r="M28" s="3">
        <f>M27+Grid!M28</f>
        <v>82166666.66666666</v>
      </c>
      <c r="N28" s="3">
        <f>N27+Grid!N28</f>
        <v>28766666.66666666</v>
      </c>
      <c r="O28" s="3">
        <f>O27+Grid!O28</f>
        <v>18875000.0</v>
      </c>
      <c r="P28" s="3">
        <f>P27+Grid!P28</f>
        <v>20000000.0</v>
      </c>
      <c r="Q28" s="3">
        <f>Q27+Grid!Q28</f>
        <v>30000000.0</v>
      </c>
      <c r="R28" s="3">
        <f>R27+Grid!R28</f>
        <v>5000000.0</v>
      </c>
      <c r="S28" s="3">
        <f>SUM(C28:R28)</f>
        <v>372791666.6666666</v>
      </c>
      <c r="T28" s="9">
        <f>S28/Inputs!$B$4</f>
        <v>0.3727916667</v>
      </c>
    </row>
    <row r="29">
      <c r="A29" t="n">
        <v>24</v>
      </c>
      <c r="B29" s="4">
        <f>Grid!B29</f>
        <v>47376.0</v>
      </c>
      <c r="C29" s="3">
        <f>C28+Grid!C29</f>
        <v>2582848.8165038996</v>
      </c>
      <c r="D29" s="3">
        <f>D28+Grid!D29</f>
        <v>6827314.102583674</v>
      </c>
      <c r="E29" s="3">
        <f>E28+Grid!E29</f>
        <v>4096388.4615502</v>
      </c>
      <c r="F29" s="3">
        <f>F28+Grid!F29</f>
        <v>2730925.6410334744</v>
      </c>
      <c r="G29" s="3">
        <f>G28+Grid!G29</f>
        <v>2730925.6410334744</v>
      </c>
      <c r="H29" s="3">
        <f>H28+Grid!H29</f>
        <v>2730925.6410334744</v>
      </c>
      <c r="I29" s="3">
        <f>I28+Grid!I29</f>
        <v>2730925.6410334744</v>
      </c>
      <c r="J29" s="3">
        <f>J28+Grid!J29</f>
        <v>569746.0552283226</v>
      </c>
      <c r="K29" s="3">
        <f>K28+Grid!K29</f>
        <v>99999999.99999999</v>
      </c>
      <c r="L29" s="3">
        <f>L28+Grid!L29</f>
        <v>76800000.0</v>
      </c>
      <c r="M29" s="3">
        <f>M28+Grid!M29</f>
        <v>83999999.99999999</v>
      </c>
      <c r="N29" s="3">
        <f>N28+Grid!N29</f>
        <v>30399999.999999993</v>
      </c>
      <c r="O29" s="3">
        <f>O28+Grid!O29</f>
        <v>20500000.0</v>
      </c>
      <c r="P29" s="3">
        <f>P28+Grid!P29</f>
        <v>22000000.0</v>
      </c>
      <c r="Q29" s="3">
        <f>Q28+Grid!Q29</f>
        <v>30000000.0</v>
      </c>
      <c r="R29" s="3">
        <f>R28+Grid!R29</f>
        <v>5000000.0</v>
      </c>
      <c r="S29" s="3">
        <f>SUM(C29:R29)</f>
        <v>393700000.0</v>
      </c>
      <c r="T29" s="9">
        <f>S29/Inputs!$B$4</f>
        <v>0.3937</v>
      </c>
    </row>
    <row r="30">
      <c r="A30" t="n">
        <v>25</v>
      </c>
      <c r="B30" s="4">
        <f>Grid!B30</f>
        <v>47406.0</v>
      </c>
      <c r="C30" s="3">
        <f>C29+Grid!C30</f>
        <v>2798086.2178792246</v>
      </c>
      <c r="D30" s="3">
        <f>D29+Grid!D30</f>
        <v>7396256.9444656465</v>
      </c>
      <c r="E30" s="3">
        <f>E29+Grid!E30</f>
        <v>4437754.166679383</v>
      </c>
      <c r="F30" s="3">
        <f>F29+Grid!F30</f>
        <v>2958502.7777862637</v>
      </c>
      <c r="G30" s="3">
        <f>G29+Grid!G30</f>
        <v>2958502.7777862637</v>
      </c>
      <c r="H30" s="3">
        <f>H29+Grid!H30</f>
        <v>2958502.7777862637</v>
      </c>
      <c r="I30" s="3">
        <f>I29+Grid!I30</f>
        <v>2958502.7777862637</v>
      </c>
      <c r="J30" s="3">
        <f>J29+Grid!J30</f>
        <v>617224.8931640162</v>
      </c>
      <c r="K30" s="3">
        <f>K29+Grid!K30</f>
        <v>108333333.33333331</v>
      </c>
      <c r="L30" s="3">
        <f>L29+Grid!L30</f>
        <v>79690000.0</v>
      </c>
      <c r="M30" s="3">
        <f>M29+Grid!M30</f>
        <v>85833333.33333331</v>
      </c>
      <c r="N30" s="3">
        <f>N29+Grid!N30</f>
        <v>32033333.333333325</v>
      </c>
      <c r="O30" s="3">
        <f>O29+Grid!O30</f>
        <v>22125000.0</v>
      </c>
      <c r="P30" s="3">
        <f>P29+Grid!P30</f>
        <v>24000000.0</v>
      </c>
      <c r="Q30" s="3">
        <f>Q29+Grid!Q30</f>
        <v>30000000.0</v>
      </c>
      <c r="R30" s="3">
        <f>R29+Grid!R30</f>
        <v>5000000.0</v>
      </c>
      <c r="S30" s="3">
        <f>SUM(C30:R30)</f>
        <v>414098333.33333325</v>
      </c>
      <c r="T30" s="9">
        <f>S30/Inputs!$B$4</f>
        <v>0.4140983333</v>
      </c>
    </row>
    <row r="31">
      <c r="A31" t="n">
        <v>26</v>
      </c>
      <c r="B31" s="4">
        <f>Grid!B31</f>
        <v>47437.0</v>
      </c>
      <c r="C31" s="3">
        <f>C30+Grid!C31</f>
        <v>3013323.6192545495</v>
      </c>
      <c r="D31" s="3">
        <f>D30+Grid!D31</f>
        <v>7965199.786347619</v>
      </c>
      <c r="E31" s="3">
        <f>E30+Grid!E31</f>
        <v>4779119.871808566</v>
      </c>
      <c r="F31" s="3">
        <f>F30+Grid!F31</f>
        <v>3186079.914539053</v>
      </c>
      <c r="G31" s="3">
        <f>G30+Grid!G31</f>
        <v>3186079.914539053</v>
      </c>
      <c r="H31" s="3">
        <f>H30+Grid!H31</f>
        <v>3186079.914539053</v>
      </c>
      <c r="I31" s="3">
        <f>I30+Grid!I31</f>
        <v>3186079.914539053</v>
      </c>
      <c r="J31" s="3">
        <f>J30+Grid!J31</f>
        <v>664703.7310997098</v>
      </c>
      <c r="K31" s="3">
        <f>K30+Grid!K31</f>
        <v>116666666.66666664</v>
      </c>
      <c r="L31" s="3">
        <f>L30+Grid!L31</f>
        <v>82580000.0</v>
      </c>
      <c r="M31" s="3">
        <f>M30+Grid!M31</f>
        <v>87666666.66666664</v>
      </c>
      <c r="N31" s="3">
        <f>N30+Grid!N31</f>
        <v>33666666.66666666</v>
      </c>
      <c r="O31" s="3">
        <f>O30+Grid!O31</f>
        <v>23750000.0</v>
      </c>
      <c r="P31" s="3">
        <f>P30+Grid!P31</f>
        <v>26000000.0</v>
      </c>
      <c r="Q31" s="3">
        <f>Q30+Grid!Q31</f>
        <v>30000000.0</v>
      </c>
      <c r="R31" s="3">
        <f>R30+Grid!R31</f>
        <v>5000000.0</v>
      </c>
      <c r="S31" s="3">
        <f>SUM(C31:R31)</f>
        <v>434496666.6666666</v>
      </c>
      <c r="T31" s="9">
        <f>S31/Inputs!$B$4</f>
        <v>0.4344966667</v>
      </c>
    </row>
    <row r="32">
      <c r="A32" t="n">
        <v>27</v>
      </c>
      <c r="B32" s="4">
        <f>Grid!B32</f>
        <v>47467.0</v>
      </c>
      <c r="C32" s="3">
        <f>C31+Grid!C32</f>
        <v>3228561.0206298744</v>
      </c>
      <c r="D32" s="3">
        <f>D31+Grid!D32</f>
        <v>8534142.628229592</v>
      </c>
      <c r="E32" s="3">
        <f>E31+Grid!E32</f>
        <v>5120485.576937749</v>
      </c>
      <c r="F32" s="3">
        <f>F31+Grid!F32</f>
        <v>3413657.0512918425</v>
      </c>
      <c r="G32" s="3">
        <f>G31+Grid!G32</f>
        <v>3413657.0512918425</v>
      </c>
      <c r="H32" s="3">
        <f>H31+Grid!H32</f>
        <v>3413657.0512918425</v>
      </c>
      <c r="I32" s="3">
        <f>I31+Grid!I32</f>
        <v>3413657.0512918425</v>
      </c>
      <c r="J32" s="3">
        <f>J31+Grid!J32</f>
        <v>712182.5690354033</v>
      </c>
      <c r="K32" s="3">
        <f>K31+Grid!K32</f>
        <v>124999999.99999997</v>
      </c>
      <c r="L32" s="3">
        <f>L31+Grid!L32</f>
        <v>85470000.0</v>
      </c>
      <c r="M32" s="3">
        <f>M31+Grid!M32</f>
        <v>89499999.99999997</v>
      </c>
      <c r="N32" s="3">
        <f>N31+Grid!N32</f>
        <v>35299999.99999999</v>
      </c>
      <c r="O32" s="3">
        <f>O31+Grid!O32</f>
        <v>25375000.0</v>
      </c>
      <c r="P32" s="3">
        <f>P31+Grid!P32</f>
        <v>28000000.0</v>
      </c>
      <c r="Q32" s="3">
        <f>Q31+Grid!Q32</f>
        <v>30000000.0</v>
      </c>
      <c r="R32" s="3">
        <f>R31+Grid!R32</f>
        <v>5000000.0</v>
      </c>
      <c r="S32" s="3">
        <f>SUM(C32:R32)</f>
        <v>454894999.99999994</v>
      </c>
      <c r="T32" s="9">
        <f>S32/Inputs!$B$4</f>
        <v>0.454895</v>
      </c>
    </row>
    <row r="33">
      <c r="A33" t="n">
        <v>28</v>
      </c>
      <c r="B33" s="4">
        <f>Grid!B33</f>
        <v>47498.0</v>
      </c>
      <c r="C33" s="3">
        <f>C32+Grid!C33</f>
        <v>3443798.4220051994</v>
      </c>
      <c r="D33" s="3">
        <f>D32+Grid!D33</f>
        <v>9103085.470111566</v>
      </c>
      <c r="E33" s="3">
        <f>E32+Grid!E33</f>
        <v>5461851.282066932</v>
      </c>
      <c r="F33" s="3">
        <f>F32+Grid!F33</f>
        <v>3641234.188044632</v>
      </c>
      <c r="G33" s="3">
        <f>G32+Grid!G33</f>
        <v>3641234.188044632</v>
      </c>
      <c r="H33" s="3">
        <f>H32+Grid!H33</f>
        <v>3641234.188044632</v>
      </c>
      <c r="I33" s="3">
        <f>I32+Grid!I33</f>
        <v>3641234.188044632</v>
      </c>
      <c r="J33" s="3">
        <f>J32+Grid!J33</f>
        <v>759661.4069710969</v>
      </c>
      <c r="K33" s="3">
        <f>K32+Grid!K33</f>
        <v>133333333.3333333</v>
      </c>
      <c r="L33" s="3">
        <f>L32+Grid!L33</f>
        <v>88360000.0</v>
      </c>
      <c r="M33" s="3">
        <f>M32+Grid!M33</f>
        <v>91333333.3333333</v>
      </c>
      <c r="N33" s="3">
        <f>N32+Grid!N33</f>
        <v>36933333.33333333</v>
      </c>
      <c r="O33" s="3">
        <f>O32+Grid!O33</f>
        <v>27000000.0</v>
      </c>
      <c r="P33" s="3">
        <f>P32+Grid!P33</f>
        <v>30000000.0</v>
      </c>
      <c r="Q33" s="3">
        <f>Q32+Grid!Q33</f>
        <v>30000000.0</v>
      </c>
      <c r="R33" s="3">
        <f>R32+Grid!R33</f>
        <v>5000000.0</v>
      </c>
      <c r="S33" s="3">
        <f>SUM(C33:R33)</f>
        <v>475293333.3333332</v>
      </c>
      <c r="T33" s="9">
        <f>S33/Inputs!$B$4</f>
        <v>0.4752933333</v>
      </c>
    </row>
    <row r="34">
      <c r="A34" t="n">
        <v>29</v>
      </c>
      <c r="B34" s="4">
        <f>Grid!B34</f>
        <v>47529.0</v>
      </c>
      <c r="C34" s="3">
        <f>C33+Grid!C34</f>
        <v>3659035.8233805243</v>
      </c>
      <c r="D34" s="3">
        <f>D33+Grid!D34</f>
        <v>9672028.31199354</v>
      </c>
      <c r="E34" s="3">
        <f>E33+Grid!E34</f>
        <v>5803216.987196115</v>
      </c>
      <c r="F34" s="3">
        <f>F33+Grid!F34</f>
        <v>3868811.324797421</v>
      </c>
      <c r="G34" s="3">
        <f>G33+Grid!G34</f>
        <v>3868811.324797421</v>
      </c>
      <c r="H34" s="3">
        <f>H33+Grid!H34</f>
        <v>3868811.324797421</v>
      </c>
      <c r="I34" s="3">
        <f>I33+Grid!I34</f>
        <v>3868811.324797421</v>
      </c>
      <c r="J34" s="3">
        <f>J33+Grid!J34</f>
        <v>807140.2449067904</v>
      </c>
      <c r="K34" s="3">
        <f>K33+Grid!K34</f>
        <v>141666666.66666663</v>
      </c>
      <c r="L34" s="3">
        <f>L33+Grid!L34</f>
        <v>91250000.0</v>
      </c>
      <c r="M34" s="3">
        <f>M33+Grid!M34</f>
        <v>93166666.66666663</v>
      </c>
      <c r="N34" s="3">
        <f>N33+Grid!N34</f>
        <v>38566666.666666664</v>
      </c>
      <c r="O34" s="3">
        <f>O33+Grid!O34</f>
        <v>28625000.0</v>
      </c>
      <c r="P34" s="3">
        <f>P33+Grid!P34</f>
        <v>32000000.0</v>
      </c>
      <c r="Q34" s="3">
        <f>Q33+Grid!Q34</f>
        <v>30000000.0</v>
      </c>
      <c r="R34" s="3">
        <f>R33+Grid!R34</f>
        <v>5000000.0</v>
      </c>
      <c r="S34" s="3">
        <f>SUM(C34:R34)</f>
        <v>495691666.6666666</v>
      </c>
      <c r="T34" s="9">
        <f>S34/Inputs!$B$4</f>
        <v>0.4956916667</v>
      </c>
    </row>
    <row r="35">
      <c r="A35" t="n">
        <v>30</v>
      </c>
      <c r="B35" s="4">
        <f>Grid!B35</f>
        <v>47557.0</v>
      </c>
      <c r="C35" s="3">
        <f>C34+Grid!C35</f>
        <v>3874273.224755849</v>
      </c>
      <c r="D35" s="3">
        <f>D34+Grid!D35</f>
        <v>10240971.153875513</v>
      </c>
      <c r="E35" s="3">
        <f>E34+Grid!E35</f>
        <v>6144582.692325298</v>
      </c>
      <c r="F35" s="3">
        <f>F34+Grid!F35</f>
        <v>4096388.4615502106</v>
      </c>
      <c r="G35" s="3">
        <f>G34+Grid!G35</f>
        <v>4096388.4615502106</v>
      </c>
      <c r="H35" s="3">
        <f>H34+Grid!H35</f>
        <v>4096388.4615502106</v>
      </c>
      <c r="I35" s="3">
        <f>I34+Grid!I35</f>
        <v>4096388.4615502106</v>
      </c>
      <c r="J35" s="3">
        <f>J34+Grid!J35</f>
        <v>854619.082842484</v>
      </c>
      <c r="K35" s="3">
        <f>K34+Grid!K35</f>
        <v>149999999.99999997</v>
      </c>
      <c r="L35" s="3">
        <f>L34+Grid!L35</f>
        <v>94140000.0</v>
      </c>
      <c r="M35" s="3">
        <f>M34+Grid!M35</f>
        <v>94999999.99999996</v>
      </c>
      <c r="N35" s="3">
        <f>N34+Grid!N35</f>
        <v>40200000.0</v>
      </c>
      <c r="O35" s="3">
        <f>O34+Grid!O35</f>
        <v>30250000.0</v>
      </c>
      <c r="P35" s="3">
        <f>P34+Grid!P35</f>
        <v>34000000.0</v>
      </c>
      <c r="Q35" s="3">
        <f>Q34+Grid!Q35</f>
        <v>30000000.0</v>
      </c>
      <c r="R35" s="3">
        <f>R34+Grid!R35</f>
        <v>5000000.0</v>
      </c>
      <c r="S35" s="3">
        <f>SUM(C35:R35)</f>
        <v>516089999.99999994</v>
      </c>
      <c r="T35" s="9">
        <f>S35/Inputs!$B$4</f>
        <v>0.51609</v>
      </c>
    </row>
    <row r="36">
      <c r="A36" t="n">
        <v>31</v>
      </c>
      <c r="B36" s="4">
        <f>Grid!B36</f>
        <v>47588.0</v>
      </c>
      <c r="C36" s="3">
        <f>C35+Grid!C36</f>
        <v>4089510.626131174</v>
      </c>
      <c r="D36" s="3">
        <f>D35+Grid!D36</f>
        <v>10809913.995757487</v>
      </c>
      <c r="E36" s="3">
        <f>E35+Grid!E36</f>
        <v>6485948.397454481</v>
      </c>
      <c r="F36" s="3">
        <f>F35+Grid!F36</f>
        <v>4323965.598303</v>
      </c>
      <c r="G36" s="3">
        <f>G35+Grid!G36</f>
        <v>4323965.598303</v>
      </c>
      <c r="H36" s="3">
        <f>H35+Grid!H36</f>
        <v>4323965.598303</v>
      </c>
      <c r="I36" s="3">
        <f>I35+Grid!I36</f>
        <v>4323965.598303</v>
      </c>
      <c r="J36" s="3">
        <f>J35+Grid!J36</f>
        <v>902097.9207781776</v>
      </c>
      <c r="K36" s="3">
        <f>K35+Grid!K36</f>
        <v>158333333.3333333</v>
      </c>
      <c r="L36" s="3">
        <f>L35+Grid!L36</f>
        <v>97030000.0</v>
      </c>
      <c r="M36" s="3">
        <f>M35+Grid!M36</f>
        <v>94999999.99999996</v>
      </c>
      <c r="N36" s="3">
        <f>N35+Grid!N36</f>
        <v>41833333.333333336</v>
      </c>
      <c r="O36" s="3">
        <f>O35+Grid!O36</f>
        <v>31875000.0</v>
      </c>
      <c r="P36" s="3">
        <f>P35+Grid!P36</f>
        <v>36000000.0</v>
      </c>
      <c r="Q36" s="3">
        <f>Q35+Grid!Q36</f>
        <v>30000000.0</v>
      </c>
      <c r="R36" s="3">
        <f>R35+Grid!R36</f>
        <v>5000000.0</v>
      </c>
      <c r="S36" s="3">
        <f>SUM(C36:R36)</f>
        <v>534654999.99999994</v>
      </c>
      <c r="T36" s="9">
        <f>S36/Inputs!$B$4</f>
        <v>0.534655</v>
      </c>
    </row>
    <row r="37">
      <c r="A37" t="n">
        <v>32</v>
      </c>
      <c r="B37" s="4">
        <f>Grid!B37</f>
        <v>47618.0</v>
      </c>
      <c r="C37" s="3">
        <f>C36+Grid!C37</f>
        <v>4304748.0275065</v>
      </c>
      <c r="D37" s="3">
        <f>D36+Grid!D37</f>
        <v>11378856.83763946</v>
      </c>
      <c r="E37" s="3">
        <f>E36+Grid!E37</f>
        <v>6827314.102583664</v>
      </c>
      <c r="F37" s="3">
        <f>F36+Grid!F37</f>
        <v>4551542.73505579</v>
      </c>
      <c r="G37" s="3">
        <f>G36+Grid!G37</f>
        <v>4551542.73505579</v>
      </c>
      <c r="H37" s="3">
        <f>H36+Grid!H37</f>
        <v>4551542.73505579</v>
      </c>
      <c r="I37" s="3">
        <f>I36+Grid!I37</f>
        <v>4551542.73505579</v>
      </c>
      <c r="J37" s="3">
        <f>J36+Grid!J37</f>
        <v>949576.7587138711</v>
      </c>
      <c r="K37" s="3">
        <f>K36+Grid!K37</f>
        <v>166666666.66666666</v>
      </c>
      <c r="L37" s="3">
        <f>L36+Grid!L37</f>
        <v>99920000.0</v>
      </c>
      <c r="M37" s="3">
        <f>M36+Grid!M37</f>
        <v>94999999.99999996</v>
      </c>
      <c r="N37" s="3">
        <f>N36+Grid!N37</f>
        <v>43466666.66666667</v>
      </c>
      <c r="O37" s="3">
        <f>O36+Grid!O37</f>
        <v>33500000.0</v>
      </c>
      <c r="P37" s="3">
        <f>P36+Grid!P37</f>
        <v>38000000.0</v>
      </c>
      <c r="Q37" s="3">
        <f>Q36+Grid!Q37</f>
        <v>30000000.0</v>
      </c>
      <c r="R37" s="3">
        <f>R36+Grid!R37</f>
        <v>5000000.0</v>
      </c>
      <c r="S37" s="3">
        <f>SUM(C37:R37)</f>
        <v>553219999.9999999</v>
      </c>
      <c r="T37" s="9">
        <f>S37/Inputs!$B$4</f>
        <v>0.55322</v>
      </c>
    </row>
    <row r="38">
      <c r="A38" t="n">
        <v>33</v>
      </c>
      <c r="B38" s="4">
        <f>Grid!B38</f>
        <v>47649.0</v>
      </c>
      <c r="C38" s="3">
        <f>C37+Grid!C38</f>
        <v>4519985.428881825</v>
      </c>
      <c r="D38" s="3">
        <f>D37+Grid!D38</f>
        <v>11947799.679521434</v>
      </c>
      <c r="E38" s="3">
        <f>E37+Grid!E38</f>
        <v>7168679.807712846</v>
      </c>
      <c r="F38" s="3">
        <f>F37+Grid!F38</f>
        <v>4779119.87180858</v>
      </c>
      <c r="G38" s="3">
        <f>G37+Grid!G38</f>
        <v>4779119.87180858</v>
      </c>
      <c r="H38" s="3">
        <f>H37+Grid!H38</f>
        <v>4779119.87180858</v>
      </c>
      <c r="I38" s="3">
        <f>I37+Grid!I38</f>
        <v>4779119.87180858</v>
      </c>
      <c r="J38" s="3">
        <f>J37+Grid!J38</f>
        <v>997055.5966495647</v>
      </c>
      <c r="K38" s="3">
        <f>K37+Grid!K38</f>
        <v>175000000.0</v>
      </c>
      <c r="L38" s="3">
        <f>L37+Grid!L38</f>
        <v>102810000.0</v>
      </c>
      <c r="M38" s="3">
        <f>M37+Grid!M38</f>
        <v>94999999.99999996</v>
      </c>
      <c r="N38" s="3">
        <f>N37+Grid!N38</f>
        <v>45100000.00000001</v>
      </c>
      <c r="O38" s="3">
        <f>O37+Grid!O38</f>
        <v>35125000.0</v>
      </c>
      <c r="P38" s="3">
        <f>P37+Grid!P38</f>
        <v>40000000.0</v>
      </c>
      <c r="Q38" s="3">
        <f>Q37+Grid!Q38</f>
        <v>30000000.0</v>
      </c>
      <c r="R38" s="3">
        <f>R37+Grid!R38</f>
        <v>5000000.0</v>
      </c>
      <c r="S38" s="3">
        <f>SUM(C38:R38)</f>
        <v>571785000.0</v>
      </c>
      <c r="T38" s="9">
        <f>S38/Inputs!$B$4</f>
        <v>0.571785</v>
      </c>
    </row>
    <row r="39">
      <c r="A39" t="n">
        <v>34</v>
      </c>
      <c r="B39" s="4">
        <f>Grid!B39</f>
        <v>47679.0</v>
      </c>
      <c r="C39" s="3">
        <f>C38+Grid!C39</f>
        <v>4735222.83025715</v>
      </c>
      <c r="D39" s="3">
        <f>D38+Grid!D39</f>
        <v>12516742.521403408</v>
      </c>
      <c r="E39" s="3">
        <f>E38+Grid!E39</f>
        <v>7510045.512842029</v>
      </c>
      <c r="F39" s="3">
        <f>F38+Grid!F39</f>
        <v>5006697.00856137</v>
      </c>
      <c r="G39" s="3">
        <f>G38+Grid!G39</f>
        <v>5006697.00856137</v>
      </c>
      <c r="H39" s="3">
        <f>H38+Grid!H39</f>
        <v>5006697.00856137</v>
      </c>
      <c r="I39" s="3">
        <f>I38+Grid!I39</f>
        <v>5006697.00856137</v>
      </c>
      <c r="J39" s="3">
        <f>J38+Grid!J39</f>
        <v>1044534.4345852582</v>
      </c>
      <c r="K39" s="3">
        <f>K38+Grid!K39</f>
        <v>183333333.33333334</v>
      </c>
      <c r="L39" s="3">
        <f>L38+Grid!L39</f>
        <v>105700000.0</v>
      </c>
      <c r="M39" s="3">
        <f>M38+Grid!M39</f>
        <v>94999999.99999996</v>
      </c>
      <c r="N39" s="3">
        <f>N38+Grid!N39</f>
        <v>46733333.33333334</v>
      </c>
      <c r="O39" s="3">
        <f>O38+Grid!O39</f>
        <v>36750000.0</v>
      </c>
      <c r="P39" s="3">
        <f>P38+Grid!P39</f>
        <v>42000000.0</v>
      </c>
      <c r="Q39" s="3">
        <f>Q38+Grid!Q39</f>
        <v>30000000.0</v>
      </c>
      <c r="R39" s="3">
        <f>R38+Grid!R39</f>
        <v>5000000.0</v>
      </c>
      <c r="S39" s="3">
        <f>SUM(C39:R39)</f>
        <v>590349999.9999999</v>
      </c>
      <c r="T39" s="9">
        <f>S39/Inputs!$B$4</f>
        <v>0.59035</v>
      </c>
    </row>
    <row r="40">
      <c r="A40" t="n">
        <v>35</v>
      </c>
      <c r="B40" s="4">
        <f>Grid!B40</f>
        <v>47710.0</v>
      </c>
      <c r="C40" s="3">
        <f>C39+Grid!C40</f>
        <v>4950460.231632476</v>
      </c>
      <c r="D40" s="3">
        <f>D39+Grid!D40</f>
        <v>13085685.363285381</v>
      </c>
      <c r="E40" s="3">
        <f>E39+Grid!E40</f>
        <v>7851411.217971212</v>
      </c>
      <c r="F40" s="3">
        <f>F39+Grid!F40</f>
        <v>5234274.14531416</v>
      </c>
      <c r="G40" s="3">
        <f>G39+Grid!G40</f>
        <v>5234274.14531416</v>
      </c>
      <c r="H40" s="3">
        <f>H39+Grid!H40</f>
        <v>5234274.14531416</v>
      </c>
      <c r="I40" s="3">
        <f>I39+Grid!I40</f>
        <v>5234274.14531416</v>
      </c>
      <c r="J40" s="3">
        <f>J39+Grid!J40</f>
        <v>1092013.2725209517</v>
      </c>
      <c r="K40" s="3">
        <f>K39+Grid!K40</f>
        <v>191666666.6666667</v>
      </c>
      <c r="L40" s="3">
        <f>L39+Grid!L40</f>
        <v>108590000.0</v>
      </c>
      <c r="M40" s="3">
        <f>M39+Grid!M40</f>
        <v>94999999.99999996</v>
      </c>
      <c r="N40" s="3">
        <f>N39+Grid!N40</f>
        <v>48366666.66666668</v>
      </c>
      <c r="O40" s="3">
        <f>O39+Grid!O40</f>
        <v>38375000.0</v>
      </c>
      <c r="P40" s="3">
        <f>P39+Grid!P40</f>
        <v>44000000.0</v>
      </c>
      <c r="Q40" s="3">
        <f>Q39+Grid!Q40</f>
        <v>30000000.0</v>
      </c>
      <c r="R40" s="3">
        <f>R39+Grid!R40</f>
        <v>5000000.0</v>
      </c>
      <c r="S40" s="3">
        <f>SUM(C40:R40)</f>
        <v>608915000.0</v>
      </c>
      <c r="T40" s="9">
        <f>S40/Inputs!$B$4</f>
        <v>0.608915</v>
      </c>
    </row>
    <row r="41">
      <c r="A41" t="n">
        <v>36</v>
      </c>
      <c r="B41" s="4">
        <f>Grid!B41</f>
        <v>47741.0</v>
      </c>
      <c r="C41" s="3">
        <f>C40+Grid!C41</f>
        <v>5165697.633007801</v>
      </c>
      <c r="D41" s="3">
        <f>D40+Grid!D41</f>
        <v>13654628.205167355</v>
      </c>
      <c r="E41" s="3">
        <f>E40+Grid!E41</f>
        <v>8192776.923100395</v>
      </c>
      <c r="F41" s="3">
        <f>F40+Grid!F41</f>
        <v>5461851.28206695</v>
      </c>
      <c r="G41" s="3">
        <f>G40+Grid!G41</f>
        <v>5461851.28206695</v>
      </c>
      <c r="H41" s="3">
        <f>H40+Grid!H41</f>
        <v>5461851.28206695</v>
      </c>
      <c r="I41" s="3">
        <f>I40+Grid!I41</f>
        <v>5461851.28206695</v>
      </c>
      <c r="J41" s="3">
        <f>J40+Grid!J41</f>
        <v>1139492.1104566453</v>
      </c>
      <c r="K41" s="3">
        <f>K40+Grid!K41</f>
        <v>200000000.00000003</v>
      </c>
      <c r="L41" s="3">
        <f>L40+Grid!L41</f>
        <v>111480000.0</v>
      </c>
      <c r="M41" s="3">
        <f>M40+Grid!M41</f>
        <v>94999999.99999996</v>
      </c>
      <c r="N41" s="3">
        <f>N40+Grid!N41</f>
        <v>50000000.000000015</v>
      </c>
      <c r="O41" s="3">
        <f>O40+Grid!O41</f>
        <v>40000000.0</v>
      </c>
      <c r="P41" s="3">
        <f>P40+Grid!P41</f>
        <v>46000000.0</v>
      </c>
      <c r="Q41" s="3">
        <f>Q40+Grid!Q41</f>
        <v>30000000.0</v>
      </c>
      <c r="R41" s="3">
        <f>R40+Grid!R41</f>
        <v>5000000.0</v>
      </c>
      <c r="S41" s="3">
        <f>SUM(C41:R41)</f>
        <v>627480000.0</v>
      </c>
      <c r="T41" s="9">
        <f>S41/Inputs!$B$4</f>
        <v>0.62748</v>
      </c>
    </row>
    <row r="42">
      <c r="A42" t="n">
        <v>37</v>
      </c>
      <c r="B42" s="4">
        <f>Grid!B42</f>
        <v>47771.0</v>
      </c>
      <c r="C42" s="3">
        <f>C41+Grid!C42</f>
        <v>5380935.034383127</v>
      </c>
      <c r="D42" s="3">
        <f>D41+Grid!D42</f>
        <v>14223571.047049329</v>
      </c>
      <c r="E42" s="3">
        <f>E41+Grid!E42</f>
        <v>8534142.628229579</v>
      </c>
      <c r="F42" s="3">
        <f>F41+Grid!F42</f>
        <v>5689428.4188197395</v>
      </c>
      <c r="G42" s="3">
        <f>G41+Grid!G42</f>
        <v>5689428.4188197395</v>
      </c>
      <c r="H42" s="3">
        <f>H41+Grid!H42</f>
        <v>5689428.4188197395</v>
      </c>
      <c r="I42" s="3">
        <f>I41+Grid!I42</f>
        <v>5689428.4188197395</v>
      </c>
      <c r="J42" s="3">
        <f>J41+Grid!J42</f>
        <v>1186970.9483923388</v>
      </c>
      <c r="K42" s="3">
        <f>K41+Grid!K42</f>
        <v>200000000.00000003</v>
      </c>
      <c r="L42" s="3">
        <f>L41+Grid!L42</f>
        <v>113936500.0</v>
      </c>
      <c r="M42" s="3">
        <f>M41+Grid!M42</f>
        <v>94999999.99999996</v>
      </c>
      <c r="N42" s="3">
        <f>N41+Grid!N42</f>
        <v>50000000.000000015</v>
      </c>
      <c r="O42" s="3">
        <f>O41+Grid!O42</f>
        <v>40000000.0</v>
      </c>
      <c r="P42" s="3">
        <f>P41+Grid!P42</f>
        <v>48000000.0</v>
      </c>
      <c r="Q42" s="3">
        <f>Q41+Grid!Q42</f>
        <v>30000000.0</v>
      </c>
      <c r="R42" s="3">
        <f>R41+Grid!R42</f>
        <v>5000000.0</v>
      </c>
      <c r="S42" s="3">
        <f>SUM(C42:R42)</f>
        <v>634019833.3333333</v>
      </c>
      <c r="T42" s="9">
        <f>S42/Inputs!$B$4</f>
        <v>0.6340198333</v>
      </c>
    </row>
    <row r="43">
      <c r="A43" t="n">
        <v>38</v>
      </c>
      <c r="B43" s="4">
        <f>Grid!B43</f>
        <v>47802.0</v>
      </c>
      <c r="C43" s="3">
        <f>C42+Grid!C43</f>
        <v>5596172.435758452</v>
      </c>
      <c r="D43" s="3">
        <f>D42+Grid!D43</f>
        <v>14792513.888931302</v>
      </c>
      <c r="E43" s="3">
        <f>E42+Grid!E43</f>
        <v>8875508.333358763</v>
      </c>
      <c r="F43" s="3">
        <f>F42+Grid!F43</f>
        <v>5917005.555572529</v>
      </c>
      <c r="G43" s="3">
        <f>G42+Grid!G43</f>
        <v>5917005.555572529</v>
      </c>
      <c r="H43" s="3">
        <f>H42+Grid!H43</f>
        <v>5917005.555572529</v>
      </c>
      <c r="I43" s="3">
        <f>I42+Grid!I43</f>
        <v>5917005.555572529</v>
      </c>
      <c r="J43" s="3">
        <f>J42+Grid!J43</f>
        <v>1234449.7863280324</v>
      </c>
      <c r="K43" s="3">
        <f>K42+Grid!K43</f>
        <v>200000000.00000003</v>
      </c>
      <c r="L43" s="3">
        <f>L42+Grid!L43</f>
        <v>116393000.0</v>
      </c>
      <c r="M43" s="3">
        <f>M42+Grid!M43</f>
        <v>94999999.99999996</v>
      </c>
      <c r="N43" s="3">
        <f>N42+Grid!N43</f>
        <v>50000000.000000015</v>
      </c>
      <c r="O43" s="3">
        <f>O42+Grid!O43</f>
        <v>40000000.0</v>
      </c>
      <c r="P43" s="3">
        <f>P42+Grid!P43</f>
        <v>50000000.0</v>
      </c>
      <c r="Q43" s="3">
        <f>Q42+Grid!Q43</f>
        <v>30000000.0</v>
      </c>
      <c r="R43" s="3">
        <f>R42+Grid!R43</f>
        <v>5000000.0</v>
      </c>
      <c r="S43" s="3">
        <f>SUM(C43:R43)</f>
        <v>640559666.6666666</v>
      </c>
      <c r="T43" s="9">
        <f>S43/Inputs!$B$4</f>
        <v>0.6405596667</v>
      </c>
    </row>
    <row r="44">
      <c r="A44" t="n">
        <v>39</v>
      </c>
      <c r="B44" s="4">
        <f>Grid!B44</f>
        <v>47832.0</v>
      </c>
      <c r="C44" s="3">
        <f>C43+Grid!C44</f>
        <v>5811409.837133777</v>
      </c>
      <c r="D44" s="3">
        <f>D43+Grid!D44</f>
        <v>15361456.730813276</v>
      </c>
      <c r="E44" s="3">
        <f>E43+Grid!E44</f>
        <v>9216874.038487947</v>
      </c>
      <c r="F44" s="3">
        <f>F43+Grid!F44</f>
        <v>6144582.692325319</v>
      </c>
      <c r="G44" s="3">
        <f>G43+Grid!G44</f>
        <v>6144582.692325319</v>
      </c>
      <c r="H44" s="3">
        <f>H43+Grid!H44</f>
        <v>6144582.692325319</v>
      </c>
      <c r="I44" s="3">
        <f>I43+Grid!I44</f>
        <v>6144582.692325319</v>
      </c>
      <c r="J44" s="3">
        <f>J43+Grid!J44</f>
        <v>1281928.624263726</v>
      </c>
      <c r="K44" s="3">
        <f>K43+Grid!K44</f>
        <v>200000000.00000003</v>
      </c>
      <c r="L44" s="3">
        <f>L43+Grid!L44</f>
        <v>118849500.0</v>
      </c>
      <c r="M44" s="3">
        <f>M43+Grid!M44</f>
        <v>94999999.99999996</v>
      </c>
      <c r="N44" s="3">
        <f>N43+Grid!N44</f>
        <v>50000000.000000015</v>
      </c>
      <c r="O44" s="3">
        <f>O43+Grid!O44</f>
        <v>40000000.0</v>
      </c>
      <c r="P44" s="3">
        <f>P43+Grid!P44</f>
        <v>50000000.0</v>
      </c>
      <c r="Q44" s="3">
        <f>Q43+Grid!Q44</f>
        <v>30000000.0</v>
      </c>
      <c r="R44" s="3">
        <f>R43+Grid!R44</f>
        <v>5000000.0</v>
      </c>
      <c r="S44" s="3">
        <f>SUM(C44:R44)</f>
        <v>645099500.0</v>
      </c>
      <c r="T44" s="9">
        <f>S44/Inputs!$B$4</f>
        <v>0.6450995</v>
      </c>
    </row>
    <row r="45">
      <c r="A45" t="n">
        <v>40</v>
      </c>
      <c r="B45" s="4">
        <f>Grid!B45</f>
        <v>47863.0</v>
      </c>
      <c r="C45" s="3">
        <f>C44+Grid!C45</f>
        <v>6026647.238509103</v>
      </c>
      <c r="D45" s="3">
        <f>D44+Grid!D45</f>
        <v>15930399.57269525</v>
      </c>
      <c r="E45" s="3">
        <f>E44+Grid!E45</f>
        <v>9558239.74361713</v>
      </c>
      <c r="F45" s="3">
        <f>F44+Grid!F45</f>
        <v>6372159.829078109</v>
      </c>
      <c r="G45" s="3">
        <f>G44+Grid!G45</f>
        <v>6372159.829078109</v>
      </c>
      <c r="H45" s="3">
        <f>H44+Grid!H45</f>
        <v>6372159.829078109</v>
      </c>
      <c r="I45" s="3">
        <f>I44+Grid!I45</f>
        <v>6372159.829078109</v>
      </c>
      <c r="J45" s="3">
        <f>J44+Grid!J45</f>
        <v>1329407.4621994195</v>
      </c>
      <c r="K45" s="3">
        <f>K44+Grid!K45</f>
        <v>200000000.00000003</v>
      </c>
      <c r="L45" s="3">
        <f>L44+Grid!L45</f>
        <v>121306000.0</v>
      </c>
      <c r="M45" s="3">
        <f>M44+Grid!M45</f>
        <v>94999999.99999996</v>
      </c>
      <c r="N45" s="3">
        <f>N44+Grid!N45</f>
        <v>50000000.000000015</v>
      </c>
      <c r="O45" s="3">
        <f>O44+Grid!O45</f>
        <v>40000000.0</v>
      </c>
      <c r="P45" s="3">
        <f>P44+Grid!P45</f>
        <v>50000000.0</v>
      </c>
      <c r="Q45" s="3">
        <f>Q44+Grid!Q45</f>
        <v>30000000.0</v>
      </c>
      <c r="R45" s="3">
        <f>R44+Grid!R45</f>
        <v>5000000.0</v>
      </c>
      <c r="S45" s="3">
        <f>SUM(C45:R45)</f>
        <v>649639333.3333333</v>
      </c>
      <c r="T45" s="9">
        <f>S45/Inputs!$B$4</f>
        <v>0.6496393333</v>
      </c>
    </row>
    <row r="46">
      <c r="A46" t="n">
        <v>41</v>
      </c>
      <c r="B46" s="4">
        <f>Grid!B46</f>
        <v>47894.0</v>
      </c>
      <c r="C46" s="3">
        <f>C45+Grid!C46</f>
        <v>6241884.639884428</v>
      </c>
      <c r="D46" s="3">
        <f>D45+Grid!D46</f>
        <v>16499342.414577223</v>
      </c>
      <c r="E46" s="3">
        <f>E45+Grid!E46</f>
        <v>9899605.448746314</v>
      </c>
      <c r="F46" s="3">
        <f>F45+Grid!F46</f>
        <v>6599736.965830899</v>
      </c>
      <c r="G46" s="3">
        <f>G45+Grid!G46</f>
        <v>6599736.965830899</v>
      </c>
      <c r="H46" s="3">
        <f>H45+Grid!H46</f>
        <v>6599736.965830899</v>
      </c>
      <c r="I46" s="3">
        <f>I45+Grid!I46</f>
        <v>6599736.965830899</v>
      </c>
      <c r="J46" s="3">
        <f>J45+Grid!J46</f>
        <v>1376886.300135113</v>
      </c>
      <c r="K46" s="3">
        <f>K45+Grid!K46</f>
        <v>200000000.00000003</v>
      </c>
      <c r="L46" s="3">
        <f>L45+Grid!L46</f>
        <v>123762500.0</v>
      </c>
      <c r="M46" s="3">
        <f>M45+Grid!M46</f>
        <v>94999999.99999996</v>
      </c>
      <c r="N46" s="3">
        <f>N45+Grid!N46</f>
        <v>50000000.000000015</v>
      </c>
      <c r="O46" s="3">
        <f>O45+Grid!O46</f>
        <v>40000000.0</v>
      </c>
      <c r="P46" s="3">
        <f>P45+Grid!P46</f>
        <v>50000000.0</v>
      </c>
      <c r="Q46" s="3">
        <f>Q45+Grid!Q46</f>
        <v>30000000.0</v>
      </c>
      <c r="R46" s="3">
        <f>R45+Grid!R46</f>
        <v>5000000.0</v>
      </c>
      <c r="S46" s="3">
        <f>SUM(C46:R46)</f>
        <v>654179166.6666667</v>
      </c>
      <c r="T46" s="9">
        <f>S46/Inputs!$B$4</f>
        <v>0.6541791667</v>
      </c>
    </row>
    <row r="47">
      <c r="A47" t="n">
        <v>42</v>
      </c>
      <c r="B47" s="4">
        <f>Grid!B47</f>
        <v>47922.0</v>
      </c>
      <c r="C47" s="3">
        <f>C46+Grid!C47</f>
        <v>6457122.0412597535</v>
      </c>
      <c r="D47" s="3">
        <f>D46+Grid!D47</f>
        <v>17068285.256459195</v>
      </c>
      <c r="E47" s="3">
        <f>E46+Grid!E47</f>
        <v>10240971.153875498</v>
      </c>
      <c r="F47" s="3">
        <f>F46+Grid!F47</f>
        <v>6827314.102583689</v>
      </c>
      <c r="G47" s="3">
        <f>G46+Grid!G47</f>
        <v>6827314.102583689</v>
      </c>
      <c r="H47" s="3">
        <f>H46+Grid!H47</f>
        <v>6827314.102583689</v>
      </c>
      <c r="I47" s="3">
        <f>I46+Grid!I47</f>
        <v>6827314.102583689</v>
      </c>
      <c r="J47" s="3">
        <f>J46+Grid!J47</f>
        <v>1424365.1380708066</v>
      </c>
      <c r="K47" s="3">
        <f>K46+Grid!K47</f>
        <v>200000000.00000003</v>
      </c>
      <c r="L47" s="3">
        <f>L46+Grid!L47</f>
        <v>126219000.0</v>
      </c>
      <c r="M47" s="3">
        <f>M46+Grid!M47</f>
        <v>94999999.99999996</v>
      </c>
      <c r="N47" s="3">
        <f>N46+Grid!N47</f>
        <v>50000000.000000015</v>
      </c>
      <c r="O47" s="3">
        <f>O46+Grid!O47</f>
        <v>40000000.0</v>
      </c>
      <c r="P47" s="3">
        <f>P46+Grid!P47</f>
        <v>50000000.0</v>
      </c>
      <c r="Q47" s="3">
        <f>Q46+Grid!Q47</f>
        <v>30000000.0</v>
      </c>
      <c r="R47" s="3">
        <f>R46+Grid!R47</f>
        <v>5000000.0</v>
      </c>
      <c r="S47" s="3">
        <f>SUM(C47:R47)</f>
        <v>658719000.0</v>
      </c>
      <c r="T47" s="9">
        <f>S47/Inputs!$B$4</f>
        <v>0.658719</v>
      </c>
    </row>
    <row r="48">
      <c r="A48" t="n">
        <v>43</v>
      </c>
      <c r="B48" s="4">
        <f>Grid!B48</f>
        <v>47953.0</v>
      </c>
      <c r="C48" s="3">
        <f>C47+Grid!C48</f>
        <v>6672359.442635079</v>
      </c>
      <c r="D48" s="3">
        <f>D47+Grid!D48</f>
        <v>17637228.098341167</v>
      </c>
      <c r="E48" s="3">
        <f>E47+Grid!E48</f>
        <v>10582336.859004682</v>
      </c>
      <c r="F48" s="3">
        <f>F47+Grid!F48</f>
        <v>7054891.2393364785</v>
      </c>
      <c r="G48" s="3">
        <f>G47+Grid!G48</f>
        <v>7054891.2393364785</v>
      </c>
      <c r="H48" s="3">
        <f>H47+Grid!H48</f>
        <v>7054891.2393364785</v>
      </c>
      <c r="I48" s="3">
        <f>I47+Grid!I48</f>
        <v>7054891.2393364785</v>
      </c>
      <c r="J48" s="3">
        <f>J47+Grid!J48</f>
        <v>1471843.9760065002</v>
      </c>
      <c r="K48" s="3">
        <f>K47+Grid!K48</f>
        <v>200000000.00000003</v>
      </c>
      <c r="L48" s="3">
        <f>L47+Grid!L48</f>
        <v>128675500.0</v>
      </c>
      <c r="M48" s="3">
        <f>M47+Grid!M48</f>
        <v>94999999.99999996</v>
      </c>
      <c r="N48" s="3">
        <f>N47+Grid!N48</f>
        <v>50000000.000000015</v>
      </c>
      <c r="O48" s="3">
        <f>O47+Grid!O48</f>
        <v>40000000.0</v>
      </c>
      <c r="P48" s="3">
        <f>P47+Grid!P48</f>
        <v>50000000.0</v>
      </c>
      <c r="Q48" s="3">
        <f>Q47+Grid!Q48</f>
        <v>30000000.0</v>
      </c>
      <c r="R48" s="3">
        <f>R47+Grid!R48</f>
        <v>5000000.0</v>
      </c>
      <c r="S48" s="3">
        <f>SUM(C48:R48)</f>
        <v>663258833.3333333</v>
      </c>
      <c r="T48" s="9">
        <f>S48/Inputs!$B$4</f>
        <v>0.6632588333</v>
      </c>
    </row>
    <row r="49">
      <c r="A49" t="n">
        <v>44</v>
      </c>
      <c r="B49" s="4">
        <f>Grid!B49</f>
        <v>47983.0</v>
      </c>
      <c r="C49" s="3">
        <f>C48+Grid!C49</f>
        <v>6887596.844010404</v>
      </c>
      <c r="D49" s="3">
        <f>D48+Grid!D49</f>
        <v>18206170.94022314</v>
      </c>
      <c r="E49" s="3">
        <f>E48+Grid!E49</f>
        <v>10923702.564133866</v>
      </c>
      <c r="F49" s="3">
        <f>F48+Grid!F49</f>
        <v>7282468.376089268</v>
      </c>
      <c r="G49" s="3">
        <f>G48+Grid!G49</f>
        <v>7282468.376089268</v>
      </c>
      <c r="H49" s="3">
        <f>H48+Grid!H49</f>
        <v>7282468.376089268</v>
      </c>
      <c r="I49" s="3">
        <f>I48+Grid!I49</f>
        <v>7282468.376089268</v>
      </c>
      <c r="J49" s="3">
        <f>J48+Grid!J49</f>
        <v>1519322.8139421938</v>
      </c>
      <c r="K49" s="3">
        <f>K48+Grid!K49</f>
        <v>200000000.00000003</v>
      </c>
      <c r="L49" s="3">
        <f>L48+Grid!L49</f>
        <v>131132000.0</v>
      </c>
      <c r="M49" s="3">
        <f>M48+Grid!M49</f>
        <v>94999999.99999996</v>
      </c>
      <c r="N49" s="3">
        <f>N48+Grid!N49</f>
        <v>50000000.000000015</v>
      </c>
      <c r="O49" s="3">
        <f>O48+Grid!O49</f>
        <v>40000000.0</v>
      </c>
      <c r="P49" s="3">
        <f>P48+Grid!P49</f>
        <v>50000000.0</v>
      </c>
      <c r="Q49" s="3">
        <f>Q48+Grid!Q49</f>
        <v>30000000.0</v>
      </c>
      <c r="R49" s="3">
        <f>R48+Grid!R49</f>
        <v>5000000.0</v>
      </c>
      <c r="S49" s="3">
        <f>SUM(C49:R49)</f>
        <v>667798666.6666666</v>
      </c>
      <c r="T49" s="9">
        <f>S49/Inputs!$B$4</f>
        <v>0.6677986667</v>
      </c>
    </row>
    <row r="50">
      <c r="A50" t="n">
        <v>45</v>
      </c>
      <c r="B50" s="4">
        <f>Grid!B50</f>
        <v>48014.0</v>
      </c>
      <c r="C50" s="3">
        <f>C49+Grid!C50</f>
        <v>7102834.24538573</v>
      </c>
      <c r="D50" s="3">
        <f>D49+Grid!D50</f>
        <v>18775113.78210511</v>
      </c>
      <c r="E50" s="3">
        <f>E49+Grid!E50</f>
        <v>11265068.26926305</v>
      </c>
      <c r="F50" s="3">
        <f>F49+Grid!F50</f>
        <v>7510045.512842058</v>
      </c>
      <c r="G50" s="3">
        <f>G49+Grid!G50</f>
        <v>7510045.512842058</v>
      </c>
      <c r="H50" s="3">
        <f>H49+Grid!H50</f>
        <v>7510045.512842058</v>
      </c>
      <c r="I50" s="3">
        <f>I49+Grid!I50</f>
        <v>7510045.512842058</v>
      </c>
      <c r="J50" s="3">
        <f>J49+Grid!J50</f>
        <v>1566801.6518778873</v>
      </c>
      <c r="K50" s="3">
        <f>K49+Grid!K50</f>
        <v>200000000.00000003</v>
      </c>
      <c r="L50" s="3">
        <f>L49+Grid!L50</f>
        <v>133588500.0</v>
      </c>
      <c r="M50" s="3">
        <f>M49+Grid!M50</f>
        <v>94999999.99999996</v>
      </c>
      <c r="N50" s="3">
        <f>N49+Grid!N50</f>
        <v>50000000.000000015</v>
      </c>
      <c r="O50" s="3">
        <f>O49+Grid!O50</f>
        <v>40000000.0</v>
      </c>
      <c r="P50" s="3">
        <f>P49+Grid!P50</f>
        <v>50000000.0</v>
      </c>
      <c r="Q50" s="3">
        <f>Q49+Grid!Q50</f>
        <v>30000000.0</v>
      </c>
      <c r="R50" s="3">
        <f>R49+Grid!R50</f>
        <v>5000000.0</v>
      </c>
      <c r="S50" s="3">
        <f>SUM(C50:R50)</f>
        <v>672338500.0</v>
      </c>
      <c r="T50" s="9">
        <f>S50/Inputs!$B$4</f>
        <v>0.6723385</v>
      </c>
    </row>
    <row r="51">
      <c r="A51" t="n">
        <v>46</v>
      </c>
      <c r="B51" s="4">
        <f>Grid!B51</f>
        <v>48044.0</v>
      </c>
      <c r="C51" s="3">
        <f>C50+Grid!C51</f>
        <v>7318071.646761055</v>
      </c>
      <c r="D51" s="3">
        <f>D50+Grid!D51</f>
        <v>19344056.623987082</v>
      </c>
      <c r="E51" s="3">
        <f>E50+Grid!E51</f>
        <v>11606433.974392233</v>
      </c>
      <c r="F51" s="3">
        <f>F50+Grid!F51</f>
        <v>7737622.649594848</v>
      </c>
      <c r="G51" s="3">
        <f>G50+Grid!G51</f>
        <v>7737622.649594848</v>
      </c>
      <c r="H51" s="3">
        <f>H50+Grid!H51</f>
        <v>7737622.649594848</v>
      </c>
      <c r="I51" s="3">
        <f>I50+Grid!I51</f>
        <v>7737622.649594848</v>
      </c>
      <c r="J51" s="3">
        <f>J50+Grid!J51</f>
        <v>1614280.4898135809</v>
      </c>
      <c r="K51" s="3">
        <f>K50+Grid!K51</f>
        <v>200000000.00000003</v>
      </c>
      <c r="L51" s="3">
        <f>L50+Grid!L51</f>
        <v>136045000.0</v>
      </c>
      <c r="M51" s="3">
        <f>M50+Grid!M51</f>
        <v>94999999.99999996</v>
      </c>
      <c r="N51" s="3">
        <f>N50+Grid!N51</f>
        <v>50000000.000000015</v>
      </c>
      <c r="O51" s="3">
        <f>O50+Grid!O51</f>
        <v>40000000.0</v>
      </c>
      <c r="P51" s="3">
        <f>P50+Grid!P51</f>
        <v>50000000.0</v>
      </c>
      <c r="Q51" s="3">
        <f>Q50+Grid!Q51</f>
        <v>30000000.0</v>
      </c>
      <c r="R51" s="3">
        <f>R50+Grid!R51</f>
        <v>5000000.0</v>
      </c>
      <c r="S51" s="3">
        <f>SUM(C51:R51)</f>
        <v>676878333.3333334</v>
      </c>
      <c r="T51" s="9">
        <f>S51/Inputs!$B$4</f>
        <v>0.6768783333</v>
      </c>
    </row>
    <row r="52">
      <c r="A52" t="n">
        <v>47</v>
      </c>
      <c r="B52" s="4">
        <f>Grid!B52</f>
        <v>48075.0</v>
      </c>
      <c r="C52" s="3">
        <f>C51+Grid!C52</f>
        <v>7533309.0481363805</v>
      </c>
      <c r="D52" s="3">
        <f>D51+Grid!D52</f>
        <v>19912999.465869054</v>
      </c>
      <c r="E52" s="3">
        <f>E51+Grid!E52</f>
        <v>11947799.679521417</v>
      </c>
      <c r="F52" s="3">
        <f>F51+Grid!F52</f>
        <v>7965199.786347638</v>
      </c>
      <c r="G52" s="3">
        <f>G51+Grid!G52</f>
        <v>7965199.786347638</v>
      </c>
      <c r="H52" s="3">
        <f>H51+Grid!H52</f>
        <v>7965199.786347638</v>
      </c>
      <c r="I52" s="3">
        <f>I51+Grid!I52</f>
        <v>7965199.786347638</v>
      </c>
      <c r="J52" s="3">
        <f>J51+Grid!J52</f>
        <v>1661759.3277492744</v>
      </c>
      <c r="K52" s="3">
        <f>K51+Grid!K52</f>
        <v>200000000.00000003</v>
      </c>
      <c r="L52" s="3">
        <f>L51+Grid!L52</f>
        <v>138501500.0</v>
      </c>
      <c r="M52" s="3">
        <f>M51+Grid!M52</f>
        <v>94999999.99999996</v>
      </c>
      <c r="N52" s="3">
        <f>N51+Grid!N52</f>
        <v>50000000.000000015</v>
      </c>
      <c r="O52" s="3">
        <f>O51+Grid!O52</f>
        <v>40000000.0</v>
      </c>
      <c r="P52" s="3">
        <f>P51+Grid!P52</f>
        <v>50000000.0</v>
      </c>
      <c r="Q52" s="3">
        <f>Q51+Grid!Q52</f>
        <v>30000000.0</v>
      </c>
      <c r="R52" s="3">
        <f>R51+Grid!R52</f>
        <v>5000000.0</v>
      </c>
      <c r="S52" s="3">
        <f>SUM(C52:R52)</f>
        <v>681418166.6666667</v>
      </c>
      <c r="T52" s="9">
        <f>S52/Inputs!$B$4</f>
        <v>0.6814181667</v>
      </c>
    </row>
    <row r="53">
      <c r="A53" t="n">
        <v>48</v>
      </c>
      <c r="B53" s="4">
        <f>Grid!B53</f>
        <v>48106.0</v>
      </c>
      <c r="C53" s="3">
        <f>C52+Grid!C53</f>
        <v>7748546.449511706</v>
      </c>
      <c r="D53" s="3">
        <f>D52+Grid!D53</f>
        <v>20481942.307751026</v>
      </c>
      <c r="E53" s="3">
        <f>E52+Grid!E53</f>
        <v>12289165.384650601</v>
      </c>
      <c r="F53" s="3">
        <f>F52+Grid!F53</f>
        <v>8192776.923100428</v>
      </c>
      <c r="G53" s="3">
        <f>G52+Grid!G53</f>
        <v>8192776.923100428</v>
      </c>
      <c r="H53" s="3">
        <f>H52+Grid!H53</f>
        <v>8192776.923100428</v>
      </c>
      <c r="I53" s="3">
        <f>I52+Grid!I53</f>
        <v>8192776.923100428</v>
      </c>
      <c r="J53" s="3">
        <f>J52+Grid!J53</f>
        <v>1709238.165684968</v>
      </c>
      <c r="K53" s="3">
        <f>K52+Grid!K53</f>
        <v>200000000.00000003</v>
      </c>
      <c r="L53" s="3">
        <f>L52+Grid!L53</f>
        <v>140958000.0</v>
      </c>
      <c r="M53" s="3">
        <f>M52+Grid!M53</f>
        <v>94999999.99999996</v>
      </c>
      <c r="N53" s="3">
        <f>N52+Grid!N53</f>
        <v>50000000.000000015</v>
      </c>
      <c r="O53" s="3">
        <f>O52+Grid!O53</f>
        <v>40000000.0</v>
      </c>
      <c r="P53" s="3">
        <f>P52+Grid!P53</f>
        <v>50000000.0</v>
      </c>
      <c r="Q53" s="3">
        <f>Q52+Grid!Q53</f>
        <v>30000000.0</v>
      </c>
      <c r="R53" s="3">
        <f>R52+Grid!R53</f>
        <v>5000000.0</v>
      </c>
      <c r="S53" s="3">
        <f>SUM(C53:R53)</f>
        <v>685958000.0</v>
      </c>
      <c r="T53" s="9">
        <f>S53/Inputs!$B$4</f>
        <v>0.685958</v>
      </c>
    </row>
    <row r="54">
      <c r="A54" t="n">
        <v>49</v>
      </c>
      <c r="B54" s="4">
        <f>Grid!B54</f>
        <v>48136.0</v>
      </c>
      <c r="C54" s="3">
        <f>C53+Grid!C54</f>
        <v>7963783.850887031</v>
      </c>
      <c r="D54" s="3">
        <f>D53+Grid!D54</f>
        <v>21050885.149632998</v>
      </c>
      <c r="E54" s="3">
        <f>E53+Grid!E54</f>
        <v>12630531.089779785</v>
      </c>
      <c r="F54" s="3">
        <f>F53+Grid!F54</f>
        <v>8420354.059853217</v>
      </c>
      <c r="G54" s="3">
        <f>G53+Grid!G54</f>
        <v>8420354.059853217</v>
      </c>
      <c r="H54" s="3">
        <f>H53+Grid!H54</f>
        <v>8420354.059853217</v>
      </c>
      <c r="I54" s="3">
        <f>I53+Grid!I54</f>
        <v>8420354.059853217</v>
      </c>
      <c r="J54" s="3">
        <f>J53+Grid!J54</f>
        <v>1756717.0036206616</v>
      </c>
      <c r="K54" s="3">
        <f>K53+Grid!K54</f>
        <v>200000000.00000003</v>
      </c>
      <c r="L54" s="3">
        <f>L53+Grid!L54</f>
        <v>143046025.0</v>
      </c>
      <c r="M54" s="3">
        <f>M53+Grid!M54</f>
        <v>94999999.99999996</v>
      </c>
      <c r="N54" s="3">
        <f>N53+Grid!N54</f>
        <v>50000000.000000015</v>
      </c>
      <c r="O54" s="3">
        <f>O53+Grid!O54</f>
        <v>40000000.0</v>
      </c>
      <c r="P54" s="3">
        <f>P53+Grid!P54</f>
        <v>50000000.0</v>
      </c>
      <c r="Q54" s="3">
        <f>Q53+Grid!Q54</f>
        <v>30000000.0</v>
      </c>
      <c r="R54" s="3">
        <f>R53+Grid!R54</f>
        <v>5000000.0</v>
      </c>
      <c r="S54" s="3">
        <f>SUM(C54:R54)</f>
        <v>690129358.3333334</v>
      </c>
      <c r="T54" s="9">
        <f>S54/Inputs!$B$4</f>
        <v>0.6901293583</v>
      </c>
    </row>
    <row r="55">
      <c r="A55" t="n">
        <v>50</v>
      </c>
      <c r="B55" s="4">
        <f>Grid!B55</f>
        <v>48167.0</v>
      </c>
      <c r="C55" s="3">
        <f>C54+Grid!C55</f>
        <v>8179021.252262357</v>
      </c>
      <c r="D55" s="3">
        <f>D54+Grid!D55</f>
        <v>21619827.99151497</v>
      </c>
      <c r="E55" s="3">
        <f>E54+Grid!E55</f>
        <v>12971896.794908969</v>
      </c>
      <c r="F55" s="3">
        <f>F54+Grid!F55</f>
        <v>8647931.196606006</v>
      </c>
      <c r="G55" s="3">
        <f>G54+Grid!G55</f>
        <v>8647931.196606006</v>
      </c>
      <c r="H55" s="3">
        <f>H54+Grid!H55</f>
        <v>8647931.196606006</v>
      </c>
      <c r="I55" s="3">
        <f>I54+Grid!I55</f>
        <v>8647931.196606006</v>
      </c>
      <c r="J55" s="3">
        <f>J54+Grid!J55</f>
        <v>1804195.8415563551</v>
      </c>
      <c r="K55" s="3">
        <f>K54+Grid!K55</f>
        <v>200000000.00000003</v>
      </c>
      <c r="L55" s="3">
        <f>L54+Grid!L55</f>
        <v>145134050.0</v>
      </c>
      <c r="M55" s="3">
        <f>M54+Grid!M55</f>
        <v>94999999.99999996</v>
      </c>
      <c r="N55" s="3">
        <f>N54+Grid!N55</f>
        <v>50000000.000000015</v>
      </c>
      <c r="O55" s="3">
        <f>O54+Grid!O55</f>
        <v>40000000.0</v>
      </c>
      <c r="P55" s="3">
        <f>P54+Grid!P55</f>
        <v>50000000.0</v>
      </c>
      <c r="Q55" s="3">
        <f>Q54+Grid!Q55</f>
        <v>30000000.0</v>
      </c>
      <c r="R55" s="3">
        <f>R54+Grid!R55</f>
        <v>5000000.0</v>
      </c>
      <c r="S55" s="3">
        <f>SUM(C55:R55)</f>
        <v>694300716.6666667</v>
      </c>
      <c r="T55" s="9">
        <f>S55/Inputs!$B$4</f>
        <v>0.6943007167</v>
      </c>
    </row>
    <row r="56">
      <c r="A56" t="n">
        <v>51</v>
      </c>
      <c r="B56" s="4">
        <f>Grid!B56</f>
        <v>48197.0</v>
      </c>
      <c r="C56" s="3">
        <f>C55+Grid!C56</f>
        <v>8394258.653637681</v>
      </c>
      <c r="D56" s="3">
        <f>D55+Grid!D56</f>
        <v>22188770.83339694</v>
      </c>
      <c r="E56" s="3">
        <f>E55+Grid!E56</f>
        <v>13313262.500038153</v>
      </c>
      <c r="F56" s="3">
        <f>F55+Grid!F56</f>
        <v>8875508.333358796</v>
      </c>
      <c r="G56" s="3">
        <f>G55+Grid!G56</f>
        <v>8875508.333358796</v>
      </c>
      <c r="H56" s="3">
        <f>H55+Grid!H56</f>
        <v>8875508.333358796</v>
      </c>
      <c r="I56" s="3">
        <f>I55+Grid!I56</f>
        <v>8875508.333358796</v>
      </c>
      <c r="J56" s="3">
        <f>J55+Grid!J56</f>
        <v>1851674.6794920487</v>
      </c>
      <c r="K56" s="3">
        <f>K55+Grid!K56</f>
        <v>200000000.00000003</v>
      </c>
      <c r="L56" s="3">
        <f>L55+Grid!L56</f>
        <v>147222075.0</v>
      </c>
      <c r="M56" s="3">
        <f>M55+Grid!M56</f>
        <v>94999999.99999996</v>
      </c>
      <c r="N56" s="3">
        <f>N55+Grid!N56</f>
        <v>50000000.000000015</v>
      </c>
      <c r="O56" s="3">
        <f>O55+Grid!O56</f>
        <v>40000000.0</v>
      </c>
      <c r="P56" s="3">
        <f>P55+Grid!P56</f>
        <v>50000000.0</v>
      </c>
      <c r="Q56" s="3">
        <f>Q55+Grid!Q56</f>
        <v>30000000.0</v>
      </c>
      <c r="R56" s="3">
        <f>R55+Grid!R56</f>
        <v>5000000.0</v>
      </c>
      <c r="S56" s="3">
        <f>SUM(C56:R56)</f>
        <v>698472075.0</v>
      </c>
      <c r="T56" s="9">
        <f>S56/Inputs!$B$4</f>
        <v>0.698472075</v>
      </c>
    </row>
    <row r="57">
      <c r="A57" t="n">
        <v>52</v>
      </c>
      <c r="B57" s="4">
        <f>Grid!B57</f>
        <v>48228.0</v>
      </c>
      <c r="C57" s="3">
        <f>C56+Grid!C57</f>
        <v>8609496.055013007</v>
      </c>
      <c r="D57" s="3">
        <f>D56+Grid!D57</f>
        <v>22757713.675278913</v>
      </c>
      <c r="E57" s="3">
        <f>E56+Grid!E57</f>
        <v>13654628.205167336</v>
      </c>
      <c r="F57" s="3">
        <f>F56+Grid!F57</f>
        <v>9103085.470111586</v>
      </c>
      <c r="G57" s="3">
        <f>G56+Grid!G57</f>
        <v>9103085.470111586</v>
      </c>
      <c r="H57" s="3">
        <f>H56+Grid!H57</f>
        <v>9103085.470111586</v>
      </c>
      <c r="I57" s="3">
        <f>I56+Grid!I57</f>
        <v>9103085.470111586</v>
      </c>
      <c r="J57" s="3">
        <f>J56+Grid!J57</f>
        <v>1899153.5174277422</v>
      </c>
      <c r="K57" s="3">
        <f>K56+Grid!K57</f>
        <v>200000000.00000003</v>
      </c>
      <c r="L57" s="3">
        <f>L56+Grid!L57</f>
        <v>149310100.0</v>
      </c>
      <c r="M57" s="3">
        <f>M56+Grid!M57</f>
        <v>94999999.99999996</v>
      </c>
      <c r="N57" s="3">
        <f>N56+Grid!N57</f>
        <v>50000000.000000015</v>
      </c>
      <c r="O57" s="3">
        <f>O56+Grid!O57</f>
        <v>40000000.0</v>
      </c>
      <c r="P57" s="3">
        <f>P56+Grid!P57</f>
        <v>50000000.0</v>
      </c>
      <c r="Q57" s="3">
        <f>Q56+Grid!Q57</f>
        <v>30000000.0</v>
      </c>
      <c r="R57" s="3">
        <f>R56+Grid!R57</f>
        <v>5000000.0</v>
      </c>
      <c r="S57" s="3">
        <f>SUM(C57:R57)</f>
        <v>702643433.3333334</v>
      </c>
      <c r="T57" s="9">
        <f>S57/Inputs!$B$4</f>
        <v>0.7026434333</v>
      </c>
    </row>
    <row r="58">
      <c r="A58" t="n">
        <v>53</v>
      </c>
      <c r="B58" s="4">
        <f>Grid!B58</f>
        <v>48259.0</v>
      </c>
      <c r="C58" s="3">
        <f>C57+Grid!C58</f>
        <v>8824733.456388332</v>
      </c>
      <c r="D58" s="3">
        <f>D57+Grid!D58</f>
        <v>23326656.517160885</v>
      </c>
      <c r="E58" s="3">
        <f>E57+Grid!E58</f>
        <v>13995993.91029652</v>
      </c>
      <c r="F58" s="3">
        <f>F57+Grid!F58</f>
        <v>9330662.606864376</v>
      </c>
      <c r="G58" s="3">
        <f>G57+Grid!G58</f>
        <v>9330662.606864376</v>
      </c>
      <c r="H58" s="3">
        <f>H57+Grid!H58</f>
        <v>9330662.606864376</v>
      </c>
      <c r="I58" s="3">
        <f>I57+Grid!I58</f>
        <v>9330662.606864376</v>
      </c>
      <c r="J58" s="3">
        <f>J57+Grid!J58</f>
        <v>1946632.3553634358</v>
      </c>
      <c r="K58" s="3">
        <f>K57+Grid!K58</f>
        <v>200000000.00000003</v>
      </c>
      <c r="L58" s="3">
        <f>L57+Grid!L58</f>
        <v>151398125.0</v>
      </c>
      <c r="M58" s="3">
        <f>M57+Grid!M58</f>
        <v>94999999.99999996</v>
      </c>
      <c r="N58" s="3">
        <f>N57+Grid!N58</f>
        <v>50000000.000000015</v>
      </c>
      <c r="O58" s="3">
        <f>O57+Grid!O58</f>
        <v>40000000.0</v>
      </c>
      <c r="P58" s="3">
        <f>P57+Grid!P58</f>
        <v>50000000.0</v>
      </c>
      <c r="Q58" s="3">
        <f>Q57+Grid!Q58</f>
        <v>30000000.0</v>
      </c>
      <c r="R58" s="3">
        <f>R57+Grid!R58</f>
        <v>5000000.0</v>
      </c>
      <c r="S58" s="3">
        <f>SUM(C58:R58)</f>
        <v>706814791.6666667</v>
      </c>
      <c r="T58" s="9">
        <f>S58/Inputs!$B$4</f>
        <v>0.7068147917</v>
      </c>
    </row>
    <row r="59">
      <c r="A59" t="n">
        <v>54</v>
      </c>
      <c r="B59" s="4">
        <f>Grid!B59</f>
        <v>48288.0</v>
      </c>
      <c r="C59" s="3">
        <f>C58+Grid!C59</f>
        <v>9039970.857763657</v>
      </c>
      <c r="D59" s="3">
        <f>D58+Grid!D59</f>
        <v>23895599.359042857</v>
      </c>
      <c r="E59" s="3">
        <f>E58+Grid!E59</f>
        <v>14337359.615425704</v>
      </c>
      <c r="F59" s="3">
        <f>F58+Grid!F59</f>
        <v>9558239.743617166</v>
      </c>
      <c r="G59" s="3">
        <f>G58+Grid!G59</f>
        <v>9558239.743617166</v>
      </c>
      <c r="H59" s="3">
        <f>H58+Grid!H59</f>
        <v>9558239.743617166</v>
      </c>
      <c r="I59" s="3">
        <f>I58+Grid!I59</f>
        <v>9558239.743617166</v>
      </c>
      <c r="J59" s="3">
        <f>J58+Grid!J59</f>
        <v>1994111.1932991294</v>
      </c>
      <c r="K59" s="3">
        <f>K58+Grid!K59</f>
        <v>200000000.00000003</v>
      </c>
      <c r="L59" s="3">
        <f>L58+Grid!L59</f>
        <v>153486150.0</v>
      </c>
      <c r="M59" s="3">
        <f>M58+Grid!M59</f>
        <v>94999999.99999996</v>
      </c>
      <c r="N59" s="3">
        <f>N58+Grid!N59</f>
        <v>50000000.000000015</v>
      </c>
      <c r="O59" s="3">
        <f>O58+Grid!O59</f>
        <v>40000000.0</v>
      </c>
      <c r="P59" s="3">
        <f>P58+Grid!P59</f>
        <v>50000000.0</v>
      </c>
      <c r="Q59" s="3">
        <f>Q58+Grid!Q59</f>
        <v>30000000.0</v>
      </c>
      <c r="R59" s="3">
        <f>R58+Grid!R59</f>
        <v>5000000.0</v>
      </c>
      <c r="S59" s="3">
        <f>SUM(C59:R59)</f>
        <v>710986149.9999999</v>
      </c>
      <c r="T59" s="9">
        <f>S59/Inputs!$B$4</f>
        <v>0.71098615</v>
      </c>
    </row>
    <row r="60">
      <c r="A60" t="n">
        <v>55</v>
      </c>
      <c r="B60" s="4">
        <f>Grid!B60</f>
        <v>48319.0</v>
      </c>
      <c r="C60" s="3">
        <f>C59+Grid!C60</f>
        <v>9255208.259138983</v>
      </c>
      <c r="D60" s="3">
        <f>D59+Grid!D60</f>
        <v>24464542.20092483</v>
      </c>
      <c r="E60" s="3">
        <f>E59+Grid!E60</f>
        <v>14678725.320554888</v>
      </c>
      <c r="F60" s="3">
        <f>F59+Grid!F60</f>
        <v>9785816.880369956</v>
      </c>
      <c r="G60" s="3">
        <f>G59+Grid!G60</f>
        <v>9785816.880369956</v>
      </c>
      <c r="H60" s="3">
        <f>H59+Grid!H60</f>
        <v>9785816.880369956</v>
      </c>
      <c r="I60" s="3">
        <f>I59+Grid!I60</f>
        <v>9785816.880369956</v>
      </c>
      <c r="J60" s="3">
        <f>J59+Grid!J60</f>
        <v>2041590.031234823</v>
      </c>
      <c r="K60" s="3">
        <f>K59+Grid!K60</f>
        <v>200000000.00000003</v>
      </c>
      <c r="L60" s="3">
        <f>L59+Grid!L60</f>
        <v>155574175.0</v>
      </c>
      <c r="M60" s="3">
        <f>M59+Grid!M60</f>
        <v>94999999.99999996</v>
      </c>
      <c r="N60" s="3">
        <f>N59+Grid!N60</f>
        <v>50000000.000000015</v>
      </c>
      <c r="O60" s="3">
        <f>O59+Grid!O60</f>
        <v>40000000.0</v>
      </c>
      <c r="P60" s="3">
        <f>P59+Grid!P60</f>
        <v>50000000.0</v>
      </c>
      <c r="Q60" s="3">
        <f>Q59+Grid!Q60</f>
        <v>30000000.0</v>
      </c>
      <c r="R60" s="3">
        <f>R59+Grid!R60</f>
        <v>5000000.0</v>
      </c>
      <c r="S60" s="3">
        <f>SUM(C60:R60)</f>
        <v>715157508.3333333</v>
      </c>
      <c r="T60" s="9">
        <f>S60/Inputs!$B$4</f>
        <v>0.7151575083</v>
      </c>
    </row>
    <row r="61">
      <c r="A61" t="n">
        <v>56</v>
      </c>
      <c r="B61" s="4">
        <f>Grid!B61</f>
        <v>48349.0</v>
      </c>
      <c r="C61" s="3">
        <f>C60+Grid!C61</f>
        <v>9470445.660514308</v>
      </c>
      <c r="D61" s="3">
        <f>D60+Grid!D61</f>
        <v>25033485.0428068</v>
      </c>
      <c r="E61" s="3">
        <f>E60+Grid!E61</f>
        <v>15020091.025684072</v>
      </c>
      <c r="F61" s="3">
        <f>F60+Grid!F61</f>
        <v>10013394.017122746</v>
      </c>
      <c r="G61" s="3">
        <f>G60+Grid!G61</f>
        <v>10013394.017122746</v>
      </c>
      <c r="H61" s="3">
        <f>H60+Grid!H61</f>
        <v>10013394.017122746</v>
      </c>
      <c r="I61" s="3">
        <f>I60+Grid!I61</f>
        <v>10013394.017122746</v>
      </c>
      <c r="J61" s="3">
        <f>J60+Grid!J61</f>
        <v>2089068.8691705165</v>
      </c>
      <c r="K61" s="3">
        <f>K60+Grid!K61</f>
        <v>200000000.00000003</v>
      </c>
      <c r="L61" s="3">
        <f>L60+Grid!L61</f>
        <v>157662200.0</v>
      </c>
      <c r="M61" s="3">
        <f>M60+Grid!M61</f>
        <v>94999999.99999996</v>
      </c>
      <c r="N61" s="3">
        <f>N60+Grid!N61</f>
        <v>50000000.000000015</v>
      </c>
      <c r="O61" s="3">
        <f>O60+Grid!O61</f>
        <v>40000000.0</v>
      </c>
      <c r="P61" s="3">
        <f>P60+Grid!P61</f>
        <v>50000000.0</v>
      </c>
      <c r="Q61" s="3">
        <f>Q60+Grid!Q61</f>
        <v>30000000.0</v>
      </c>
      <c r="R61" s="3">
        <f>R60+Grid!R61</f>
        <v>5000000.0</v>
      </c>
      <c r="S61" s="3">
        <f>SUM(C61:R61)</f>
        <v>719328866.6666666</v>
      </c>
      <c r="T61" s="9">
        <f>S61/Inputs!$B$4</f>
        <v>0.7193288667</v>
      </c>
    </row>
    <row r="62">
      <c r="A62" t="n">
        <v>57</v>
      </c>
      <c r="B62" s="4">
        <f>Grid!B62</f>
        <v>48380.0</v>
      </c>
      <c r="C62" s="3">
        <f>C61+Grid!C62</f>
        <v>9685683.061889634</v>
      </c>
      <c r="D62" s="3">
        <f>D61+Grid!D62</f>
        <v>25602427.884688772</v>
      </c>
      <c r="E62" s="3">
        <f>E61+Grid!E62</f>
        <v>15361456.730813256</v>
      </c>
      <c r="F62" s="3">
        <f>F61+Grid!F62</f>
        <v>10240971.153875535</v>
      </c>
      <c r="G62" s="3">
        <f>G61+Grid!G62</f>
        <v>10240971.153875535</v>
      </c>
      <c r="H62" s="3">
        <f>H61+Grid!H62</f>
        <v>10240971.153875535</v>
      </c>
      <c r="I62" s="3">
        <f>I61+Grid!I62</f>
        <v>10240971.153875535</v>
      </c>
      <c r="J62" s="3">
        <f>J61+Grid!J62</f>
        <v>2136547.70710621</v>
      </c>
      <c r="K62" s="3">
        <f>K61+Grid!K62</f>
        <v>200000000.00000003</v>
      </c>
      <c r="L62" s="3">
        <f>L61+Grid!L62</f>
        <v>159750225.0</v>
      </c>
      <c r="M62" s="3">
        <f>M61+Grid!M62</f>
        <v>94999999.99999996</v>
      </c>
      <c r="N62" s="3">
        <f>N61+Grid!N62</f>
        <v>50000000.000000015</v>
      </c>
      <c r="O62" s="3">
        <f>O61+Grid!O62</f>
        <v>40000000.0</v>
      </c>
      <c r="P62" s="3">
        <f>P61+Grid!P62</f>
        <v>50000000.0</v>
      </c>
      <c r="Q62" s="3">
        <f>Q61+Grid!Q62</f>
        <v>30000000.0</v>
      </c>
      <c r="R62" s="3">
        <f>R61+Grid!R62</f>
        <v>5000000.0</v>
      </c>
      <c r="S62" s="3">
        <f>SUM(C62:R62)</f>
        <v>723500225.0</v>
      </c>
      <c r="T62" s="9">
        <f>S62/Inputs!$B$4</f>
        <v>0.723500225</v>
      </c>
    </row>
    <row r="63">
      <c r="A63" t="n">
        <v>58</v>
      </c>
      <c r="B63" s="4">
        <f>Grid!B63</f>
        <v>48410.0</v>
      </c>
      <c r="C63" s="3">
        <f>C62+Grid!C63</f>
        <v>9900920.463264959</v>
      </c>
      <c r="D63" s="3">
        <f>D62+Grid!D63</f>
        <v>26171370.726570744</v>
      </c>
      <c r="E63" s="3">
        <f>E62+Grid!E63</f>
        <v>15702822.43594244</v>
      </c>
      <c r="F63" s="3">
        <f>F62+Grid!F63</f>
        <v>10468548.290628325</v>
      </c>
      <c r="G63" s="3">
        <f>G62+Grid!G63</f>
        <v>10468548.290628325</v>
      </c>
      <c r="H63" s="3">
        <f>H62+Grid!H63</f>
        <v>10468548.290628325</v>
      </c>
      <c r="I63" s="3">
        <f>I62+Grid!I63</f>
        <v>10468548.290628325</v>
      </c>
      <c r="J63" s="3">
        <f>J62+Grid!J63</f>
        <v>2184026.5450419034</v>
      </c>
      <c r="K63" s="3">
        <f>K62+Grid!K63</f>
        <v>200000000.00000003</v>
      </c>
      <c r="L63" s="3">
        <f>L62+Grid!L63</f>
        <v>161838250.0</v>
      </c>
      <c r="M63" s="3">
        <f>M62+Grid!M63</f>
        <v>94999999.99999996</v>
      </c>
      <c r="N63" s="3">
        <f>N62+Grid!N63</f>
        <v>50000000.000000015</v>
      </c>
      <c r="O63" s="3">
        <f>O62+Grid!O63</f>
        <v>40000000.0</v>
      </c>
      <c r="P63" s="3">
        <f>P62+Grid!P63</f>
        <v>50000000.0</v>
      </c>
      <c r="Q63" s="3">
        <f>Q62+Grid!Q63</f>
        <v>30000000.0</v>
      </c>
      <c r="R63" s="3">
        <f>R62+Grid!R63</f>
        <v>5000000.0</v>
      </c>
      <c r="S63" s="3">
        <f>SUM(C63:R63)</f>
        <v>727671583.3333334</v>
      </c>
      <c r="T63" s="9">
        <f>S63/Inputs!$B$4</f>
        <v>0.7276715833</v>
      </c>
    </row>
    <row r="64">
      <c r="A64" t="n">
        <v>59</v>
      </c>
      <c r="B64" s="4">
        <f>Grid!B64</f>
        <v>48441.0</v>
      </c>
      <c r="C64" s="3">
        <f>C63+Grid!C64</f>
        <v>10116157.864640284</v>
      </c>
      <c r="D64" s="3">
        <f>D63+Grid!D64</f>
        <v>26740313.568452716</v>
      </c>
      <c r="E64" s="3">
        <f>E63+Grid!E64</f>
        <v>16044188.141071623</v>
      </c>
      <c r="F64" s="3">
        <f>F63+Grid!F64</f>
        <v>10696125.427381115</v>
      </c>
      <c r="G64" s="3">
        <f>G63+Grid!G64</f>
        <v>10696125.427381115</v>
      </c>
      <c r="H64" s="3">
        <f>H63+Grid!H64</f>
        <v>10696125.427381115</v>
      </c>
      <c r="I64" s="3">
        <f>I63+Grid!I64</f>
        <v>10696125.427381115</v>
      </c>
      <c r="J64" s="3">
        <f>J63+Grid!J64</f>
        <v>2231505.382977597</v>
      </c>
      <c r="K64" s="3">
        <f>K63+Grid!K64</f>
        <v>200000000.00000003</v>
      </c>
      <c r="L64" s="3">
        <f>L63+Grid!L64</f>
        <v>163926275.0</v>
      </c>
      <c r="M64" s="3">
        <f>M63+Grid!M64</f>
        <v>94999999.99999996</v>
      </c>
      <c r="N64" s="3">
        <f>N63+Grid!N64</f>
        <v>50000000.000000015</v>
      </c>
      <c r="O64" s="3">
        <f>O63+Grid!O64</f>
        <v>40000000.0</v>
      </c>
      <c r="P64" s="3">
        <f>P63+Grid!P64</f>
        <v>50000000.0</v>
      </c>
      <c r="Q64" s="3">
        <f>Q63+Grid!Q64</f>
        <v>30000000.0</v>
      </c>
      <c r="R64" s="3">
        <f>R63+Grid!R64</f>
        <v>5000000.0</v>
      </c>
      <c r="S64" s="3">
        <f>SUM(C64:R64)</f>
        <v>731842941.6666667</v>
      </c>
      <c r="T64" s="9">
        <f>S64/Inputs!$B$4</f>
        <v>0.7318429417</v>
      </c>
    </row>
    <row r="65">
      <c r="A65" t="n">
        <v>60</v>
      </c>
      <c r="B65" s="4">
        <f>Grid!B65</f>
        <v>48472.0</v>
      </c>
      <c r="C65" s="3">
        <f>C64+Grid!C65</f>
        <v>10331395.26601561</v>
      </c>
      <c r="D65" s="3">
        <f>D64+Grid!D65</f>
        <v>27309256.410334688</v>
      </c>
      <c r="E65" s="3">
        <f>E64+Grid!E65</f>
        <v>16385553.846200807</v>
      </c>
      <c r="F65" s="3">
        <f>F64+Grid!F65</f>
        <v>10923702.564133905</v>
      </c>
      <c r="G65" s="3">
        <f>G64+Grid!G65</f>
        <v>10923702.564133905</v>
      </c>
      <c r="H65" s="3">
        <f>H64+Grid!H65</f>
        <v>10923702.564133905</v>
      </c>
      <c r="I65" s="3">
        <f>I64+Grid!I65</f>
        <v>10923702.564133905</v>
      </c>
      <c r="J65" s="3">
        <f>J64+Grid!J65</f>
        <v>2278984.2209132905</v>
      </c>
      <c r="K65" s="3">
        <f>K64+Grid!K65</f>
        <v>200000000.00000003</v>
      </c>
      <c r="L65" s="3">
        <f>L64+Grid!L65</f>
        <v>166014300.0</v>
      </c>
      <c r="M65" s="3">
        <f>M64+Grid!M65</f>
        <v>94999999.99999996</v>
      </c>
      <c r="N65" s="3">
        <f>N64+Grid!N65</f>
        <v>50000000.000000015</v>
      </c>
      <c r="O65" s="3">
        <f>O64+Grid!O65</f>
        <v>40000000.0</v>
      </c>
      <c r="P65" s="3">
        <f>P64+Grid!P65</f>
        <v>50000000.0</v>
      </c>
      <c r="Q65" s="3">
        <f>Q64+Grid!Q65</f>
        <v>30000000.0</v>
      </c>
      <c r="R65" s="3">
        <f>R64+Grid!R65</f>
        <v>5000000.0</v>
      </c>
      <c r="S65" s="3">
        <f>SUM(C65:R65)</f>
        <v>736014300.0</v>
      </c>
      <c r="T65" s="9">
        <f>S65/Inputs!$B$4</f>
        <v>0.7360143</v>
      </c>
    </row>
    <row r="66">
      <c r="A66" t="n">
        <v>61</v>
      </c>
      <c r="B66" s="4">
        <f>Grid!B66</f>
        <v>48502.0</v>
      </c>
      <c r="C66" s="3">
        <f>C65+Grid!C66</f>
        <v>10331395.26601561</v>
      </c>
      <c r="D66" s="3">
        <f>D65+Grid!D66</f>
        <v>27309256.410334688</v>
      </c>
      <c r="E66" s="3">
        <f>E65+Grid!E66</f>
        <v>16385553.846200807</v>
      </c>
      <c r="F66" s="3">
        <f>F65+Grid!F66</f>
        <v>10923702.564133905</v>
      </c>
      <c r="G66" s="3">
        <f>G65+Grid!G66</f>
        <v>10923702.564133905</v>
      </c>
      <c r="H66" s="3">
        <f>H65+Grid!H66</f>
        <v>10923702.564133905</v>
      </c>
      <c r="I66" s="3">
        <f>I65+Grid!I66</f>
        <v>10923702.564133905</v>
      </c>
      <c r="J66" s="3">
        <f>J65+Grid!J66</f>
        <v>2278984.2209132905</v>
      </c>
      <c r="K66" s="3">
        <f>K65+Grid!K66</f>
        <v>200000000.00000003</v>
      </c>
      <c r="L66" s="3">
        <f>L65+Grid!L66</f>
        <v>167789121.25</v>
      </c>
      <c r="M66" s="3">
        <f>M65+Grid!M66</f>
        <v>94999999.99999996</v>
      </c>
      <c r="N66" s="3">
        <f>N65+Grid!N66</f>
        <v>50000000.000000015</v>
      </c>
      <c r="O66" s="3">
        <f>O65+Grid!O66</f>
        <v>40000000.0</v>
      </c>
      <c r="P66" s="3">
        <f>P65+Grid!P66</f>
        <v>50000000.0</v>
      </c>
      <c r="Q66" s="3">
        <f>Q65+Grid!Q66</f>
        <v>30000000.0</v>
      </c>
      <c r="R66" s="3">
        <f>R65+Grid!R66</f>
        <v>5000000.0</v>
      </c>
      <c r="S66" s="3">
        <f>SUM(C66:R66)</f>
        <v>737789121.25</v>
      </c>
      <c r="T66" s="9">
        <f>S66/Inputs!$B$4</f>
        <v>0.7377891212</v>
      </c>
    </row>
    <row r="67">
      <c r="A67" t="n">
        <v>62</v>
      </c>
      <c r="B67" s="4">
        <f>Grid!B67</f>
        <v>48533.0</v>
      </c>
      <c r="C67" s="3">
        <f>C66+Grid!C67</f>
        <v>10331395.26601561</v>
      </c>
      <c r="D67" s="3">
        <f>D66+Grid!D67</f>
        <v>27309256.410334688</v>
      </c>
      <c r="E67" s="3">
        <f>E66+Grid!E67</f>
        <v>16385553.846200807</v>
      </c>
      <c r="F67" s="3">
        <f>F66+Grid!F67</f>
        <v>10923702.564133905</v>
      </c>
      <c r="G67" s="3">
        <f>G66+Grid!G67</f>
        <v>10923702.564133905</v>
      </c>
      <c r="H67" s="3">
        <f>H66+Grid!H67</f>
        <v>10923702.564133905</v>
      </c>
      <c r="I67" s="3">
        <f>I66+Grid!I67</f>
        <v>10923702.564133905</v>
      </c>
      <c r="J67" s="3">
        <f>J66+Grid!J67</f>
        <v>2278984.2209132905</v>
      </c>
      <c r="K67" s="3">
        <f>K66+Grid!K67</f>
        <v>200000000.00000003</v>
      </c>
      <c r="L67" s="3">
        <f>L66+Grid!L67</f>
        <v>169563942.5</v>
      </c>
      <c r="M67" s="3">
        <f>M66+Grid!M67</f>
        <v>94999999.99999996</v>
      </c>
      <c r="N67" s="3">
        <f>N66+Grid!N67</f>
        <v>50000000.000000015</v>
      </c>
      <c r="O67" s="3">
        <f>O66+Grid!O67</f>
        <v>40000000.0</v>
      </c>
      <c r="P67" s="3">
        <f>P66+Grid!P67</f>
        <v>50000000.0</v>
      </c>
      <c r="Q67" s="3">
        <f>Q66+Grid!Q67</f>
        <v>30000000.0</v>
      </c>
      <c r="R67" s="3">
        <f>R66+Grid!R67</f>
        <v>5000000.0</v>
      </c>
      <c r="S67" s="3">
        <f>SUM(C67:R67)</f>
        <v>739563942.5</v>
      </c>
      <c r="T67" s="9">
        <f>S67/Inputs!$B$4</f>
        <v>0.7395639425</v>
      </c>
    </row>
    <row r="68">
      <c r="A68" t="n">
        <v>63</v>
      </c>
      <c r="B68" s="4">
        <f>Grid!B68</f>
        <v>48563.0</v>
      </c>
      <c r="C68" s="3">
        <f>C67+Grid!C68</f>
        <v>10331395.26601561</v>
      </c>
      <c r="D68" s="3">
        <f>D67+Grid!D68</f>
        <v>27309256.410334688</v>
      </c>
      <c r="E68" s="3">
        <f>E67+Grid!E68</f>
        <v>16385553.846200807</v>
      </c>
      <c r="F68" s="3">
        <f>F67+Grid!F68</f>
        <v>10923702.564133905</v>
      </c>
      <c r="G68" s="3">
        <f>G67+Grid!G68</f>
        <v>10923702.564133905</v>
      </c>
      <c r="H68" s="3">
        <f>H67+Grid!H68</f>
        <v>10923702.564133905</v>
      </c>
      <c r="I68" s="3">
        <f>I67+Grid!I68</f>
        <v>10923702.564133905</v>
      </c>
      <c r="J68" s="3">
        <f>J67+Grid!J68</f>
        <v>2278984.2209132905</v>
      </c>
      <c r="K68" s="3">
        <f>K67+Grid!K68</f>
        <v>200000000.00000003</v>
      </c>
      <c r="L68" s="3">
        <f>L67+Grid!L68</f>
        <v>171338763.75</v>
      </c>
      <c r="M68" s="3">
        <f>M67+Grid!M68</f>
        <v>94999999.99999996</v>
      </c>
      <c r="N68" s="3">
        <f>N67+Grid!N68</f>
        <v>50000000.000000015</v>
      </c>
      <c r="O68" s="3">
        <f>O67+Grid!O68</f>
        <v>40000000.0</v>
      </c>
      <c r="P68" s="3">
        <f>P67+Grid!P68</f>
        <v>50000000.0</v>
      </c>
      <c r="Q68" s="3">
        <f>Q67+Grid!Q68</f>
        <v>30000000.0</v>
      </c>
      <c r="R68" s="3">
        <f>R67+Grid!R68</f>
        <v>5000000.0</v>
      </c>
      <c r="S68" s="3">
        <f>SUM(C68:R68)</f>
        <v>741338763.75</v>
      </c>
      <c r="T68" s="9">
        <f>S68/Inputs!$B$4</f>
        <v>0.7413387637</v>
      </c>
    </row>
    <row r="69">
      <c r="A69" t="n">
        <v>64</v>
      </c>
      <c r="B69" s="4">
        <f>Grid!B69</f>
        <v>48594.0</v>
      </c>
      <c r="C69" s="3">
        <f>C68+Grid!C69</f>
        <v>10331395.26601561</v>
      </c>
      <c r="D69" s="3">
        <f>D68+Grid!D69</f>
        <v>27309256.410334688</v>
      </c>
      <c r="E69" s="3">
        <f>E68+Grid!E69</f>
        <v>16385553.846200807</v>
      </c>
      <c r="F69" s="3">
        <f>F68+Grid!F69</f>
        <v>10923702.564133905</v>
      </c>
      <c r="G69" s="3">
        <f>G68+Grid!G69</f>
        <v>10923702.564133905</v>
      </c>
      <c r="H69" s="3">
        <f>H68+Grid!H69</f>
        <v>10923702.564133905</v>
      </c>
      <c r="I69" s="3">
        <f>I68+Grid!I69</f>
        <v>10923702.564133905</v>
      </c>
      <c r="J69" s="3">
        <f>J68+Grid!J69</f>
        <v>2278984.2209132905</v>
      </c>
      <c r="K69" s="3">
        <f>K68+Grid!K69</f>
        <v>200000000.00000003</v>
      </c>
      <c r="L69" s="3">
        <f>L68+Grid!L69</f>
        <v>173113585.0</v>
      </c>
      <c r="M69" s="3">
        <f>M68+Grid!M69</f>
        <v>94999999.99999996</v>
      </c>
      <c r="N69" s="3">
        <f>N68+Grid!N69</f>
        <v>50000000.000000015</v>
      </c>
      <c r="O69" s="3">
        <f>O68+Grid!O69</f>
        <v>40000000.0</v>
      </c>
      <c r="P69" s="3">
        <f>P68+Grid!P69</f>
        <v>50000000.0</v>
      </c>
      <c r="Q69" s="3">
        <f>Q68+Grid!Q69</f>
        <v>30000000.0</v>
      </c>
      <c r="R69" s="3">
        <f>R68+Grid!R69</f>
        <v>5000000.0</v>
      </c>
      <c r="S69" s="3">
        <f>SUM(C69:R69)</f>
        <v>743113585.0</v>
      </c>
      <c r="T69" s="9">
        <f>S69/Inputs!$B$4</f>
        <v>0.743113585</v>
      </c>
    </row>
    <row r="70">
      <c r="A70" t="n">
        <v>65</v>
      </c>
      <c r="B70" s="4">
        <f>Grid!B70</f>
        <v>48625.0</v>
      </c>
      <c r="C70" s="3">
        <f>C69+Grid!C70</f>
        <v>10331395.26601561</v>
      </c>
      <c r="D70" s="3">
        <f>D69+Grid!D70</f>
        <v>27309256.410334688</v>
      </c>
      <c r="E70" s="3">
        <f>E69+Grid!E70</f>
        <v>16385553.846200807</v>
      </c>
      <c r="F70" s="3">
        <f>F69+Grid!F70</f>
        <v>10923702.564133905</v>
      </c>
      <c r="G70" s="3">
        <f>G69+Grid!G70</f>
        <v>10923702.564133905</v>
      </c>
      <c r="H70" s="3">
        <f>H69+Grid!H70</f>
        <v>10923702.564133905</v>
      </c>
      <c r="I70" s="3">
        <f>I69+Grid!I70</f>
        <v>10923702.564133905</v>
      </c>
      <c r="J70" s="3">
        <f>J69+Grid!J70</f>
        <v>2278984.2209132905</v>
      </c>
      <c r="K70" s="3">
        <f>K69+Grid!K70</f>
        <v>200000000.00000003</v>
      </c>
      <c r="L70" s="3">
        <f>L69+Grid!L70</f>
        <v>174888406.25</v>
      </c>
      <c r="M70" s="3">
        <f>M69+Grid!M70</f>
        <v>94999999.99999996</v>
      </c>
      <c r="N70" s="3">
        <f>N69+Grid!N70</f>
        <v>50000000.000000015</v>
      </c>
      <c r="O70" s="3">
        <f>O69+Grid!O70</f>
        <v>40000000.0</v>
      </c>
      <c r="P70" s="3">
        <f>P69+Grid!P70</f>
        <v>50000000.0</v>
      </c>
      <c r="Q70" s="3">
        <f>Q69+Grid!Q70</f>
        <v>30000000.0</v>
      </c>
      <c r="R70" s="3">
        <f>R69+Grid!R70</f>
        <v>5000000.0</v>
      </c>
      <c r="S70" s="3">
        <f>SUM(C70:R70)</f>
        <v>744888406.25</v>
      </c>
      <c r="T70" s="9">
        <f>S70/Inputs!$B$4</f>
        <v>0.7448884062</v>
      </c>
    </row>
    <row r="71">
      <c r="A71" t="n">
        <v>66</v>
      </c>
      <c r="B71" s="4">
        <f>Grid!B71</f>
        <v>48653.0</v>
      </c>
      <c r="C71" s="3">
        <f>C70+Grid!C71</f>
        <v>10331395.26601561</v>
      </c>
      <c r="D71" s="3">
        <f>D70+Grid!D71</f>
        <v>27309256.410334688</v>
      </c>
      <c r="E71" s="3">
        <f>E70+Grid!E71</f>
        <v>16385553.846200807</v>
      </c>
      <c r="F71" s="3">
        <f>F70+Grid!F71</f>
        <v>10923702.564133905</v>
      </c>
      <c r="G71" s="3">
        <f>G70+Grid!G71</f>
        <v>10923702.564133905</v>
      </c>
      <c r="H71" s="3">
        <f>H70+Grid!H71</f>
        <v>10923702.564133905</v>
      </c>
      <c r="I71" s="3">
        <f>I70+Grid!I71</f>
        <v>10923702.564133905</v>
      </c>
      <c r="J71" s="3">
        <f>J70+Grid!J71</f>
        <v>2278984.2209132905</v>
      </c>
      <c r="K71" s="3">
        <f>K70+Grid!K71</f>
        <v>200000000.00000003</v>
      </c>
      <c r="L71" s="3">
        <f>L70+Grid!L71</f>
        <v>176663227.5</v>
      </c>
      <c r="M71" s="3">
        <f>M70+Grid!M71</f>
        <v>94999999.99999996</v>
      </c>
      <c r="N71" s="3">
        <f>N70+Grid!N71</f>
        <v>50000000.000000015</v>
      </c>
      <c r="O71" s="3">
        <f>O70+Grid!O71</f>
        <v>40000000.0</v>
      </c>
      <c r="P71" s="3">
        <f>P70+Grid!P71</f>
        <v>50000000.0</v>
      </c>
      <c r="Q71" s="3">
        <f>Q70+Grid!Q71</f>
        <v>30000000.0</v>
      </c>
      <c r="R71" s="3">
        <f>R70+Grid!R71</f>
        <v>5000000.0</v>
      </c>
      <c r="S71" s="3">
        <f>SUM(C71:R71)</f>
        <v>746663227.5</v>
      </c>
      <c r="T71" s="9">
        <f>S71/Inputs!$B$4</f>
        <v>0.7466632275</v>
      </c>
    </row>
    <row r="72">
      <c r="A72" t="n">
        <v>67</v>
      </c>
      <c r="B72" s="4">
        <f>Grid!B72</f>
        <v>48684.0</v>
      </c>
      <c r="C72" s="3">
        <f>C71+Grid!C72</f>
        <v>10331395.26601561</v>
      </c>
      <c r="D72" s="3">
        <f>D71+Grid!D72</f>
        <v>27309256.410334688</v>
      </c>
      <c r="E72" s="3">
        <f>E71+Grid!E72</f>
        <v>16385553.846200807</v>
      </c>
      <c r="F72" s="3">
        <f>F71+Grid!F72</f>
        <v>10923702.564133905</v>
      </c>
      <c r="G72" s="3">
        <f>G71+Grid!G72</f>
        <v>10923702.564133905</v>
      </c>
      <c r="H72" s="3">
        <f>H71+Grid!H72</f>
        <v>10923702.564133905</v>
      </c>
      <c r="I72" s="3">
        <f>I71+Grid!I72</f>
        <v>10923702.564133905</v>
      </c>
      <c r="J72" s="3">
        <f>J71+Grid!J72</f>
        <v>2278984.2209132905</v>
      </c>
      <c r="K72" s="3">
        <f>K71+Grid!K72</f>
        <v>200000000.00000003</v>
      </c>
      <c r="L72" s="3">
        <f>L71+Grid!L72</f>
        <v>178438048.75</v>
      </c>
      <c r="M72" s="3">
        <f>M71+Grid!M72</f>
        <v>94999999.99999996</v>
      </c>
      <c r="N72" s="3">
        <f>N71+Grid!N72</f>
        <v>50000000.000000015</v>
      </c>
      <c r="O72" s="3">
        <f>O71+Grid!O72</f>
        <v>40000000.0</v>
      </c>
      <c r="P72" s="3">
        <f>P71+Grid!P72</f>
        <v>50000000.0</v>
      </c>
      <c r="Q72" s="3">
        <f>Q71+Grid!Q72</f>
        <v>30000000.0</v>
      </c>
      <c r="R72" s="3">
        <f>R71+Grid!R72</f>
        <v>5000000.0</v>
      </c>
      <c r="S72" s="3">
        <f>SUM(C72:R72)</f>
        <v>748438048.75</v>
      </c>
      <c r="T72" s="9">
        <f>S72/Inputs!$B$4</f>
        <v>0.7484380487</v>
      </c>
    </row>
    <row r="73">
      <c r="A73" t="n">
        <v>68</v>
      </c>
      <c r="B73" s="4">
        <f>Grid!B73</f>
        <v>48714.0</v>
      </c>
      <c r="C73" s="3">
        <f>C72+Grid!C73</f>
        <v>10331395.26601561</v>
      </c>
      <c r="D73" s="3">
        <f>D72+Grid!D73</f>
        <v>27309256.410334688</v>
      </c>
      <c r="E73" s="3">
        <f>E72+Grid!E73</f>
        <v>16385553.846200807</v>
      </c>
      <c r="F73" s="3">
        <f>F72+Grid!F73</f>
        <v>10923702.564133905</v>
      </c>
      <c r="G73" s="3">
        <f>G72+Grid!G73</f>
        <v>10923702.564133905</v>
      </c>
      <c r="H73" s="3">
        <f>H72+Grid!H73</f>
        <v>10923702.564133905</v>
      </c>
      <c r="I73" s="3">
        <f>I72+Grid!I73</f>
        <v>10923702.564133905</v>
      </c>
      <c r="J73" s="3">
        <f>J72+Grid!J73</f>
        <v>2278984.2209132905</v>
      </c>
      <c r="K73" s="3">
        <f>K72+Grid!K73</f>
        <v>200000000.00000003</v>
      </c>
      <c r="L73" s="3">
        <f>L72+Grid!L73</f>
        <v>180212870.0</v>
      </c>
      <c r="M73" s="3">
        <f>M72+Grid!M73</f>
        <v>94999999.99999996</v>
      </c>
      <c r="N73" s="3">
        <f>N72+Grid!N73</f>
        <v>50000000.000000015</v>
      </c>
      <c r="O73" s="3">
        <f>O72+Grid!O73</f>
        <v>40000000.0</v>
      </c>
      <c r="P73" s="3">
        <f>P72+Grid!P73</f>
        <v>50000000.0</v>
      </c>
      <c r="Q73" s="3">
        <f>Q72+Grid!Q73</f>
        <v>30000000.0</v>
      </c>
      <c r="R73" s="3">
        <f>R72+Grid!R73</f>
        <v>5000000.0</v>
      </c>
      <c r="S73" s="3">
        <f>SUM(C73:R73)</f>
        <v>750212870.0</v>
      </c>
      <c r="T73" s="9">
        <f>S73/Inputs!$B$4</f>
        <v>0.75021287</v>
      </c>
    </row>
    <row r="74">
      <c r="A74" t="n">
        <v>69</v>
      </c>
      <c r="B74" s="4">
        <f>Grid!B74</f>
        <v>48745.0</v>
      </c>
      <c r="C74" s="3">
        <f>C73+Grid!C74</f>
        <v>10331395.26601561</v>
      </c>
      <c r="D74" s="3">
        <f>D73+Grid!D74</f>
        <v>27309256.410334688</v>
      </c>
      <c r="E74" s="3">
        <f>E73+Grid!E74</f>
        <v>16385553.846200807</v>
      </c>
      <c r="F74" s="3">
        <f>F73+Grid!F74</f>
        <v>10923702.564133905</v>
      </c>
      <c r="G74" s="3">
        <f>G73+Grid!G74</f>
        <v>10923702.564133905</v>
      </c>
      <c r="H74" s="3">
        <f>H73+Grid!H74</f>
        <v>10923702.564133905</v>
      </c>
      <c r="I74" s="3">
        <f>I73+Grid!I74</f>
        <v>10923702.564133905</v>
      </c>
      <c r="J74" s="3">
        <f>J73+Grid!J74</f>
        <v>2278984.2209132905</v>
      </c>
      <c r="K74" s="3">
        <f>K73+Grid!K74</f>
        <v>200000000.00000003</v>
      </c>
      <c r="L74" s="3">
        <f>L73+Grid!L74</f>
        <v>181987691.25</v>
      </c>
      <c r="M74" s="3">
        <f>M73+Grid!M74</f>
        <v>94999999.99999996</v>
      </c>
      <c r="N74" s="3">
        <f>N73+Grid!N74</f>
        <v>50000000.000000015</v>
      </c>
      <c r="O74" s="3">
        <f>O73+Grid!O74</f>
        <v>40000000.0</v>
      </c>
      <c r="P74" s="3">
        <f>P73+Grid!P74</f>
        <v>50000000.0</v>
      </c>
      <c r="Q74" s="3">
        <f>Q73+Grid!Q74</f>
        <v>30000000.0</v>
      </c>
      <c r="R74" s="3">
        <f>R73+Grid!R74</f>
        <v>5000000.0</v>
      </c>
      <c r="S74" s="3">
        <f>SUM(C74:R74)</f>
        <v>751987691.25</v>
      </c>
      <c r="T74" s="9">
        <f>S74/Inputs!$B$4</f>
        <v>0.7519876912</v>
      </c>
    </row>
    <row r="75">
      <c r="A75" t="n">
        <v>70</v>
      </c>
      <c r="B75" s="4">
        <f>Grid!B75</f>
        <v>48775.0</v>
      </c>
      <c r="C75" s="3">
        <f>C74+Grid!C75</f>
        <v>10331395.26601561</v>
      </c>
      <c r="D75" s="3">
        <f>D74+Grid!D75</f>
        <v>27309256.410334688</v>
      </c>
      <c r="E75" s="3">
        <f>E74+Grid!E75</f>
        <v>16385553.846200807</v>
      </c>
      <c r="F75" s="3">
        <f>F74+Grid!F75</f>
        <v>10923702.564133905</v>
      </c>
      <c r="G75" s="3">
        <f>G74+Grid!G75</f>
        <v>10923702.564133905</v>
      </c>
      <c r="H75" s="3">
        <f>H74+Grid!H75</f>
        <v>10923702.564133905</v>
      </c>
      <c r="I75" s="3">
        <f>I74+Grid!I75</f>
        <v>10923702.564133905</v>
      </c>
      <c r="J75" s="3">
        <f>J74+Grid!J75</f>
        <v>2278984.2209132905</v>
      </c>
      <c r="K75" s="3">
        <f>K74+Grid!K75</f>
        <v>200000000.00000003</v>
      </c>
      <c r="L75" s="3">
        <f>L74+Grid!L75</f>
        <v>183762512.5</v>
      </c>
      <c r="M75" s="3">
        <f>M74+Grid!M75</f>
        <v>94999999.99999996</v>
      </c>
      <c r="N75" s="3">
        <f>N74+Grid!N75</f>
        <v>50000000.000000015</v>
      </c>
      <c r="O75" s="3">
        <f>O74+Grid!O75</f>
        <v>40000000.0</v>
      </c>
      <c r="P75" s="3">
        <f>P74+Grid!P75</f>
        <v>50000000.0</v>
      </c>
      <c r="Q75" s="3">
        <f>Q74+Grid!Q75</f>
        <v>30000000.0</v>
      </c>
      <c r="R75" s="3">
        <f>R74+Grid!R75</f>
        <v>5000000.0</v>
      </c>
      <c r="S75" s="3">
        <f>SUM(C75:R75)</f>
        <v>753762512.5</v>
      </c>
      <c r="T75" s="9">
        <f>S75/Inputs!$B$4</f>
        <v>0.7537625125</v>
      </c>
    </row>
    <row r="76">
      <c r="A76" t="n">
        <v>71</v>
      </c>
      <c r="B76" s="4">
        <f>Grid!B76</f>
        <v>48806.0</v>
      </c>
      <c r="C76" s="3">
        <f>C75+Grid!C76</f>
        <v>10331395.26601561</v>
      </c>
      <c r="D76" s="3">
        <f>D75+Grid!D76</f>
        <v>27309256.410334688</v>
      </c>
      <c r="E76" s="3">
        <f>E75+Grid!E76</f>
        <v>16385553.846200807</v>
      </c>
      <c r="F76" s="3">
        <f>F75+Grid!F76</f>
        <v>10923702.564133905</v>
      </c>
      <c r="G76" s="3">
        <f>G75+Grid!G76</f>
        <v>10923702.564133905</v>
      </c>
      <c r="H76" s="3">
        <f>H75+Grid!H76</f>
        <v>10923702.564133905</v>
      </c>
      <c r="I76" s="3">
        <f>I75+Grid!I76</f>
        <v>10923702.564133905</v>
      </c>
      <c r="J76" s="3">
        <f>J75+Grid!J76</f>
        <v>2278984.2209132905</v>
      </c>
      <c r="K76" s="3">
        <f>K75+Grid!K76</f>
        <v>200000000.00000003</v>
      </c>
      <c r="L76" s="3">
        <f>L75+Grid!L76</f>
        <v>185537333.75</v>
      </c>
      <c r="M76" s="3">
        <f>M75+Grid!M76</f>
        <v>94999999.99999996</v>
      </c>
      <c r="N76" s="3">
        <f>N75+Grid!N76</f>
        <v>50000000.000000015</v>
      </c>
      <c r="O76" s="3">
        <f>O75+Grid!O76</f>
        <v>40000000.0</v>
      </c>
      <c r="P76" s="3">
        <f>P75+Grid!P76</f>
        <v>50000000.0</v>
      </c>
      <c r="Q76" s="3">
        <f>Q75+Grid!Q76</f>
        <v>30000000.0</v>
      </c>
      <c r="R76" s="3">
        <f>R75+Grid!R76</f>
        <v>5000000.0</v>
      </c>
      <c r="S76" s="3">
        <f>SUM(C76:R76)</f>
        <v>755537333.75</v>
      </c>
      <c r="T76" s="9">
        <f>S76/Inputs!$B$4</f>
        <v>0.7555373337</v>
      </c>
    </row>
    <row r="77">
      <c r="A77" t="n">
        <v>72</v>
      </c>
      <c r="B77" s="4">
        <f>Grid!B77</f>
        <v>48837.0</v>
      </c>
      <c r="C77" s="3">
        <f>C76+Grid!C77</f>
        <v>10331395.26601561</v>
      </c>
      <c r="D77" s="3">
        <f>D76+Grid!D77</f>
        <v>27309256.410334688</v>
      </c>
      <c r="E77" s="3">
        <f>E76+Grid!E77</f>
        <v>16385553.846200807</v>
      </c>
      <c r="F77" s="3">
        <f>F76+Grid!F77</f>
        <v>10923702.564133905</v>
      </c>
      <c r="G77" s="3">
        <f>G76+Grid!G77</f>
        <v>10923702.564133905</v>
      </c>
      <c r="H77" s="3">
        <f>H76+Grid!H77</f>
        <v>10923702.564133905</v>
      </c>
      <c r="I77" s="3">
        <f>I76+Grid!I77</f>
        <v>10923702.564133905</v>
      </c>
      <c r="J77" s="3">
        <f>J76+Grid!J77</f>
        <v>2278984.2209132905</v>
      </c>
      <c r="K77" s="3">
        <f>K76+Grid!K77</f>
        <v>200000000.00000003</v>
      </c>
      <c r="L77" s="3">
        <f>L76+Grid!L77</f>
        <v>187312155.0</v>
      </c>
      <c r="M77" s="3">
        <f>M76+Grid!M77</f>
        <v>94999999.99999996</v>
      </c>
      <c r="N77" s="3">
        <f>N76+Grid!N77</f>
        <v>50000000.000000015</v>
      </c>
      <c r="O77" s="3">
        <f>O76+Grid!O77</f>
        <v>40000000.0</v>
      </c>
      <c r="P77" s="3">
        <f>P76+Grid!P77</f>
        <v>50000000.0</v>
      </c>
      <c r="Q77" s="3">
        <f>Q76+Grid!Q77</f>
        <v>30000000.0</v>
      </c>
      <c r="R77" s="3">
        <f>R76+Grid!R77</f>
        <v>5000000.0</v>
      </c>
      <c r="S77" s="3">
        <f>SUM(C77:R77)</f>
        <v>757312155.0</v>
      </c>
      <c r="T77" s="9">
        <f>S77/Inputs!$B$4</f>
        <v>0.757312155</v>
      </c>
    </row>
    <row r="78">
      <c r="A78" t="n">
        <v>73</v>
      </c>
      <c r="B78" s="4">
        <f>Grid!B78</f>
        <v>48867.0</v>
      </c>
      <c r="C78" s="3">
        <f>C77+Grid!C78</f>
        <v>10331395.26601561</v>
      </c>
      <c r="D78" s="3">
        <f>D77+Grid!D78</f>
        <v>27309256.410334688</v>
      </c>
      <c r="E78" s="3">
        <f>E77+Grid!E78</f>
        <v>16385553.846200807</v>
      </c>
      <c r="F78" s="3">
        <f>F77+Grid!F78</f>
        <v>10923702.564133905</v>
      </c>
      <c r="G78" s="3">
        <f>G77+Grid!G78</f>
        <v>10923702.564133905</v>
      </c>
      <c r="H78" s="3">
        <f>H77+Grid!H78</f>
        <v>10923702.564133905</v>
      </c>
      <c r="I78" s="3">
        <f>I77+Grid!I78</f>
        <v>10923702.564133905</v>
      </c>
      <c r="J78" s="3">
        <f>J77+Grid!J78</f>
        <v>2278984.2209132905</v>
      </c>
      <c r="K78" s="3">
        <f>K77+Grid!K78</f>
        <v>200000000.00000003</v>
      </c>
      <c r="L78" s="3">
        <f>L77+Grid!L78</f>
        <v>188820753.0625</v>
      </c>
      <c r="M78" s="3">
        <f>M77+Grid!M78</f>
        <v>94999999.99999996</v>
      </c>
      <c r="N78" s="3">
        <f>N77+Grid!N78</f>
        <v>50000000.000000015</v>
      </c>
      <c r="O78" s="3">
        <f>O77+Grid!O78</f>
        <v>40000000.0</v>
      </c>
      <c r="P78" s="3">
        <f>P77+Grid!P78</f>
        <v>50000000.0</v>
      </c>
      <c r="Q78" s="3">
        <f>Q77+Grid!Q78</f>
        <v>30000000.0</v>
      </c>
      <c r="R78" s="3">
        <f>R77+Grid!R78</f>
        <v>5000000.0</v>
      </c>
      <c r="S78" s="3">
        <f>SUM(C78:R78)</f>
        <v>758820753.0625</v>
      </c>
      <c r="T78" s="9">
        <f>S78/Inputs!$B$4</f>
        <v>0.7588207531</v>
      </c>
    </row>
    <row r="79">
      <c r="A79" t="n">
        <v>74</v>
      </c>
      <c r="B79" s="4">
        <f>Grid!B79</f>
        <v>48898.0</v>
      </c>
      <c r="C79" s="3">
        <f>C78+Grid!C79</f>
        <v>10331395.26601561</v>
      </c>
      <c r="D79" s="3">
        <f>D78+Grid!D79</f>
        <v>27309256.410334688</v>
      </c>
      <c r="E79" s="3">
        <f>E78+Grid!E79</f>
        <v>16385553.846200807</v>
      </c>
      <c r="F79" s="3">
        <f>F78+Grid!F79</f>
        <v>10923702.564133905</v>
      </c>
      <c r="G79" s="3">
        <f>G78+Grid!G79</f>
        <v>10923702.564133905</v>
      </c>
      <c r="H79" s="3">
        <f>H78+Grid!H79</f>
        <v>10923702.564133905</v>
      </c>
      <c r="I79" s="3">
        <f>I78+Grid!I79</f>
        <v>10923702.564133905</v>
      </c>
      <c r="J79" s="3">
        <f>J78+Grid!J79</f>
        <v>2278984.2209132905</v>
      </c>
      <c r="K79" s="3">
        <f>K78+Grid!K79</f>
        <v>200000000.00000003</v>
      </c>
      <c r="L79" s="3">
        <f>L78+Grid!L79</f>
        <v>190329351.125</v>
      </c>
      <c r="M79" s="3">
        <f>M78+Grid!M79</f>
        <v>94999999.99999996</v>
      </c>
      <c r="N79" s="3">
        <f>N78+Grid!N79</f>
        <v>50000000.000000015</v>
      </c>
      <c r="O79" s="3">
        <f>O78+Grid!O79</f>
        <v>40000000.0</v>
      </c>
      <c r="P79" s="3">
        <f>P78+Grid!P79</f>
        <v>50000000.0</v>
      </c>
      <c r="Q79" s="3">
        <f>Q78+Grid!Q79</f>
        <v>30000000.0</v>
      </c>
      <c r="R79" s="3">
        <f>R78+Grid!R79</f>
        <v>5000000.0</v>
      </c>
      <c r="S79" s="3">
        <f>SUM(C79:R79)</f>
        <v>760329351.125</v>
      </c>
      <c r="T79" s="9">
        <f>S79/Inputs!$B$4</f>
        <v>0.7603293511</v>
      </c>
    </row>
    <row r="80">
      <c r="A80" t="n">
        <v>75</v>
      </c>
      <c r="B80" s="4">
        <f>Grid!B80</f>
        <v>48928.0</v>
      </c>
      <c r="C80" s="3">
        <f>C79+Grid!C80</f>
        <v>10331395.26601561</v>
      </c>
      <c r="D80" s="3">
        <f>D79+Grid!D80</f>
        <v>27309256.410334688</v>
      </c>
      <c r="E80" s="3">
        <f>E79+Grid!E80</f>
        <v>16385553.846200807</v>
      </c>
      <c r="F80" s="3">
        <f>F79+Grid!F80</f>
        <v>10923702.564133905</v>
      </c>
      <c r="G80" s="3">
        <f>G79+Grid!G80</f>
        <v>10923702.564133905</v>
      </c>
      <c r="H80" s="3">
        <f>H79+Grid!H80</f>
        <v>10923702.564133905</v>
      </c>
      <c r="I80" s="3">
        <f>I79+Grid!I80</f>
        <v>10923702.564133905</v>
      </c>
      <c r="J80" s="3">
        <f>J79+Grid!J80</f>
        <v>2278984.2209132905</v>
      </c>
      <c r="K80" s="3">
        <f>K79+Grid!K80</f>
        <v>200000000.00000003</v>
      </c>
      <c r="L80" s="3">
        <f>L79+Grid!L80</f>
        <v>191837949.1875</v>
      </c>
      <c r="M80" s="3">
        <f>M79+Grid!M80</f>
        <v>94999999.99999996</v>
      </c>
      <c r="N80" s="3">
        <f>N79+Grid!N80</f>
        <v>50000000.000000015</v>
      </c>
      <c r="O80" s="3">
        <f>O79+Grid!O80</f>
        <v>40000000.0</v>
      </c>
      <c r="P80" s="3">
        <f>P79+Grid!P80</f>
        <v>50000000.0</v>
      </c>
      <c r="Q80" s="3">
        <f>Q79+Grid!Q80</f>
        <v>30000000.0</v>
      </c>
      <c r="R80" s="3">
        <f>R79+Grid!R80</f>
        <v>5000000.0</v>
      </c>
      <c r="S80" s="3">
        <f>SUM(C80:R80)</f>
        <v>761837949.1875</v>
      </c>
      <c r="T80" s="9">
        <f>S80/Inputs!$B$4</f>
        <v>0.7618379492</v>
      </c>
    </row>
    <row r="81">
      <c r="A81" t="n">
        <v>76</v>
      </c>
      <c r="B81" s="4">
        <f>Grid!B81</f>
        <v>48959.0</v>
      </c>
      <c r="C81" s="3">
        <f>C80+Grid!C81</f>
        <v>10331395.26601561</v>
      </c>
      <c r="D81" s="3">
        <f>D80+Grid!D81</f>
        <v>27309256.410334688</v>
      </c>
      <c r="E81" s="3">
        <f>E80+Grid!E81</f>
        <v>16385553.846200807</v>
      </c>
      <c r="F81" s="3">
        <f>F80+Grid!F81</f>
        <v>10923702.564133905</v>
      </c>
      <c r="G81" s="3">
        <f>G80+Grid!G81</f>
        <v>10923702.564133905</v>
      </c>
      <c r="H81" s="3">
        <f>H80+Grid!H81</f>
        <v>10923702.564133905</v>
      </c>
      <c r="I81" s="3">
        <f>I80+Grid!I81</f>
        <v>10923702.564133905</v>
      </c>
      <c r="J81" s="3">
        <f>J80+Grid!J81</f>
        <v>2278984.2209132905</v>
      </c>
      <c r="K81" s="3">
        <f>K80+Grid!K81</f>
        <v>200000000.00000003</v>
      </c>
      <c r="L81" s="3">
        <f>L80+Grid!L81</f>
        <v>193346547.25</v>
      </c>
      <c r="M81" s="3">
        <f>M80+Grid!M81</f>
        <v>94999999.99999996</v>
      </c>
      <c r="N81" s="3">
        <f>N80+Grid!N81</f>
        <v>50000000.000000015</v>
      </c>
      <c r="O81" s="3">
        <f>O80+Grid!O81</f>
        <v>40000000.0</v>
      </c>
      <c r="P81" s="3">
        <f>P80+Grid!P81</f>
        <v>50000000.0</v>
      </c>
      <c r="Q81" s="3">
        <f>Q80+Grid!Q81</f>
        <v>30000000.0</v>
      </c>
      <c r="R81" s="3">
        <f>R80+Grid!R81</f>
        <v>5000000.0</v>
      </c>
      <c r="S81" s="3">
        <f>SUM(C81:R81)</f>
        <v>763346547.25</v>
      </c>
      <c r="T81" s="9">
        <f>S81/Inputs!$B$4</f>
        <v>0.7633465472</v>
      </c>
    </row>
    <row r="82">
      <c r="A82" t="n">
        <v>77</v>
      </c>
      <c r="B82" s="4">
        <f>Grid!B82</f>
        <v>48990.0</v>
      </c>
      <c r="C82" s="3">
        <f>C81+Grid!C82</f>
        <v>10331395.26601561</v>
      </c>
      <c r="D82" s="3">
        <f>D81+Grid!D82</f>
        <v>27309256.410334688</v>
      </c>
      <c r="E82" s="3">
        <f>E81+Grid!E82</f>
        <v>16385553.846200807</v>
      </c>
      <c r="F82" s="3">
        <f>F81+Grid!F82</f>
        <v>10923702.564133905</v>
      </c>
      <c r="G82" s="3">
        <f>G81+Grid!G82</f>
        <v>10923702.564133905</v>
      </c>
      <c r="H82" s="3">
        <f>H81+Grid!H82</f>
        <v>10923702.564133905</v>
      </c>
      <c r="I82" s="3">
        <f>I81+Grid!I82</f>
        <v>10923702.564133905</v>
      </c>
      <c r="J82" s="3">
        <f>J81+Grid!J82</f>
        <v>2278984.2209132905</v>
      </c>
      <c r="K82" s="3">
        <f>K81+Grid!K82</f>
        <v>200000000.00000003</v>
      </c>
      <c r="L82" s="3">
        <f>L81+Grid!L82</f>
        <v>194855145.3125</v>
      </c>
      <c r="M82" s="3">
        <f>M81+Grid!M82</f>
        <v>94999999.99999996</v>
      </c>
      <c r="N82" s="3">
        <f>N81+Grid!N82</f>
        <v>50000000.000000015</v>
      </c>
      <c r="O82" s="3">
        <f>O81+Grid!O82</f>
        <v>40000000.0</v>
      </c>
      <c r="P82" s="3">
        <f>P81+Grid!P82</f>
        <v>50000000.0</v>
      </c>
      <c r="Q82" s="3">
        <f>Q81+Grid!Q82</f>
        <v>30000000.0</v>
      </c>
      <c r="R82" s="3">
        <f>R81+Grid!R82</f>
        <v>5000000.0</v>
      </c>
      <c r="S82" s="3">
        <f>SUM(C82:R82)</f>
        <v>764855145.3125</v>
      </c>
      <c r="T82" s="9">
        <f>S82/Inputs!$B$4</f>
        <v>0.7648551453</v>
      </c>
    </row>
    <row r="83">
      <c r="A83" t="n">
        <v>78</v>
      </c>
      <c r="B83" s="4">
        <f>Grid!B83</f>
        <v>49018.0</v>
      </c>
      <c r="C83" s="3">
        <f>C82+Grid!C83</f>
        <v>10331395.26601561</v>
      </c>
      <c r="D83" s="3">
        <f>D82+Grid!D83</f>
        <v>27309256.410334688</v>
      </c>
      <c r="E83" s="3">
        <f>E82+Grid!E83</f>
        <v>16385553.846200807</v>
      </c>
      <c r="F83" s="3">
        <f>F82+Grid!F83</f>
        <v>10923702.564133905</v>
      </c>
      <c r="G83" s="3">
        <f>G82+Grid!G83</f>
        <v>10923702.564133905</v>
      </c>
      <c r="H83" s="3">
        <f>H82+Grid!H83</f>
        <v>10923702.564133905</v>
      </c>
      <c r="I83" s="3">
        <f>I82+Grid!I83</f>
        <v>10923702.564133905</v>
      </c>
      <c r="J83" s="3">
        <f>J82+Grid!J83</f>
        <v>2278984.2209132905</v>
      </c>
      <c r="K83" s="3">
        <f>K82+Grid!K83</f>
        <v>200000000.00000003</v>
      </c>
      <c r="L83" s="3">
        <f>L82+Grid!L83</f>
        <v>196363743.375</v>
      </c>
      <c r="M83" s="3">
        <f>M82+Grid!M83</f>
        <v>94999999.99999996</v>
      </c>
      <c r="N83" s="3">
        <f>N82+Grid!N83</f>
        <v>50000000.000000015</v>
      </c>
      <c r="O83" s="3">
        <f>O82+Grid!O83</f>
        <v>40000000.0</v>
      </c>
      <c r="P83" s="3">
        <f>P82+Grid!P83</f>
        <v>50000000.0</v>
      </c>
      <c r="Q83" s="3">
        <f>Q82+Grid!Q83</f>
        <v>30000000.0</v>
      </c>
      <c r="R83" s="3">
        <f>R82+Grid!R83</f>
        <v>5000000.0</v>
      </c>
      <c r="S83" s="3">
        <f>SUM(C83:R83)</f>
        <v>766363743.375</v>
      </c>
      <c r="T83" s="9">
        <f>S83/Inputs!$B$4</f>
        <v>0.7663637434</v>
      </c>
    </row>
    <row r="84">
      <c r="A84" t="n">
        <v>79</v>
      </c>
      <c r="B84" s="4">
        <f>Grid!B84</f>
        <v>49049.0</v>
      </c>
      <c r="C84" s="3">
        <f>C83+Grid!C84</f>
        <v>10331395.26601561</v>
      </c>
      <c r="D84" s="3">
        <f>D83+Grid!D84</f>
        <v>27309256.410334688</v>
      </c>
      <c r="E84" s="3">
        <f>E83+Grid!E84</f>
        <v>16385553.846200807</v>
      </c>
      <c r="F84" s="3">
        <f>F83+Grid!F84</f>
        <v>10923702.564133905</v>
      </c>
      <c r="G84" s="3">
        <f>G83+Grid!G84</f>
        <v>10923702.564133905</v>
      </c>
      <c r="H84" s="3">
        <f>H83+Grid!H84</f>
        <v>10923702.564133905</v>
      </c>
      <c r="I84" s="3">
        <f>I83+Grid!I84</f>
        <v>10923702.564133905</v>
      </c>
      <c r="J84" s="3">
        <f>J83+Grid!J84</f>
        <v>2278984.2209132905</v>
      </c>
      <c r="K84" s="3">
        <f>K83+Grid!K84</f>
        <v>200000000.00000003</v>
      </c>
      <c r="L84" s="3">
        <f>L83+Grid!L84</f>
        <v>197872341.4375</v>
      </c>
      <c r="M84" s="3">
        <f>M83+Grid!M84</f>
        <v>94999999.99999996</v>
      </c>
      <c r="N84" s="3">
        <f>N83+Grid!N84</f>
        <v>50000000.000000015</v>
      </c>
      <c r="O84" s="3">
        <f>O83+Grid!O84</f>
        <v>40000000.0</v>
      </c>
      <c r="P84" s="3">
        <f>P83+Grid!P84</f>
        <v>50000000.0</v>
      </c>
      <c r="Q84" s="3">
        <f>Q83+Grid!Q84</f>
        <v>30000000.0</v>
      </c>
      <c r="R84" s="3">
        <f>R83+Grid!R84</f>
        <v>5000000.0</v>
      </c>
      <c r="S84" s="3">
        <f>SUM(C84:R84)</f>
        <v>767872341.4375</v>
      </c>
      <c r="T84" s="9">
        <f>S84/Inputs!$B$4</f>
        <v>0.7678723414</v>
      </c>
    </row>
    <row r="85">
      <c r="A85" t="n">
        <v>80</v>
      </c>
      <c r="B85" s="4">
        <f>Grid!B85</f>
        <v>49079.0</v>
      </c>
      <c r="C85" s="3">
        <f>C84+Grid!C85</f>
        <v>10331395.26601561</v>
      </c>
      <c r="D85" s="3">
        <f>D84+Grid!D85</f>
        <v>27309256.410334688</v>
      </c>
      <c r="E85" s="3">
        <f>E84+Grid!E85</f>
        <v>16385553.846200807</v>
      </c>
      <c r="F85" s="3">
        <f>F84+Grid!F85</f>
        <v>10923702.564133905</v>
      </c>
      <c r="G85" s="3">
        <f>G84+Grid!G85</f>
        <v>10923702.564133905</v>
      </c>
      <c r="H85" s="3">
        <f>H84+Grid!H85</f>
        <v>10923702.564133905</v>
      </c>
      <c r="I85" s="3">
        <f>I84+Grid!I85</f>
        <v>10923702.564133905</v>
      </c>
      <c r="J85" s="3">
        <f>J84+Grid!J85</f>
        <v>2278984.2209132905</v>
      </c>
      <c r="K85" s="3">
        <f>K84+Grid!K85</f>
        <v>200000000.00000003</v>
      </c>
      <c r="L85" s="3">
        <f>L84+Grid!L85</f>
        <v>199380939.5</v>
      </c>
      <c r="M85" s="3">
        <f>M84+Grid!M85</f>
        <v>94999999.99999996</v>
      </c>
      <c r="N85" s="3">
        <f>N84+Grid!N85</f>
        <v>50000000.000000015</v>
      </c>
      <c r="O85" s="3">
        <f>O84+Grid!O85</f>
        <v>40000000.0</v>
      </c>
      <c r="P85" s="3">
        <f>P84+Grid!P85</f>
        <v>50000000.0</v>
      </c>
      <c r="Q85" s="3">
        <f>Q84+Grid!Q85</f>
        <v>30000000.0</v>
      </c>
      <c r="R85" s="3">
        <f>R84+Grid!R85</f>
        <v>5000000.0</v>
      </c>
      <c r="S85" s="3">
        <f>SUM(C85:R85)</f>
        <v>769380939.5</v>
      </c>
      <c r="T85" s="9">
        <f>S85/Inputs!$B$4</f>
        <v>0.7693809395</v>
      </c>
    </row>
    <row r="86">
      <c r="A86" t="n">
        <v>81</v>
      </c>
      <c r="B86" s="4">
        <f>Grid!B86</f>
        <v>49110.0</v>
      </c>
      <c r="C86" s="3">
        <f>C85+Grid!C86</f>
        <v>10331395.26601561</v>
      </c>
      <c r="D86" s="3">
        <f>D85+Grid!D86</f>
        <v>27309256.410334688</v>
      </c>
      <c r="E86" s="3">
        <f>E85+Grid!E86</f>
        <v>16385553.846200807</v>
      </c>
      <c r="F86" s="3">
        <f>F85+Grid!F86</f>
        <v>10923702.564133905</v>
      </c>
      <c r="G86" s="3">
        <f>G85+Grid!G86</f>
        <v>10923702.564133905</v>
      </c>
      <c r="H86" s="3">
        <f>H85+Grid!H86</f>
        <v>10923702.564133905</v>
      </c>
      <c r="I86" s="3">
        <f>I85+Grid!I86</f>
        <v>10923702.564133905</v>
      </c>
      <c r="J86" s="3">
        <f>J85+Grid!J86</f>
        <v>2278984.2209132905</v>
      </c>
      <c r="K86" s="3">
        <f>K85+Grid!K86</f>
        <v>200000000.00000003</v>
      </c>
      <c r="L86" s="3">
        <f>L85+Grid!L86</f>
        <v>200889537.5625</v>
      </c>
      <c r="M86" s="3">
        <f>M85+Grid!M86</f>
        <v>94999999.99999996</v>
      </c>
      <c r="N86" s="3">
        <f>N85+Grid!N86</f>
        <v>50000000.000000015</v>
      </c>
      <c r="O86" s="3">
        <f>O85+Grid!O86</f>
        <v>40000000.0</v>
      </c>
      <c r="P86" s="3">
        <f>P85+Grid!P86</f>
        <v>50000000.0</v>
      </c>
      <c r="Q86" s="3">
        <f>Q85+Grid!Q86</f>
        <v>30000000.0</v>
      </c>
      <c r="R86" s="3">
        <f>R85+Grid!R86</f>
        <v>5000000.0</v>
      </c>
      <c r="S86" s="3">
        <f>SUM(C86:R86)</f>
        <v>770889537.5625</v>
      </c>
      <c r="T86" s="9">
        <f>S86/Inputs!$B$4</f>
        <v>0.7708895376</v>
      </c>
    </row>
    <row r="87">
      <c r="A87" t="n">
        <v>82</v>
      </c>
      <c r="B87" s="4">
        <f>Grid!B87</f>
        <v>49140.0</v>
      </c>
      <c r="C87" s="3">
        <f>C86+Grid!C87</f>
        <v>10331395.26601561</v>
      </c>
      <c r="D87" s="3">
        <f>D86+Grid!D87</f>
        <v>27309256.410334688</v>
      </c>
      <c r="E87" s="3">
        <f>E86+Grid!E87</f>
        <v>16385553.846200807</v>
      </c>
      <c r="F87" s="3">
        <f>F86+Grid!F87</f>
        <v>10923702.564133905</v>
      </c>
      <c r="G87" s="3">
        <f>G86+Grid!G87</f>
        <v>10923702.564133905</v>
      </c>
      <c r="H87" s="3">
        <f>H86+Grid!H87</f>
        <v>10923702.564133905</v>
      </c>
      <c r="I87" s="3">
        <f>I86+Grid!I87</f>
        <v>10923702.564133905</v>
      </c>
      <c r="J87" s="3">
        <f>J86+Grid!J87</f>
        <v>2278984.2209132905</v>
      </c>
      <c r="K87" s="3">
        <f>K86+Grid!K87</f>
        <v>200000000.00000003</v>
      </c>
      <c r="L87" s="3">
        <f>L86+Grid!L87</f>
        <v>202398135.625</v>
      </c>
      <c r="M87" s="3">
        <f>M86+Grid!M87</f>
        <v>94999999.99999996</v>
      </c>
      <c r="N87" s="3">
        <f>N86+Grid!N87</f>
        <v>50000000.000000015</v>
      </c>
      <c r="O87" s="3">
        <f>O86+Grid!O87</f>
        <v>40000000.0</v>
      </c>
      <c r="P87" s="3">
        <f>P86+Grid!P87</f>
        <v>50000000.0</v>
      </c>
      <c r="Q87" s="3">
        <f>Q86+Grid!Q87</f>
        <v>30000000.0</v>
      </c>
      <c r="R87" s="3">
        <f>R86+Grid!R87</f>
        <v>5000000.0</v>
      </c>
      <c r="S87" s="3">
        <f>SUM(C87:R87)</f>
        <v>772398135.625</v>
      </c>
      <c r="T87" s="9">
        <f>S87/Inputs!$B$4</f>
        <v>0.7723981356</v>
      </c>
    </row>
    <row r="88">
      <c r="A88" t="n">
        <v>83</v>
      </c>
      <c r="B88" s="4">
        <f>Grid!B88</f>
        <v>49171.0</v>
      </c>
      <c r="C88" s="3">
        <f>C87+Grid!C88</f>
        <v>10331395.26601561</v>
      </c>
      <c r="D88" s="3">
        <f>D87+Grid!D88</f>
        <v>27309256.410334688</v>
      </c>
      <c r="E88" s="3">
        <f>E87+Grid!E88</f>
        <v>16385553.846200807</v>
      </c>
      <c r="F88" s="3">
        <f>F87+Grid!F88</f>
        <v>10923702.564133905</v>
      </c>
      <c r="G88" s="3">
        <f>G87+Grid!G88</f>
        <v>10923702.564133905</v>
      </c>
      <c r="H88" s="3">
        <f>H87+Grid!H88</f>
        <v>10923702.564133905</v>
      </c>
      <c r="I88" s="3">
        <f>I87+Grid!I88</f>
        <v>10923702.564133905</v>
      </c>
      <c r="J88" s="3">
        <f>J87+Grid!J88</f>
        <v>2278984.2209132905</v>
      </c>
      <c r="K88" s="3">
        <f>K87+Grid!K88</f>
        <v>200000000.00000003</v>
      </c>
      <c r="L88" s="3">
        <f>L87+Grid!L88</f>
        <v>203906733.6875</v>
      </c>
      <c r="M88" s="3">
        <f>M87+Grid!M88</f>
        <v>94999999.99999996</v>
      </c>
      <c r="N88" s="3">
        <f>N87+Grid!N88</f>
        <v>50000000.000000015</v>
      </c>
      <c r="O88" s="3">
        <f>O87+Grid!O88</f>
        <v>40000000.0</v>
      </c>
      <c r="P88" s="3">
        <f>P87+Grid!P88</f>
        <v>50000000.0</v>
      </c>
      <c r="Q88" s="3">
        <f>Q87+Grid!Q88</f>
        <v>30000000.0</v>
      </c>
      <c r="R88" s="3">
        <f>R87+Grid!R88</f>
        <v>5000000.0</v>
      </c>
      <c r="S88" s="3">
        <f>SUM(C88:R88)</f>
        <v>773906733.6875</v>
      </c>
      <c r="T88" s="9">
        <f>S88/Inputs!$B$4</f>
        <v>0.7739067337</v>
      </c>
    </row>
    <row r="89">
      <c r="A89" t="n">
        <v>84</v>
      </c>
      <c r="B89" s="4">
        <f>Grid!B89</f>
        <v>49202.0</v>
      </c>
      <c r="C89" s="3">
        <f>C88+Grid!C89</f>
        <v>10331395.26601561</v>
      </c>
      <c r="D89" s="3">
        <f>D88+Grid!D89</f>
        <v>27309256.410334688</v>
      </c>
      <c r="E89" s="3">
        <f>E88+Grid!E89</f>
        <v>16385553.846200807</v>
      </c>
      <c r="F89" s="3">
        <f>F88+Grid!F89</f>
        <v>10923702.564133905</v>
      </c>
      <c r="G89" s="3">
        <f>G88+Grid!G89</f>
        <v>10923702.564133905</v>
      </c>
      <c r="H89" s="3">
        <f>H88+Grid!H89</f>
        <v>10923702.564133905</v>
      </c>
      <c r="I89" s="3">
        <f>I88+Grid!I89</f>
        <v>10923702.564133905</v>
      </c>
      <c r="J89" s="3">
        <f>J88+Grid!J89</f>
        <v>2278984.2209132905</v>
      </c>
      <c r="K89" s="3">
        <f>K88+Grid!K89</f>
        <v>200000000.00000003</v>
      </c>
      <c r="L89" s="3">
        <f>L88+Grid!L89</f>
        <v>205415331.75</v>
      </c>
      <c r="M89" s="3">
        <f>M88+Grid!M89</f>
        <v>94999999.99999996</v>
      </c>
      <c r="N89" s="3">
        <f>N88+Grid!N89</f>
        <v>50000000.000000015</v>
      </c>
      <c r="O89" s="3">
        <f>O88+Grid!O89</f>
        <v>40000000.0</v>
      </c>
      <c r="P89" s="3">
        <f>P88+Grid!P89</f>
        <v>50000000.0</v>
      </c>
      <c r="Q89" s="3">
        <f>Q88+Grid!Q89</f>
        <v>30000000.0</v>
      </c>
      <c r="R89" s="3">
        <f>R88+Grid!R89</f>
        <v>5000000.0</v>
      </c>
      <c r="S89" s="3">
        <f>SUM(C89:R89)</f>
        <v>775415331.75</v>
      </c>
      <c r="T89" s="9">
        <f>S89/Inputs!$B$4</f>
        <v>0.7754153317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0" customWidth="1" min="4" max="4"/>
    <col width="12" customWidth="1" min="5" max="5"/>
  </cols>
  <sheetData>
    <row r="1">
      <c r="A1" s="1" t="inlineStr">
        <is>
          <t>Check against TRS V_04 circulating supply</t>
        </is>
      </c>
    </row>
    <row r="2">
      <c r="A2" s="2" t="inlineStr">
        <is>
          <t>V_04 values are the cumulative circulating figures in column T of sheet TRS V_04. Difference must be below 1 KNX.</t>
        </is>
      </c>
    </row>
    <row r="4">
      <c r="A4" s="6" t="inlineStr">
        <is>
          <t>Month</t>
        </is>
      </c>
      <c r="B4" s="6" t="inlineStr">
        <is>
          <t>Grid circulating (formula)</t>
        </is>
      </c>
      <c r="C4" s="6" t="inlineStr">
        <is>
          <t>V_04 circulating</t>
        </is>
      </c>
      <c r="D4" s="6" t="inlineStr">
        <is>
          <t>Absolute difference</t>
        </is>
      </c>
      <c r="E4" s="6" t="inlineStr">
        <is>
          <t>Within 1 KNX</t>
        </is>
      </c>
    </row>
    <row r="5">
      <c r="A5" t="n">
        <v>0</v>
      </c>
      <c r="B5" s="7">
        <f>INDEX(Grid!$T$5:$T$89,A5+1)</f>
        <v>77000000.0</v>
      </c>
      <c r="C5" s="7" t="n">
        <v>77000000</v>
      </c>
      <c r="D5" s="7">
        <f>ABS(B5-C5)</f>
        <v>0.0</v>
      </c>
      <c r="E5" t="b">
        <f>D5&lt;1</f>
        <v>1</v>
      </c>
    </row>
    <row r="6">
      <c r="A6" t="n">
        <v>12</v>
      </c>
      <c r="B6" s="7">
        <f>INDEX(Grid!$T$5:$T$89,A6+1)</f>
        <v>144799999.99999997</v>
      </c>
      <c r="C6" s="7" t="n">
        <v>144800000</v>
      </c>
      <c r="D6" s="7">
        <f>ABS(B6-C6)</f>
        <v>2.98e-08</v>
      </c>
      <c r="E6" t="b">
        <f>D6&lt;1</f>
        <v>1</v>
      </c>
    </row>
    <row r="7">
      <c r="A7" t="n">
        <v>24</v>
      </c>
      <c r="B7" s="7">
        <f>INDEX(Grid!$T$5:$T$89,A7+1)</f>
        <v>393699999.99999994</v>
      </c>
      <c r="C7" s="7" t="n">
        <v>393700000</v>
      </c>
      <c r="D7" s="7">
        <f>ABS(B7-C7)</f>
        <v>5.96e-08</v>
      </c>
      <c r="E7" t="b">
        <f>D7&lt;1</f>
        <v>1</v>
      </c>
    </row>
    <row r="8">
      <c r="A8" t="n">
        <v>36</v>
      </c>
      <c r="B8" s="7">
        <f>INDEX(Grid!$T$5:$T$89,A8+1)</f>
        <v>627479999.9999998</v>
      </c>
      <c r="C8" s="7" t="n">
        <v>627480000</v>
      </c>
      <c r="D8" s="7">
        <f>ABS(B8-C8)</f>
        <v>2.384e-07</v>
      </c>
      <c r="E8" t="b">
        <f>D8&lt;1</f>
        <v>1</v>
      </c>
    </row>
    <row r="9">
      <c r="A9" t="n">
        <v>48</v>
      </c>
      <c r="B9" s="7">
        <f>INDEX(Grid!$T$5:$T$89,A9+1)</f>
        <v>685958000.0000002</v>
      </c>
      <c r="C9" s="7" t="n">
        <v>685958000</v>
      </c>
      <c r="D9" s="7">
        <f>ABS(B9-C9)</f>
        <v>2.384e-07</v>
      </c>
      <c r="E9" t="b">
        <f>D9&lt;1</f>
        <v>1</v>
      </c>
    </row>
    <row r="10">
      <c r="A10" t="n">
        <v>60</v>
      </c>
      <c r="B10" s="7">
        <f>INDEX(Grid!$T$5:$T$89,A10+1)</f>
        <v>736014300.0000007</v>
      </c>
      <c r="C10" s="7" t="n">
        <v>736014300.000001</v>
      </c>
      <c r="D10" s="7">
        <f>ABS(B10-C10)</f>
        <v>2.384e-07</v>
      </c>
      <c r="E10" t="b">
        <f>D10&lt;1</f>
        <v>1</v>
      </c>
    </row>
    <row r="11">
      <c r="A11" t="n">
        <v>84</v>
      </c>
      <c r="B11" s="7">
        <f>INDEX(Grid!$T$5:$T$89,A11+1)</f>
        <v>775415331.7500007</v>
      </c>
      <c r="C11" s="7" t="n">
        <v>775415331.750001</v>
      </c>
      <c r="D11" s="7">
        <f>ABS(B11-C11)</f>
        <v>2.384e-07</v>
      </c>
      <c r="E11" t="b">
        <f>D11&lt;1</f>
        <v>1</v>
      </c>
    </row>
    <row r="13">
      <c r="A13" s="8" t="inlineStr">
        <is>
          <t>Per-pocket totals T+0 to T+84 against V_04 pocket totals (emissions compared net of the beyond-T+84 remainder)</t>
        </is>
      </c>
    </row>
    <row r="14">
      <c r="A14" s="6" t="inlineStr">
        <is>
          <t>Pocket</t>
        </is>
      </c>
      <c r="B14" s="6" t="inlineStr">
        <is>
          <t>Grid total (formula)</t>
        </is>
      </c>
      <c r="C14" s="6" t="inlineStr">
        <is>
          <t>V_04 scheduled through T+84</t>
        </is>
      </c>
      <c r="D14" s="6" t="inlineStr">
        <is>
          <t>Absolute difference</t>
        </is>
      </c>
      <c r="E14" s="6" t="inlineStr">
        <is>
          <t>Within 1 KNX</t>
        </is>
      </c>
    </row>
    <row r="15">
      <c r="A15" t="inlineStr">
        <is>
          <t>Pre-seed (Brandon Torres Declet)</t>
        </is>
      </c>
      <c r="B15" s="7">
        <f>Grid!C90</f>
        <v>10331395.2660156</v>
      </c>
      <c r="C15" s="7" t="n">
        <v>10331395.26601561</v>
      </c>
      <c r="D15" s="7">
        <f>ABS(B15-C15)</f>
        <v>9.3e-09</v>
      </c>
      <c r="E15" t="b">
        <f>D15&lt;1</f>
        <v>1</v>
      </c>
    </row>
    <row r="16">
      <c r="A16" t="inlineStr">
        <is>
          <t>Seed (LD Capital)</t>
        </is>
      </c>
      <c r="B16" s="7">
        <f>Grid!D90</f>
        <v>27309256.410334695</v>
      </c>
      <c r="C16" s="7" t="n">
        <v>27309256.41033469</v>
      </c>
      <c r="D16" s="7">
        <f>ABS(B16-C16)</f>
        <v>3.7e-09</v>
      </c>
      <c r="E16" t="b">
        <f>D16&lt;1</f>
        <v>1</v>
      </c>
    </row>
    <row r="17">
      <c r="A17" t="inlineStr">
        <is>
          <t>Seed (Cogitent Ventures)</t>
        </is>
      </c>
      <c r="B17" s="7">
        <f>Grid!E90</f>
        <v>16385553.8462008</v>
      </c>
      <c r="C17" s="7" t="n">
        <v>16385553.84620083</v>
      </c>
      <c r="D17" s="7">
        <f>ABS(B17-C17)</f>
        <v>2.98e-08</v>
      </c>
      <c r="E17" t="b">
        <f>D17&lt;1</f>
        <v>1</v>
      </c>
    </row>
    <row r="18">
      <c r="A18" t="inlineStr">
        <is>
          <t>Seed (Leland Ventures)</t>
        </is>
      </c>
      <c r="B18" s="7">
        <f>Grid!F90</f>
        <v>10923702.5641339</v>
      </c>
      <c r="C18" s="7" t="n">
        <v>10923702.56413388</v>
      </c>
      <c r="D18" s="7">
        <f>ABS(B18-C18)</f>
        <v>1.86e-08</v>
      </c>
      <c r="E18" t="b">
        <f>D18&lt;1</f>
        <v>1</v>
      </c>
    </row>
    <row r="19">
      <c r="A19" t="inlineStr">
        <is>
          <t>Seed (M77 Ventures)</t>
        </is>
      </c>
      <c r="B19" s="7">
        <f>Grid!G90</f>
        <v>10923702.5641339</v>
      </c>
      <c r="C19" s="7" t="n">
        <v>10923702.56413388</v>
      </c>
      <c r="D19" s="7">
        <f>ABS(B19-C19)</f>
        <v>1.86e-08</v>
      </c>
      <c r="E19" t="b">
        <f>D19&lt;1</f>
        <v>1</v>
      </c>
    </row>
    <row r="20">
      <c r="A20" t="inlineStr">
        <is>
          <t>Seed (Block Maven LLC)</t>
        </is>
      </c>
      <c r="B20" s="7">
        <f>Grid!H90</f>
        <v>10923702.5641339</v>
      </c>
      <c r="C20" s="7" t="n">
        <v>10923702.56413388</v>
      </c>
      <c r="D20" s="7">
        <f>ABS(B20-C20)</f>
        <v>1.86e-08</v>
      </c>
      <c r="E20" t="b">
        <f>D20&lt;1</f>
        <v>1</v>
      </c>
    </row>
    <row r="21">
      <c r="A21" t="inlineStr">
        <is>
          <t>Seed (Covey)</t>
        </is>
      </c>
      <c r="B21" s="7">
        <f>Grid!I90</f>
        <v>10923702.5641339</v>
      </c>
      <c r="C21" s="7" t="n">
        <v>10923702.56413388</v>
      </c>
      <c r="D21" s="7">
        <f>ABS(B21-C21)</f>
        <v>1.86e-08</v>
      </c>
      <c r="E21" t="b">
        <f>D21&lt;1</f>
        <v>1</v>
      </c>
    </row>
    <row r="22">
      <c r="A22" t="inlineStr">
        <is>
          <t>KOL round</t>
        </is>
      </c>
      <c r="B22" s="7">
        <f>Grid!J90</f>
        <v>2278984.22091329</v>
      </c>
      <c r="C22" s="7" t="n">
        <v>2278984.220913283</v>
      </c>
      <c r="D22" s="7">
        <f>ABS(B22-C22)</f>
        <v>7e-09</v>
      </c>
      <c r="E22" t="b">
        <f>D22&lt;1</f>
        <v>1</v>
      </c>
    </row>
    <row r="23">
      <c r="A23" t="inlineStr">
        <is>
          <t>New round</t>
        </is>
      </c>
      <c r="B23" s="7">
        <f>Grid!K90</f>
        <v>200000000.0</v>
      </c>
      <c r="C23" s="7" t="n">
        <v>200000000</v>
      </c>
      <c r="D23" s="7">
        <f>ABS(B23-C23)</f>
        <v>0.0</v>
      </c>
      <c r="E23" t="b">
        <f>D23&lt;1</f>
        <v>1</v>
      </c>
    </row>
    <row r="24">
      <c r="A24" t="inlineStr">
        <is>
          <t>Mining and validator emissions</t>
        </is>
      </c>
      <c r="B24" s="7">
        <f>Grid!L90</f>
        <v>205415331.75</v>
      </c>
      <c r="C24" s="7" t="n">
        <v>205415331.75</v>
      </c>
      <c r="D24" s="7">
        <f>ABS(B24-C24)</f>
        <v>0.0</v>
      </c>
      <c r="E24" t="b">
        <f>D24&lt;1</f>
        <v>1</v>
      </c>
    </row>
    <row r="25">
      <c r="A25" t="inlineStr">
        <is>
          <t>Marketing and exchanges</t>
        </is>
      </c>
      <c r="B25" s="7">
        <f>Grid!M90</f>
        <v>95000000.00000001</v>
      </c>
      <c r="C25" s="7" t="n">
        <v>94999999.99999985</v>
      </c>
      <c r="D25" s="7">
        <f>ABS(B25-C25)</f>
        <v>1.639e-07</v>
      </c>
      <c r="E25" t="b">
        <f>D25&lt;1</f>
        <v>1</v>
      </c>
    </row>
    <row r="26">
      <c r="A26" t="inlineStr">
        <is>
          <t>Treasury and reserves</t>
        </is>
      </c>
      <c r="B26" s="7">
        <f>Grid!N90</f>
        <v>49999999.99999999</v>
      </c>
      <c r="C26" s="7" t="n">
        <v>49999999.99999987</v>
      </c>
      <c r="D26" s="7">
        <f>ABS(B26-C26)</f>
        <v>1.192e-07</v>
      </c>
      <c r="E26" t="b">
        <f>D26&lt;1</f>
        <v>1</v>
      </c>
    </row>
    <row r="27">
      <c r="A27" t="inlineStr">
        <is>
          <t>Foundation</t>
        </is>
      </c>
      <c r="B27" s="7">
        <f>Grid!O90</f>
        <v>40000000.0</v>
      </c>
      <c r="C27" s="7" t="n">
        <v>40000000</v>
      </c>
      <c r="D27" s="7">
        <f>ABS(B27-C27)</f>
        <v>0.0</v>
      </c>
      <c r="E27" t="b">
        <f>D27&lt;1</f>
        <v>1</v>
      </c>
    </row>
    <row r="28">
      <c r="A28" t="inlineStr">
        <is>
          <t>Team and advisors</t>
        </is>
      </c>
      <c r="B28" s="7">
        <f>Grid!P90</f>
        <v>50000000.0</v>
      </c>
      <c r="C28" s="7" t="n">
        <v>50000000</v>
      </c>
      <c r="D28" s="7">
        <f>ABS(B28-C28)</f>
        <v>0.0</v>
      </c>
      <c r="E28" t="b">
        <f>D28&lt;1</f>
        <v>1</v>
      </c>
    </row>
    <row r="29">
      <c r="A29" t="inlineStr">
        <is>
          <t>Liquidity / market making</t>
        </is>
      </c>
      <c r="B29" s="7">
        <f>Grid!Q90</f>
        <v>30000000.0</v>
      </c>
      <c r="C29" s="7" t="n">
        <v>30000000</v>
      </c>
      <c r="D29" s="7">
        <f>ABS(B29-C29)</f>
        <v>0.0</v>
      </c>
      <c r="E29" t="b">
        <f>D29&lt;1</f>
        <v>1</v>
      </c>
    </row>
    <row r="30">
      <c r="A30" t="inlineStr">
        <is>
          <t>Community airdrop</t>
        </is>
      </c>
      <c r="B30" s="7">
        <f>Grid!R90</f>
        <v>5000000.0</v>
      </c>
      <c r="C30" s="7" t="n">
        <v>5000000</v>
      </c>
      <c r="D30" s="7">
        <f>ABS(B30-C30)</f>
        <v>0.0</v>
      </c>
      <c r="E30" t="b">
        <f>D30&lt;1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Notes on conventions</t>
        </is>
      </c>
    </row>
    <row r="3">
      <c r="A3" s="10" t="inlineStr">
        <is>
          <t>Month T+0 is the TGE working date (15 September 2027, target Q3 2027); tokens vest on the 15th of each month.</t>
        </is>
      </c>
    </row>
    <row r="4">
      <c r="A4" s="10" t="inlineStr">
        <is>
          <t>Legacy investors (pre-seed, seed, KOL round): 0% at TGE, linear T+13 to T+60 (48 months) on the post-restructure retained amounts, which are conditional on the seven clawback consents.</t>
        </is>
      </c>
    </row>
    <row r="5">
      <c r="A5" s="10" t="inlineStr">
        <is>
          <t>New round: 0% at TGE, linear T+13 to T+36 (24 months), 8,333,333.33 KNX per month.</t>
        </is>
      </c>
    </row>
    <row r="6">
      <c r="A6" s="10" t="inlineStr">
        <is>
          <t>Emissions: 4,000,000 KNX per month from T+4 to T+12 (nine months, 36,000,000 KNX in the first year against a 48,000,000 cap); from T+13 the annual cap steps down 15% each twelve months and is released at cap/12 per month. Through T+84 this schedules 205,415,331.75 KNX; the remaining 224,584,668.25 KNX of the 430,000,000 pool is a ceiling beyond T+84, not scheduled supply.</t>
        </is>
      </c>
    </row>
    <row r="7">
      <c r="A7" s="10" t="inlineStr">
        <is>
          <t>Marketing: 40,000,000 KNX at T+0, then 55,000,000 over T+1 to T+30 (1,833,333.33 per month).</t>
        </is>
      </c>
    </row>
    <row r="8">
      <c r="A8" s="10" t="inlineStr">
        <is>
          <t>Treasury and reserves: 1,000,000 KNX at T+0, then 49,000,000 over T+7 to T+36 (1,633,333.33 per month).</t>
        </is>
      </c>
    </row>
    <row r="9">
      <c r="A9" s="10" t="inlineStr">
        <is>
          <t>Foundation: 1,000,000 KNX at T+0, then 39,000,000 over T+13 to T+36 (1,625,000 per month). The V_04 vesting text reads M12 to M36; the V_04 grid releases from T+13, and the grid here follows the V_04 grid.</t>
        </is>
      </c>
    </row>
    <row r="10">
      <c r="A10" s="10" t="inlineStr">
        <is>
          <t>Team and advisors: V_04 releases 2,000,000 KNX per month over T+14 to T+38 (25 months), with nothing at T+13. The V_04 vesting text reads M13 to M38; the grid here follows the V_04 grid (T+14 to T+38), which is why the month-13 unlock contains no team tokens.</t>
        </is>
      </c>
    </row>
    <row r="11">
      <c r="A11" s="10" t="inlineStr">
        <is>
          <t>Liquidity / market making: 30,000,000 KNX at T+0. Community airdrop: 5,000,000 KNX at T+0.</t>
        </is>
      </c>
    </row>
    <row r="12">
      <c r="A12" s="10" t="inlineStr">
        <is>
          <t>All monthly amounts are formulas from the Inputs sheet; the Check sheet compares the formula output with the V_04 circulating figures at T+0, T+12, T+24, T+36, T+48, T+60 and T+84.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2026-09-17T11:08:53Z</dcterms:created>
  <dcterms:modified xmlns:dcterms="http://purl.org/dc/terms/" xmlns:xsi="http://www.w3.org/2001/XMLSchema-instance" xsi:type="dcterms:W3CDTF">2026-09-17T11:08:53Z</dcterms:modified>
</cp:coreProperties>
</file>